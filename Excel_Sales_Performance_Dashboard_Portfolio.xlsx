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Project_Guide" sheetId="4" state="visible" r:id="rId4"/>
    <sheet xmlns:r="http://schemas.openxmlformats.org/officeDocument/2006/relationships" name="Formula_Practice" sheetId="5" state="visible" r:id="rId5"/>
    <sheet xmlns:r="http://schemas.openxmlformats.org/officeDocument/2006/relationships" name="Insights_Template" sheetId="6" state="visible" r:id="rId6"/>
  </sheets>
  <definedNames>
    <definedName name="_xlnm._FilterDatabase" localSheetId="1" hidden="1">'Raw_Data'!$A$1:$P$1501</definedName>
    <definedName name="_xlnm._FilterDatabase" localSheetId="2" hidden="1">'Cleaned_Data'!$A$1:$S$1501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&quot;₹&quot;#,##0.00"/>
    <numFmt numFmtId="167" formatCode="0.0%"/>
    <numFmt numFmtId="168" formatCode="₹#,##0"/>
    <numFmt numFmtId="169" formatCode="&quot;₹&quot;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44546A"/>
    </font>
    <font>
      <b val="1"/>
      <color rgb="00FFFFFF"/>
      <sz val="10"/>
    </font>
    <font>
      <b val="1"/>
      <color rgb="0017365D"/>
      <sz val="16"/>
    </font>
    <font>
      <b val="1"/>
      <color rgb="00FFFFFF"/>
      <sz val="12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8" fontId="5" fillId="5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167" fontId="5" fillId="5" borderId="0" applyAlignment="1" pivotButton="0" quotePrefix="0" xfId="0">
      <alignment horizontal="center" vertical="center"/>
    </xf>
    <xf numFmtId="0" fontId="6" fillId="4" borderId="0" pivotButton="0" quotePrefix="0" xfId="0"/>
    <xf numFmtId="0" fontId="1" fillId="6" borderId="0" pivotButton="0" quotePrefix="0" xfId="0"/>
    <xf numFmtId="169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0" fontId="7" fillId="3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'Dashboard'!$A$11:$A$22</f>
            </numRef>
          </cat>
          <val>
            <numRef>
              <f>'Dashboard'!$B$11:$B$22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'Dashboard'!$E$11:$E$15</f>
            </numRef>
          </cat>
          <val>
            <numRef>
              <f>'Dashboard'!$F$11:$F$15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'Dashboard'!$I$11:$I$13</f>
            </numRef>
          </cat>
          <val>
            <numRef>
              <f>'Dashboard'!$J$11:$J$13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Raw" displayName="SalesRaw" ref="A1:P1501" headerRowCount="1">
  <autoFilter ref="A1:P1501"/>
  <tableColumns count="16">
    <tableColumn id="1" name="Order_ID"/>
    <tableColumn id="2" name="Order_Date"/>
    <tableColumn id="3" name="Region"/>
    <tableColumn id="4" name="City"/>
    <tableColumn id="5" name="Customer_Segment"/>
    <tableColumn id="6" name="Sales_Channel"/>
    <tableColumn id="7" name="Category"/>
    <tableColumn id="8" name="Product"/>
    <tableColumn id="9" name="Quantity"/>
    <tableColumn id="10" name="Unit_Price"/>
    <tableColumn id="11" name="Discount_Rate"/>
    <tableColumn id="12" name="Sales"/>
    <tableColumn id="13" name="Cost"/>
    <tableColumn id="14" name="Profit"/>
    <tableColumn id="15" name="Payment_Method"/>
    <tableColumn id="16" name="Sales_Re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lesClean" displayName="SalesClean" ref="A1:S1501" headerRowCount="1">
  <autoFilter ref="A1:S1501"/>
  <tableColumns count="19">
    <tableColumn id="1" name="Order_ID"/>
    <tableColumn id="2" name="Order_Date"/>
    <tableColumn id="3" name="Region"/>
    <tableColumn id="4" name="City"/>
    <tableColumn id="5" name="Customer_Segment"/>
    <tableColumn id="6" name="Sales_Channel"/>
    <tableColumn id="7" name="Category"/>
    <tableColumn id="8" name="Product"/>
    <tableColumn id="9" name="Quantity"/>
    <tableColumn id="10" name="Unit_Price"/>
    <tableColumn id="11" name="Discount_Rate"/>
    <tableColumn id="12" name="Sales"/>
    <tableColumn id="13" name="Cost"/>
    <tableColumn id="14" name="Profit"/>
    <tableColumn id="15" name="Payment_Method"/>
    <tableColumn id="16" name="Sales_Rep"/>
    <tableColumn id="17" name="Year"/>
    <tableColumn id="18" name="Month"/>
    <tableColumn id="19" name="Profit_Margi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" customWidth="1" min="4" max="4"/>
    <col width="16" customWidth="1" min="5" max="5"/>
    <col width="16" customWidth="1" min="6" max="6"/>
    <col width="16" customWidth="1" min="7" max="7"/>
    <col width="4" customWidth="1" min="8" max="8"/>
    <col width="20" customWidth="1" min="9" max="9"/>
    <col width="16" customWidth="1" min="10" max="10"/>
    <col width="4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SALES PERFORMANCE DASHBOARD</t>
        </is>
      </c>
    </row>
    <row r="2">
      <c r="A2" s="2" t="inlineStr">
        <is>
          <t>Portfolio Project | Excel Analytics | Dataset: 1,500 orders | Period: Jan–Dec 2025</t>
        </is>
      </c>
    </row>
    <row r="4" ht="25" customHeight="1">
      <c r="A4" s="3" t="inlineStr">
        <is>
          <t>TOTAL SALES</t>
        </is>
      </c>
      <c r="D4" s="3" t="inlineStr">
        <is>
          <t>TOTAL PROFIT</t>
        </is>
      </c>
      <c r="G4" s="3" t="inlineStr">
        <is>
          <t>TOTAL ORDERS</t>
        </is>
      </c>
      <c r="J4" s="3" t="inlineStr">
        <is>
          <t>AVG ORDER VALUE</t>
        </is>
      </c>
      <c r="M4" s="3" t="inlineStr">
        <is>
          <t>PROFIT MARGIN</t>
        </is>
      </c>
    </row>
    <row r="5" ht="25" customHeight="1">
      <c r="A5" s="4">
        <f>SUM(Cleaned_Data!L2:L1501)</f>
        <v/>
      </c>
      <c r="D5" s="4">
        <f>SUM(Cleaned_Data!N2:N1501)</f>
        <v/>
      </c>
      <c r="G5" s="5">
        <f>COUNTA(Cleaned_Data!A2:A1501)</f>
        <v/>
      </c>
      <c r="J5" s="4">
        <f>IFERROR(SUM(Cleaned_Data!L2:L1501)/COUNTA(Cleaned_Data!A2:A1501),0)</f>
        <v/>
      </c>
      <c r="M5" s="6">
        <f>IFERROR(SUM(Cleaned_Data!N2:N1501)/SUM(Cleaned_Data!L2:L1501),0)</f>
        <v/>
      </c>
    </row>
    <row r="6" ht="25" customHeight="1"/>
    <row r="9">
      <c r="A9" s="7" t="inlineStr">
        <is>
          <t>Monthly Performance</t>
        </is>
      </c>
      <c r="E9" s="7" t="inlineStr">
        <is>
          <t>Sales by Region</t>
        </is>
      </c>
      <c r="I9" s="7" t="inlineStr">
        <is>
          <t>Sales by Category</t>
        </is>
      </c>
    </row>
    <row r="10">
      <c r="A10" s="8" t="inlineStr">
        <is>
          <t>Month</t>
        </is>
      </c>
      <c r="B10" s="8" t="inlineStr">
        <is>
          <t>Sales</t>
        </is>
      </c>
      <c r="C10" s="8" t="inlineStr">
        <is>
          <t>Profit</t>
        </is>
      </c>
      <c r="E10" s="8" t="inlineStr">
        <is>
          <t>Region</t>
        </is>
      </c>
      <c r="F10" s="8" t="inlineStr">
        <is>
          <t>Sales</t>
        </is>
      </c>
      <c r="G10" s="8" t="inlineStr">
        <is>
          <t>Profit</t>
        </is>
      </c>
      <c r="I10" s="8" t="inlineStr">
        <is>
          <t>Category</t>
        </is>
      </c>
      <c r="J10" s="8" t="inlineStr">
        <is>
          <t>Sales</t>
        </is>
      </c>
    </row>
    <row r="11">
      <c r="A11" t="inlineStr">
        <is>
          <t>Jan</t>
        </is>
      </c>
      <c r="B11" s="9">
        <f>SUMIF(Cleaned_Data!R$2:R$1501,A11,Cleaned_Data!L$2:L$1501)</f>
        <v/>
      </c>
      <c r="C11" s="9">
        <f>SUMIF(Cleaned_Data!R$2:R$1501,A11,Cleaned_Data!N$2:N$1501)</f>
        <v/>
      </c>
      <c r="E11" t="inlineStr">
        <is>
          <t>North</t>
        </is>
      </c>
      <c r="F11" s="9">
        <f>SUMIF(Cleaned_Data!C$2:C$1501,E11,Cleaned_Data!L$2:L$1501)</f>
        <v/>
      </c>
      <c r="G11" s="9">
        <f>SUMIF(Cleaned_Data!C$2:C$1501,E11,Cleaned_Data!N$2:N$1501)</f>
        <v/>
      </c>
      <c r="I11" t="inlineStr">
        <is>
          <t>Technology</t>
        </is>
      </c>
      <c r="J11" s="9">
        <f>SUMIF(Cleaned_Data!G$2:G$1501,I11,Cleaned_Data!L$2:L$1501)</f>
        <v/>
      </c>
    </row>
    <row r="12">
      <c r="A12" t="inlineStr">
        <is>
          <t>Feb</t>
        </is>
      </c>
      <c r="B12" s="9">
        <f>SUMIF(Cleaned_Data!R$2:R$1501,A12,Cleaned_Data!L$2:L$1501)</f>
        <v/>
      </c>
      <c r="C12" s="9">
        <f>SUMIF(Cleaned_Data!R$2:R$1501,A12,Cleaned_Data!N$2:N$1501)</f>
        <v/>
      </c>
      <c r="E12" t="inlineStr">
        <is>
          <t>South</t>
        </is>
      </c>
      <c r="F12" s="9">
        <f>SUMIF(Cleaned_Data!C$2:C$1501,E12,Cleaned_Data!L$2:L$1501)</f>
        <v/>
      </c>
      <c r="G12" s="9">
        <f>SUMIF(Cleaned_Data!C$2:C$1501,E12,Cleaned_Data!N$2:N$1501)</f>
        <v/>
      </c>
      <c r="I12" t="inlineStr">
        <is>
          <t>Furniture</t>
        </is>
      </c>
      <c r="J12" s="9">
        <f>SUMIF(Cleaned_Data!G$2:G$1501,I12,Cleaned_Data!L$2:L$1501)</f>
        <v/>
      </c>
    </row>
    <row r="13">
      <c r="A13" t="inlineStr">
        <is>
          <t>Mar</t>
        </is>
      </c>
      <c r="B13" s="9">
        <f>SUMIF(Cleaned_Data!R$2:R$1501,A13,Cleaned_Data!L$2:L$1501)</f>
        <v/>
      </c>
      <c r="C13" s="9">
        <f>SUMIF(Cleaned_Data!R$2:R$1501,A13,Cleaned_Data!N$2:N$1501)</f>
        <v/>
      </c>
      <c r="E13" t="inlineStr">
        <is>
          <t>East</t>
        </is>
      </c>
      <c r="F13" s="9">
        <f>SUMIF(Cleaned_Data!C$2:C$1501,E13,Cleaned_Data!L$2:L$1501)</f>
        <v/>
      </c>
      <c r="G13" s="9">
        <f>SUMIF(Cleaned_Data!C$2:C$1501,E13,Cleaned_Data!N$2:N$1501)</f>
        <v/>
      </c>
      <c r="I13" t="inlineStr">
        <is>
          <t>Office Supplies</t>
        </is>
      </c>
      <c r="J13" s="9">
        <f>SUMIF(Cleaned_Data!G$2:G$1501,I13,Cleaned_Data!L$2:L$1501)</f>
        <v/>
      </c>
    </row>
    <row r="14">
      <c r="A14" t="inlineStr">
        <is>
          <t>Apr</t>
        </is>
      </c>
      <c r="B14" s="9">
        <f>SUMIF(Cleaned_Data!R$2:R$1501,A14,Cleaned_Data!L$2:L$1501)</f>
        <v/>
      </c>
      <c r="C14" s="9">
        <f>SUMIF(Cleaned_Data!R$2:R$1501,A14,Cleaned_Data!N$2:N$1501)</f>
        <v/>
      </c>
      <c r="E14" t="inlineStr">
        <is>
          <t>West</t>
        </is>
      </c>
      <c r="F14" s="9">
        <f>SUMIF(Cleaned_Data!C$2:C$1501,E14,Cleaned_Data!L$2:L$1501)</f>
        <v/>
      </c>
      <c r="G14" s="9">
        <f>SUMIF(Cleaned_Data!C$2:C$1501,E14,Cleaned_Data!N$2:N$1501)</f>
        <v/>
      </c>
    </row>
    <row r="15">
      <c r="A15" t="inlineStr">
        <is>
          <t>May</t>
        </is>
      </c>
      <c r="B15" s="9">
        <f>SUMIF(Cleaned_Data!R$2:R$1501,A15,Cleaned_Data!L$2:L$1501)</f>
        <v/>
      </c>
      <c r="C15" s="9">
        <f>SUMIF(Cleaned_Data!R$2:R$1501,A15,Cleaned_Data!N$2:N$1501)</f>
        <v/>
      </c>
      <c r="E15" t="inlineStr">
        <is>
          <t>Central</t>
        </is>
      </c>
      <c r="F15" s="9">
        <f>SUMIF(Cleaned_Data!C$2:C$1501,E15,Cleaned_Data!L$2:L$1501)</f>
        <v/>
      </c>
      <c r="G15" s="9">
        <f>SUMIF(Cleaned_Data!C$2:C$1501,E15,Cleaned_Data!N$2:N$1501)</f>
        <v/>
      </c>
    </row>
    <row r="16">
      <c r="A16" t="inlineStr">
        <is>
          <t>Jun</t>
        </is>
      </c>
      <c r="B16" s="9">
        <f>SUMIF(Cleaned_Data!R$2:R$1501,A16,Cleaned_Data!L$2:L$1501)</f>
        <v/>
      </c>
      <c r="C16" s="9">
        <f>SUMIF(Cleaned_Data!R$2:R$1501,A16,Cleaned_Data!N$2:N$1501)</f>
        <v/>
      </c>
    </row>
    <row r="17">
      <c r="A17" t="inlineStr">
        <is>
          <t>Jul</t>
        </is>
      </c>
      <c r="B17" s="9">
        <f>SUMIF(Cleaned_Data!R$2:R$1501,A17,Cleaned_Data!L$2:L$1501)</f>
        <v/>
      </c>
      <c r="C17" s="9">
        <f>SUMIF(Cleaned_Data!R$2:R$1501,A17,Cleaned_Data!N$2:N$1501)</f>
        <v/>
      </c>
    </row>
    <row r="18">
      <c r="A18" t="inlineStr">
        <is>
          <t>Aug</t>
        </is>
      </c>
      <c r="B18" s="9">
        <f>SUMIF(Cleaned_Data!R$2:R$1501,A18,Cleaned_Data!L$2:L$1501)</f>
        <v/>
      </c>
      <c r="C18" s="9">
        <f>SUMIF(Cleaned_Data!R$2:R$1501,A18,Cleaned_Data!N$2:N$1501)</f>
        <v/>
      </c>
    </row>
    <row r="19">
      <c r="A19" t="inlineStr">
        <is>
          <t>Sep</t>
        </is>
      </c>
      <c r="B19" s="9">
        <f>SUMIF(Cleaned_Data!R$2:R$1501,A19,Cleaned_Data!L$2:L$1501)</f>
        <v/>
      </c>
      <c r="C19" s="9">
        <f>SUMIF(Cleaned_Data!R$2:R$1501,A19,Cleaned_Data!N$2:N$1501)</f>
        <v/>
      </c>
    </row>
    <row r="20">
      <c r="A20" t="inlineStr">
        <is>
          <t>Oct</t>
        </is>
      </c>
      <c r="B20" s="9">
        <f>SUMIF(Cleaned_Data!R$2:R$1501,A20,Cleaned_Data!L$2:L$1501)</f>
        <v/>
      </c>
      <c r="C20" s="9">
        <f>SUMIF(Cleaned_Data!R$2:R$1501,A20,Cleaned_Data!N$2:N$1501)</f>
        <v/>
      </c>
    </row>
    <row r="21">
      <c r="A21" t="inlineStr">
        <is>
          <t>Nov</t>
        </is>
      </c>
      <c r="B21" s="9">
        <f>SUMIF(Cleaned_Data!R$2:R$1501,A21,Cleaned_Data!L$2:L$1501)</f>
        <v/>
      </c>
      <c r="C21" s="9">
        <f>SUMIF(Cleaned_Data!R$2:R$1501,A21,Cleaned_Data!N$2:N$1501)</f>
        <v/>
      </c>
    </row>
    <row r="22">
      <c r="A22" t="inlineStr">
        <is>
          <t>Dec</t>
        </is>
      </c>
      <c r="B22" s="9">
        <f>SUMIF(Cleaned_Data!R$2:R$1501,A22,Cleaned_Data!L$2:L$1501)</f>
        <v/>
      </c>
      <c r="C22" s="9">
        <f>SUMIF(Cleaned_Data!R$2:R$1501,A22,Cleaned_Data!N$2:N$1501)</f>
        <v/>
      </c>
    </row>
  </sheetData>
  <mergeCells count="12">
    <mergeCell ref="D5:F6"/>
    <mergeCell ref="A5:C6"/>
    <mergeCell ref="G5:I6"/>
    <mergeCell ref="D4:F4"/>
    <mergeCell ref="A2:N2"/>
    <mergeCell ref="J5:L6"/>
    <mergeCell ref="G4:I4"/>
    <mergeCell ref="J4:L4"/>
    <mergeCell ref="M5:N6"/>
    <mergeCell ref="A4:C4"/>
    <mergeCell ref="M4:N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18" customWidth="1" min="7" max="7"/>
    <col width="20" customWidth="1" min="8" max="8"/>
    <col width="11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8" customWidth="1" min="16" max="16"/>
  </cols>
  <sheetData>
    <row r="1">
      <c r="A1" s="10" t="inlineStr">
        <is>
          <t>Order_ID</t>
        </is>
      </c>
      <c r="B1" s="10" t="inlineStr">
        <is>
          <t>Order_Date</t>
        </is>
      </c>
      <c r="C1" s="10" t="inlineStr">
        <is>
          <t>Region</t>
        </is>
      </c>
      <c r="D1" s="10" t="inlineStr">
        <is>
          <t>City</t>
        </is>
      </c>
      <c r="E1" s="10" t="inlineStr">
        <is>
          <t>Customer_Segment</t>
        </is>
      </c>
      <c r="F1" s="10" t="inlineStr">
        <is>
          <t>Sales_Channel</t>
        </is>
      </c>
      <c r="G1" s="10" t="inlineStr">
        <is>
          <t>Category</t>
        </is>
      </c>
      <c r="H1" s="10" t="inlineStr">
        <is>
          <t>Product</t>
        </is>
      </c>
      <c r="I1" s="10" t="inlineStr">
        <is>
          <t>Quantity</t>
        </is>
      </c>
      <c r="J1" s="10" t="inlineStr">
        <is>
          <t>Unit_Price</t>
        </is>
      </c>
      <c r="K1" s="10" t="inlineStr">
        <is>
          <t>Discount_Rate</t>
        </is>
      </c>
      <c r="L1" s="10" t="inlineStr">
        <is>
          <t>Sales</t>
        </is>
      </c>
      <c r="M1" s="10" t="inlineStr">
        <is>
          <t>Cost</t>
        </is>
      </c>
      <c r="N1" s="10" t="inlineStr">
        <is>
          <t>Profit</t>
        </is>
      </c>
      <c r="O1" s="10" t="inlineStr">
        <is>
          <t>Payment_Method</t>
        </is>
      </c>
      <c r="P1" s="10" t="inlineStr">
        <is>
          <t>Sales_Rep</t>
        </is>
      </c>
    </row>
    <row r="2">
      <c r="A2" t="inlineStr">
        <is>
          <t>ORD-2511-0001</t>
        </is>
      </c>
      <c r="B2" s="11" t="n">
        <v>45985</v>
      </c>
      <c r="C2" t="inlineStr">
        <is>
          <t>North</t>
        </is>
      </c>
      <c r="D2" t="inlineStr">
        <is>
          <t>Delhi</t>
        </is>
      </c>
      <c r="E2" t="inlineStr">
        <is>
          <t>Small Business</t>
        </is>
      </c>
      <c r="F2" t="inlineStr">
        <is>
          <t>Partner</t>
        </is>
      </c>
      <c r="G2" t="inlineStr">
        <is>
          <t>Office Supplies</t>
        </is>
      </c>
      <c r="H2" t="inlineStr">
        <is>
          <t>Paper Ream</t>
        </is>
      </c>
      <c r="I2" t="n">
        <v>2</v>
      </c>
      <c r="J2" s="12" t="n">
        <v>435.89</v>
      </c>
      <c r="K2" s="13" t="n">
        <v>0</v>
      </c>
      <c r="L2" s="12" t="n">
        <v>871.78</v>
      </c>
      <c r="M2" s="12" t="n">
        <v>671.27</v>
      </c>
      <c r="N2" s="12" t="n">
        <v>200.51</v>
      </c>
      <c r="O2" t="inlineStr">
        <is>
          <t>Cash</t>
        </is>
      </c>
      <c r="P2" t="inlineStr">
        <is>
          <t>Diya Patel</t>
        </is>
      </c>
    </row>
    <row r="3">
      <c r="A3" t="inlineStr">
        <is>
          <t>ORD-2510-0002</t>
        </is>
      </c>
      <c r="B3" s="11" t="n">
        <v>45960</v>
      </c>
      <c r="C3" t="inlineStr">
        <is>
          <t>West</t>
        </is>
      </c>
      <c r="D3" t="inlineStr">
        <is>
          <t>Mumbai</t>
        </is>
      </c>
      <c r="E3" t="inlineStr">
        <is>
          <t>Small Business</t>
        </is>
      </c>
      <c r="F3" t="inlineStr">
        <is>
          <t>Online</t>
        </is>
      </c>
      <c r="G3" t="inlineStr">
        <is>
          <t>Technology</t>
        </is>
      </c>
      <c r="H3" t="inlineStr">
        <is>
          <t>Laptop</t>
        </is>
      </c>
      <c r="I3" t="n">
        <v>1</v>
      </c>
      <c r="J3" s="12" t="n">
        <v>42685.57</v>
      </c>
      <c r="K3" s="13" t="n">
        <v>0</v>
      </c>
      <c r="L3" s="12" t="n">
        <v>42685.57</v>
      </c>
      <c r="M3" s="12" t="n">
        <v>37563.3</v>
      </c>
      <c r="N3" s="12" t="n">
        <v>5122.27</v>
      </c>
      <c r="O3" t="inlineStr">
        <is>
          <t>Cash</t>
        </is>
      </c>
      <c r="P3" t="inlineStr">
        <is>
          <t>Vivaan Gupta</t>
        </is>
      </c>
    </row>
    <row r="4">
      <c r="A4" t="inlineStr">
        <is>
          <t>ORD-2504-0003</t>
        </is>
      </c>
      <c r="B4" s="11" t="n">
        <v>45770</v>
      </c>
      <c r="C4" t="inlineStr">
        <is>
          <t>West</t>
        </is>
      </c>
      <c r="D4" t="inlineStr">
        <is>
          <t>Ahmedabad</t>
        </is>
      </c>
      <c r="E4" t="inlineStr">
        <is>
          <t>Corporate</t>
        </is>
      </c>
      <c r="F4" t="inlineStr">
        <is>
          <t>Retail Store</t>
        </is>
      </c>
      <c r="G4" t="inlineStr">
        <is>
          <t>Office Supplies</t>
        </is>
      </c>
      <c r="H4" t="inlineStr">
        <is>
          <t>File Folder</t>
        </is>
      </c>
      <c r="I4" t="n">
        <v>5</v>
      </c>
      <c r="J4" s="12" t="n">
        <v>85.09999999999999</v>
      </c>
      <c r="K4" s="13" t="n">
        <v>0.1</v>
      </c>
      <c r="L4" s="12" t="n">
        <v>382.95</v>
      </c>
      <c r="M4" s="12" t="n">
        <v>263.81</v>
      </c>
      <c r="N4" s="12" t="n">
        <v>119.14</v>
      </c>
      <c r="O4" t="inlineStr">
        <is>
          <t>Net Banking</t>
        </is>
      </c>
      <c r="P4" t="inlineStr">
        <is>
          <t>Kabir Singh</t>
        </is>
      </c>
    </row>
    <row r="5">
      <c r="A5" t="inlineStr">
        <is>
          <t>ORD-2504-0004</t>
        </is>
      </c>
      <c r="B5" s="11" t="n">
        <v>45768</v>
      </c>
      <c r="C5" t="inlineStr">
        <is>
          <t>East</t>
        </is>
      </c>
      <c r="D5" t="inlineStr">
        <is>
          <t>Kolkata</t>
        </is>
      </c>
      <c r="E5" t="inlineStr">
        <is>
          <t>Corporate</t>
        </is>
      </c>
      <c r="F5" t="inlineStr">
        <is>
          <t>Online</t>
        </is>
      </c>
      <c r="G5" t="inlineStr">
        <is>
          <t>Technology</t>
        </is>
      </c>
      <c r="H5" t="inlineStr">
        <is>
          <t>Monitor</t>
        </is>
      </c>
      <c r="I5" t="n">
        <v>2</v>
      </c>
      <c r="J5" s="12" t="n">
        <v>12187.91</v>
      </c>
      <c r="K5" s="13" t="n">
        <v>0.05</v>
      </c>
      <c r="L5" s="12" t="n">
        <v>23157.03</v>
      </c>
      <c r="M5" s="12" t="n">
        <v>19988.17</v>
      </c>
      <c r="N5" s="12" t="n">
        <v>3168.86</v>
      </c>
      <c r="O5" t="inlineStr">
        <is>
          <t>Debit Card</t>
        </is>
      </c>
      <c r="P5" t="inlineStr">
        <is>
          <t>Diya Patel</t>
        </is>
      </c>
    </row>
    <row r="6">
      <c r="A6" t="inlineStr">
        <is>
          <t>ORD-2507-0005</t>
        </is>
      </c>
      <c r="B6" s="11" t="n">
        <v>45851</v>
      </c>
      <c r="C6" t="inlineStr">
        <is>
          <t>North</t>
        </is>
      </c>
      <c r="D6" t="inlineStr">
        <is>
          <t>Chandigarh</t>
        </is>
      </c>
      <c r="E6" t="inlineStr">
        <is>
          <t>Consumer</t>
        </is>
      </c>
      <c r="F6" t="inlineStr">
        <is>
          <t>Partner</t>
        </is>
      </c>
      <c r="G6" t="inlineStr">
        <is>
          <t>Office Supplies</t>
        </is>
      </c>
      <c r="H6" t="inlineStr">
        <is>
          <t>Stapler</t>
        </is>
      </c>
      <c r="I6" t="n">
        <v>3</v>
      </c>
      <c r="J6" s="12" t="n">
        <v>254.24</v>
      </c>
      <c r="K6" s="13" t="n">
        <v>0.15</v>
      </c>
      <c r="L6" s="12" t="n">
        <v>648.3099999999999</v>
      </c>
      <c r="M6" s="12" t="n">
        <v>533.9</v>
      </c>
      <c r="N6" s="12" t="n">
        <v>114.41</v>
      </c>
      <c r="O6" t="inlineStr">
        <is>
          <t>Credit Card</t>
        </is>
      </c>
      <c r="P6" t="inlineStr">
        <is>
          <t>Aarav Sharma</t>
        </is>
      </c>
    </row>
    <row r="7">
      <c r="A7" t="inlineStr">
        <is>
          <t>ORD-2512-0006</t>
        </is>
      </c>
      <c r="B7" s="11" t="n">
        <v>45996</v>
      </c>
      <c r="C7" t="inlineStr">
        <is>
          <t>South</t>
        </is>
      </c>
      <c r="D7" t="inlineStr">
        <is>
          <t>Hyderabad</t>
        </is>
      </c>
      <c r="E7" t="inlineStr">
        <is>
          <t>Corporate</t>
        </is>
      </c>
      <c r="F7" t="inlineStr">
        <is>
          <t>Partner</t>
        </is>
      </c>
      <c r="G7" t="inlineStr">
        <is>
          <t>Technology</t>
        </is>
      </c>
      <c r="H7" t="inlineStr">
        <is>
          <t>Monitor</t>
        </is>
      </c>
      <c r="I7" t="n">
        <v>5</v>
      </c>
      <c r="J7" s="12" t="n">
        <v>12260.25</v>
      </c>
      <c r="K7" s="13" t="n">
        <v>0.15</v>
      </c>
      <c r="L7" s="12" t="n">
        <v>52106.06</v>
      </c>
      <c r="M7" s="12" t="n">
        <v>50267.03</v>
      </c>
      <c r="N7" s="12" t="n">
        <v>1839.03</v>
      </c>
      <c r="O7" t="inlineStr">
        <is>
          <t>Net Banking</t>
        </is>
      </c>
      <c r="P7" t="inlineStr">
        <is>
          <t>Kabir Singh</t>
        </is>
      </c>
    </row>
    <row r="8">
      <c r="A8" t="inlineStr">
        <is>
          <t>ORD-2507-0007</t>
        </is>
      </c>
      <c r="B8" s="11" t="n">
        <v>45847</v>
      </c>
      <c r="C8" t="inlineStr">
        <is>
          <t>East</t>
        </is>
      </c>
      <c r="D8" t="inlineStr">
        <is>
          <t>Patna</t>
        </is>
      </c>
      <c r="E8" t="inlineStr">
        <is>
          <t>Small Business</t>
        </is>
      </c>
      <c r="F8" t="inlineStr">
        <is>
          <t>Partner</t>
        </is>
      </c>
      <c r="G8" t="inlineStr">
        <is>
          <t>Office Supplies</t>
        </is>
      </c>
      <c r="H8" t="inlineStr">
        <is>
          <t>Pens Box</t>
        </is>
      </c>
      <c r="I8" t="n">
        <v>2</v>
      </c>
      <c r="J8" s="12" t="n">
        <v>184.26</v>
      </c>
      <c r="K8" s="13" t="n">
        <v>0.15</v>
      </c>
      <c r="L8" s="12" t="n">
        <v>313.24</v>
      </c>
      <c r="M8" s="12" t="n">
        <v>239.54</v>
      </c>
      <c r="N8" s="12" t="n">
        <v>73.7</v>
      </c>
      <c r="O8" t="inlineStr">
        <is>
          <t>UPI</t>
        </is>
      </c>
      <c r="P8" t="inlineStr">
        <is>
          <t>Meera Joshi</t>
        </is>
      </c>
    </row>
    <row r="9">
      <c r="A9" t="inlineStr">
        <is>
          <t>ORD-2503-0008</t>
        </is>
      </c>
      <c r="B9" s="11" t="n">
        <v>45741</v>
      </c>
      <c r="C9" t="inlineStr">
        <is>
          <t>West</t>
        </is>
      </c>
      <c r="D9" t="inlineStr">
        <is>
          <t>Surat</t>
        </is>
      </c>
      <c r="E9" t="inlineStr">
        <is>
          <t>Small Business</t>
        </is>
      </c>
      <c r="F9" t="inlineStr">
        <is>
          <t>Retail Store</t>
        </is>
      </c>
      <c r="G9" t="inlineStr">
        <is>
          <t>Technology</t>
        </is>
      </c>
      <c r="H9" t="inlineStr">
        <is>
          <t>Headphones</t>
        </is>
      </c>
      <c r="I9" t="n">
        <v>10</v>
      </c>
      <c r="J9" s="12" t="n">
        <v>2220.05</v>
      </c>
      <c r="K9" s="13" t="n">
        <v>0.1</v>
      </c>
      <c r="L9" s="12" t="n">
        <v>19980.45</v>
      </c>
      <c r="M9" s="12" t="n">
        <v>17316.39</v>
      </c>
      <c r="N9" s="12" t="n">
        <v>2664.06</v>
      </c>
      <c r="O9" t="inlineStr">
        <is>
          <t>Credit Card</t>
        </is>
      </c>
      <c r="P9" t="inlineStr">
        <is>
          <t>Meera Joshi</t>
        </is>
      </c>
    </row>
    <row r="10">
      <c r="A10" t="inlineStr">
        <is>
          <t>ORD-2501-0009</t>
        </is>
      </c>
      <c r="B10" s="11" t="n">
        <v>45674</v>
      </c>
      <c r="C10" t="inlineStr">
        <is>
          <t>East</t>
        </is>
      </c>
      <c r="D10" t="inlineStr">
        <is>
          <t>Guwahati</t>
        </is>
      </c>
      <c r="E10" t="inlineStr">
        <is>
          <t>Small Business</t>
        </is>
      </c>
      <c r="F10" t="inlineStr">
        <is>
          <t>Retail Store</t>
        </is>
      </c>
      <c r="G10" t="inlineStr">
        <is>
          <t>Technology</t>
        </is>
      </c>
      <c r="H10" t="inlineStr">
        <is>
          <t>Headphones</t>
        </is>
      </c>
      <c r="I10" t="n">
        <v>1</v>
      </c>
      <c r="J10" s="12" t="n">
        <v>2223.65</v>
      </c>
      <c r="K10" s="13" t="n">
        <v>0.15</v>
      </c>
      <c r="L10" s="12" t="n">
        <v>1890.1</v>
      </c>
      <c r="M10" s="12" t="n">
        <v>1734.45</v>
      </c>
      <c r="N10" s="12" t="n">
        <v>155.65</v>
      </c>
      <c r="O10" t="inlineStr">
        <is>
          <t>UPI</t>
        </is>
      </c>
      <c r="P10" t="inlineStr">
        <is>
          <t>Anaya Rao</t>
        </is>
      </c>
    </row>
    <row r="11">
      <c r="A11" t="inlineStr">
        <is>
          <t>ORD-2507-0010</t>
        </is>
      </c>
      <c r="B11" s="11" t="n">
        <v>45860</v>
      </c>
      <c r="C11" t="inlineStr">
        <is>
          <t>West</t>
        </is>
      </c>
      <c r="D11" t="inlineStr">
        <is>
          <t>Pune</t>
        </is>
      </c>
      <c r="E11" t="inlineStr">
        <is>
          <t>Small Business</t>
        </is>
      </c>
      <c r="F11" t="inlineStr">
        <is>
          <t>Partner</t>
        </is>
      </c>
      <c r="G11" t="inlineStr">
        <is>
          <t>Technology</t>
        </is>
      </c>
      <c r="H11" t="inlineStr">
        <is>
          <t>Headphones</t>
        </is>
      </c>
      <c r="I11" t="n">
        <v>1</v>
      </c>
      <c r="J11" s="12" t="n">
        <v>2213.72</v>
      </c>
      <c r="K11" s="13" t="n">
        <v>0.1</v>
      </c>
      <c r="L11" s="12" t="n">
        <v>1992.35</v>
      </c>
      <c r="M11" s="12" t="n">
        <v>1726.7</v>
      </c>
      <c r="N11" s="12" t="n">
        <v>265.65</v>
      </c>
      <c r="O11" t="inlineStr">
        <is>
          <t>Debit Card</t>
        </is>
      </c>
      <c r="P11" t="inlineStr">
        <is>
          <t>Vivaan Gupta</t>
        </is>
      </c>
    </row>
    <row r="12">
      <c r="A12" t="inlineStr">
        <is>
          <t>ORD-2507-0011</t>
        </is>
      </c>
      <c r="B12" s="11" t="n">
        <v>45843</v>
      </c>
      <c r="C12" t="inlineStr">
        <is>
          <t>South</t>
        </is>
      </c>
      <c r="D12" t="inlineStr">
        <is>
          <t>Chennai</t>
        </is>
      </c>
      <c r="E12" t="inlineStr">
        <is>
          <t>Consumer</t>
        </is>
      </c>
      <c r="F12" t="inlineStr">
        <is>
          <t>Partner</t>
        </is>
      </c>
      <c r="G12" t="inlineStr">
        <is>
          <t>Furniture</t>
        </is>
      </c>
      <c r="H12" t="inlineStr">
        <is>
          <t>Storage Cabinet</t>
        </is>
      </c>
      <c r="I12" t="n">
        <v>3</v>
      </c>
      <c r="J12" s="12" t="n">
        <v>9414.209999999999</v>
      </c>
      <c r="K12" s="13" t="n">
        <v>0.1</v>
      </c>
      <c r="L12" s="12" t="n">
        <v>25418.37</v>
      </c>
      <c r="M12" s="12" t="n">
        <v>22594.1</v>
      </c>
      <c r="N12" s="12" t="n">
        <v>2824.27</v>
      </c>
      <c r="O12" t="inlineStr">
        <is>
          <t>UPI</t>
        </is>
      </c>
      <c r="P12" t="inlineStr">
        <is>
          <t>Vivaan Gupta</t>
        </is>
      </c>
    </row>
    <row r="13">
      <c r="A13" t="inlineStr">
        <is>
          <t>ORD-2511-0012</t>
        </is>
      </c>
      <c r="B13" s="11" t="n">
        <v>45963</v>
      </c>
      <c r="C13" t="inlineStr">
        <is>
          <t>North</t>
        </is>
      </c>
      <c r="D13" t="inlineStr">
        <is>
          <t>Lucknow</t>
        </is>
      </c>
      <c r="E13" t="inlineStr">
        <is>
          <t>Small Business</t>
        </is>
      </c>
      <c r="F13" t="inlineStr">
        <is>
          <t>Online</t>
        </is>
      </c>
      <c r="G13" t="inlineStr">
        <is>
          <t>Furniture</t>
        </is>
      </c>
      <c r="H13" t="inlineStr">
        <is>
          <t>Desk</t>
        </is>
      </c>
      <c r="I13" t="n">
        <v>3</v>
      </c>
      <c r="J13" s="12" t="n">
        <v>11042.6</v>
      </c>
      <c r="K13" s="13" t="n">
        <v>0.05</v>
      </c>
      <c r="L13" s="12" t="n">
        <v>31471.41</v>
      </c>
      <c r="M13" s="12" t="n">
        <v>25177.13</v>
      </c>
      <c r="N13" s="12" t="n">
        <v>6294.28</v>
      </c>
      <c r="O13" t="inlineStr">
        <is>
          <t>Credit Card</t>
        </is>
      </c>
      <c r="P13" t="inlineStr">
        <is>
          <t>Rohan Verma</t>
        </is>
      </c>
    </row>
    <row r="14">
      <c r="A14" t="inlineStr">
        <is>
          <t>ORD-2511-0013</t>
        </is>
      </c>
      <c r="B14" s="11" t="n">
        <v>45986</v>
      </c>
      <c r="C14" t="inlineStr">
        <is>
          <t>East</t>
        </is>
      </c>
      <c r="D14" t="inlineStr">
        <is>
          <t>Kolkata</t>
        </is>
      </c>
      <c r="E14" t="inlineStr">
        <is>
          <t>Small Business</t>
        </is>
      </c>
      <c r="F14" t="inlineStr">
        <is>
          <t>Retail Store</t>
        </is>
      </c>
      <c r="G14" t="inlineStr">
        <is>
          <t>Technology</t>
        </is>
      </c>
      <c r="H14" t="inlineStr">
        <is>
          <t>Headphones</t>
        </is>
      </c>
      <c r="I14" t="n">
        <v>2</v>
      </c>
      <c r="J14" s="12" t="n">
        <v>2359.74</v>
      </c>
      <c r="K14" s="13" t="n">
        <v>0.05</v>
      </c>
      <c r="L14" s="12" t="n">
        <v>4483.51</v>
      </c>
      <c r="M14" s="12" t="n">
        <v>3681.19</v>
      </c>
      <c r="N14" s="12" t="n">
        <v>802.3200000000001</v>
      </c>
      <c r="O14" t="inlineStr">
        <is>
          <t>Cash</t>
        </is>
      </c>
      <c r="P14" t="inlineStr">
        <is>
          <t>Kabir Singh</t>
        </is>
      </c>
    </row>
    <row r="15">
      <c r="A15" t="inlineStr">
        <is>
          <t>ORD-2509-0014</t>
        </is>
      </c>
      <c r="B15" s="11" t="n">
        <v>45917</v>
      </c>
      <c r="C15" t="inlineStr">
        <is>
          <t>North</t>
        </is>
      </c>
      <c r="D15" t="inlineStr">
        <is>
          <t>Chandigarh</t>
        </is>
      </c>
      <c r="E15" t="inlineStr">
        <is>
          <t>Consumer</t>
        </is>
      </c>
      <c r="F15" t="inlineStr">
        <is>
          <t>Partner</t>
        </is>
      </c>
      <c r="G15" t="inlineStr">
        <is>
          <t>Office Supplies</t>
        </is>
      </c>
      <c r="H15" t="inlineStr">
        <is>
          <t>Stapler</t>
        </is>
      </c>
      <c r="I15" t="n">
        <v>3</v>
      </c>
      <c r="J15" s="12" t="n">
        <v>245.56</v>
      </c>
      <c r="K15" s="13" t="n">
        <v>0.1</v>
      </c>
      <c r="L15" s="12" t="n">
        <v>663.01</v>
      </c>
      <c r="M15" s="12" t="n">
        <v>515.6799999999999</v>
      </c>
      <c r="N15" s="12" t="n">
        <v>147.33</v>
      </c>
      <c r="O15" t="inlineStr">
        <is>
          <t>Cash</t>
        </is>
      </c>
      <c r="P15" t="inlineStr">
        <is>
          <t>Aarav Sharma</t>
        </is>
      </c>
    </row>
    <row r="16">
      <c r="A16" t="inlineStr">
        <is>
          <t>ORD-2511-0015</t>
        </is>
      </c>
      <c r="B16" s="11" t="n">
        <v>45964</v>
      </c>
      <c r="C16" t="inlineStr">
        <is>
          <t>East</t>
        </is>
      </c>
      <c r="D16" t="inlineStr">
        <is>
          <t>Guwahati</t>
        </is>
      </c>
      <c r="E16" t="inlineStr">
        <is>
          <t>Corporate</t>
        </is>
      </c>
      <c r="F16" t="inlineStr">
        <is>
          <t>Online</t>
        </is>
      </c>
      <c r="G16" t="inlineStr">
        <is>
          <t>Technology</t>
        </is>
      </c>
      <c r="H16" t="inlineStr">
        <is>
          <t>Laptop</t>
        </is>
      </c>
      <c r="I16" t="n">
        <v>1</v>
      </c>
      <c r="J16" s="12" t="n">
        <v>45261.36</v>
      </c>
      <c r="K16" s="13" t="n">
        <v>0.05</v>
      </c>
      <c r="L16" s="12" t="n">
        <v>42998.29</v>
      </c>
      <c r="M16" s="12" t="n">
        <v>39830</v>
      </c>
      <c r="N16" s="12" t="n">
        <v>3168.29</v>
      </c>
      <c r="O16" t="inlineStr">
        <is>
          <t>Credit Card</t>
        </is>
      </c>
      <c r="P16" t="inlineStr">
        <is>
          <t>Meera Joshi</t>
        </is>
      </c>
    </row>
    <row r="17">
      <c r="A17" t="inlineStr">
        <is>
          <t>ORD-2510-0016</t>
        </is>
      </c>
      <c r="B17" s="11" t="n">
        <v>45948</v>
      </c>
      <c r="C17" t="inlineStr">
        <is>
          <t>North</t>
        </is>
      </c>
      <c r="D17" t="inlineStr">
        <is>
          <t>Delhi</t>
        </is>
      </c>
      <c r="E17" t="inlineStr">
        <is>
          <t>Consumer</t>
        </is>
      </c>
      <c r="F17" t="inlineStr">
        <is>
          <t>Online</t>
        </is>
      </c>
      <c r="G17" t="inlineStr">
        <is>
          <t>Office Supplies</t>
        </is>
      </c>
      <c r="H17" t="inlineStr">
        <is>
          <t>Paper Ream</t>
        </is>
      </c>
      <c r="I17" t="n">
        <v>3</v>
      </c>
      <c r="J17" s="12" t="n">
        <v>437.51</v>
      </c>
      <c r="K17" s="13" t="n">
        <v>0</v>
      </c>
      <c r="L17" s="12" t="n">
        <v>1312.53</v>
      </c>
      <c r="M17" s="12" t="n">
        <v>1010.65</v>
      </c>
      <c r="N17" s="12" t="n">
        <v>301.88</v>
      </c>
      <c r="O17" t="inlineStr">
        <is>
          <t>Debit Card</t>
        </is>
      </c>
      <c r="P17" t="inlineStr">
        <is>
          <t>Kabir Singh</t>
        </is>
      </c>
    </row>
    <row r="18">
      <c r="A18" t="inlineStr">
        <is>
          <t>ORD-2505-0017</t>
        </is>
      </c>
      <c r="B18" s="11" t="n">
        <v>45793</v>
      </c>
      <c r="C18" t="inlineStr">
        <is>
          <t>Central</t>
        </is>
      </c>
      <c r="D18" t="inlineStr">
        <is>
          <t>Nagpur</t>
        </is>
      </c>
      <c r="E18" t="inlineStr">
        <is>
          <t>Small Business</t>
        </is>
      </c>
      <c r="F18" t="inlineStr">
        <is>
          <t>Retail Store</t>
        </is>
      </c>
      <c r="G18" t="inlineStr">
        <is>
          <t>Technology</t>
        </is>
      </c>
      <c r="H18" t="inlineStr">
        <is>
          <t>Printer</t>
        </is>
      </c>
      <c r="I18" t="n">
        <v>6</v>
      </c>
      <c r="J18" s="12" t="n">
        <v>9788.6</v>
      </c>
      <c r="K18" s="13" t="n">
        <v>0.1</v>
      </c>
      <c r="L18" s="12" t="n">
        <v>52858.44</v>
      </c>
      <c r="M18" s="12" t="n">
        <v>49334.54</v>
      </c>
      <c r="N18" s="12" t="n">
        <v>3523.9</v>
      </c>
      <c r="O18" t="inlineStr">
        <is>
          <t>Debit Card</t>
        </is>
      </c>
      <c r="P18" t="inlineStr">
        <is>
          <t>Sara Khan</t>
        </is>
      </c>
    </row>
    <row r="19">
      <c r="A19" t="inlineStr">
        <is>
          <t>ORD-2508-0018</t>
        </is>
      </c>
      <c r="B19" s="11" t="n">
        <v>45882</v>
      </c>
      <c r="C19" t="inlineStr">
        <is>
          <t>Central</t>
        </is>
      </c>
      <c r="D19" t="inlineStr">
        <is>
          <t>Nagpur</t>
        </is>
      </c>
      <c r="E19" t="inlineStr">
        <is>
          <t>Small Business</t>
        </is>
      </c>
      <c r="F19" t="inlineStr">
        <is>
          <t>Online</t>
        </is>
      </c>
      <c r="G19" t="inlineStr">
        <is>
          <t>Technology</t>
        </is>
      </c>
      <c r="H19" t="inlineStr">
        <is>
          <t>Monitor</t>
        </is>
      </c>
      <c r="I19" t="n">
        <v>2</v>
      </c>
      <c r="J19" s="12" t="n">
        <v>11542.07</v>
      </c>
      <c r="K19" s="13" t="n">
        <v>0</v>
      </c>
      <c r="L19" s="12" t="n">
        <v>23084.14</v>
      </c>
      <c r="M19" s="12" t="n">
        <v>18928.99</v>
      </c>
      <c r="N19" s="12" t="n">
        <v>4155.15</v>
      </c>
      <c r="O19" t="inlineStr">
        <is>
          <t>Cash</t>
        </is>
      </c>
      <c r="P19" t="inlineStr">
        <is>
          <t>Meera Joshi</t>
        </is>
      </c>
    </row>
    <row r="20">
      <c r="A20" t="inlineStr">
        <is>
          <t>ORD-2501-0019</t>
        </is>
      </c>
      <c r="B20" s="11" t="n">
        <v>45661</v>
      </c>
      <c r="C20" t="inlineStr">
        <is>
          <t>North</t>
        </is>
      </c>
      <c r="D20" t="inlineStr">
        <is>
          <t>Delhi</t>
        </is>
      </c>
      <c r="E20" t="inlineStr">
        <is>
          <t>Small Business</t>
        </is>
      </c>
      <c r="F20" t="inlineStr">
        <is>
          <t>Online</t>
        </is>
      </c>
      <c r="G20" t="inlineStr">
        <is>
          <t>Technology</t>
        </is>
      </c>
      <c r="H20" t="inlineStr">
        <is>
          <t>Printer</t>
        </is>
      </c>
      <c r="I20" t="n">
        <v>1</v>
      </c>
      <c r="J20" s="12" t="n">
        <v>9242.25</v>
      </c>
      <c r="K20" s="13" t="n">
        <v>0</v>
      </c>
      <c r="L20" s="12" t="n">
        <v>9242.25</v>
      </c>
      <c r="M20" s="12" t="n">
        <v>7763.49</v>
      </c>
      <c r="N20" s="12" t="n">
        <v>1478.76</v>
      </c>
      <c r="O20" t="inlineStr">
        <is>
          <t>Net Banking</t>
        </is>
      </c>
      <c r="P20" t="inlineStr">
        <is>
          <t>Anaya Rao</t>
        </is>
      </c>
    </row>
    <row r="21">
      <c r="A21" t="inlineStr">
        <is>
          <t>ORD-2504-0020</t>
        </is>
      </c>
      <c r="B21" s="11" t="n">
        <v>45767</v>
      </c>
      <c r="C21" t="inlineStr">
        <is>
          <t>Central</t>
        </is>
      </c>
      <c r="D21" t="inlineStr">
        <is>
          <t>Indore</t>
        </is>
      </c>
      <c r="E21" t="inlineStr">
        <is>
          <t>Corporate</t>
        </is>
      </c>
      <c r="F21" t="inlineStr">
        <is>
          <t>Retail Store</t>
        </is>
      </c>
      <c r="G21" t="inlineStr">
        <is>
          <t>Office Supplies</t>
        </is>
      </c>
      <c r="H21" t="inlineStr">
        <is>
          <t>Paper Ream</t>
        </is>
      </c>
      <c r="I21" t="n">
        <v>8</v>
      </c>
      <c r="J21" s="12" t="n">
        <v>418.16</v>
      </c>
      <c r="K21" s="13" t="n">
        <v>0.1</v>
      </c>
      <c r="L21" s="12" t="n">
        <v>3010.75</v>
      </c>
      <c r="M21" s="12" t="n">
        <v>2575.87</v>
      </c>
      <c r="N21" s="12" t="n">
        <v>434.88</v>
      </c>
      <c r="O21" t="inlineStr">
        <is>
          <t>UPI</t>
        </is>
      </c>
      <c r="P21" t="inlineStr">
        <is>
          <t>Diya Patel</t>
        </is>
      </c>
    </row>
    <row r="22">
      <c r="A22" t="inlineStr">
        <is>
          <t>ORD-2502-0021</t>
        </is>
      </c>
      <c r="B22" s="11" t="n">
        <v>45707</v>
      </c>
      <c r="C22" t="inlineStr">
        <is>
          <t>West</t>
        </is>
      </c>
      <c r="D22" t="inlineStr">
        <is>
          <t>Ahmedabad</t>
        </is>
      </c>
      <c r="E22" t="inlineStr">
        <is>
          <t>Small Business</t>
        </is>
      </c>
      <c r="F22" t="inlineStr">
        <is>
          <t>Partner</t>
        </is>
      </c>
      <c r="G22" t="inlineStr">
        <is>
          <t>Furniture</t>
        </is>
      </c>
      <c r="H22" t="inlineStr">
        <is>
          <t>Desk</t>
        </is>
      </c>
      <c r="I22" t="n">
        <v>2</v>
      </c>
      <c r="J22" s="12" t="n">
        <v>10679.67</v>
      </c>
      <c r="K22" s="13" t="n">
        <v>0.15</v>
      </c>
      <c r="L22" s="12" t="n">
        <v>18155.44</v>
      </c>
      <c r="M22" s="12" t="n">
        <v>16233.1</v>
      </c>
      <c r="N22" s="12" t="n">
        <v>1922.34</v>
      </c>
      <c r="O22" t="inlineStr">
        <is>
          <t>Credit Card</t>
        </is>
      </c>
      <c r="P22" t="inlineStr">
        <is>
          <t>Aarav Sharma</t>
        </is>
      </c>
    </row>
    <row r="23">
      <c r="A23" t="inlineStr">
        <is>
          <t>ORD-2507-0022</t>
        </is>
      </c>
      <c r="B23" s="11" t="n">
        <v>45864</v>
      </c>
      <c r="C23" t="inlineStr">
        <is>
          <t>East</t>
        </is>
      </c>
      <c r="D23" t="inlineStr">
        <is>
          <t>Kolkata</t>
        </is>
      </c>
      <c r="E23" t="inlineStr">
        <is>
          <t>Consumer</t>
        </is>
      </c>
      <c r="F23" t="inlineStr">
        <is>
          <t>Retail Store</t>
        </is>
      </c>
      <c r="G23" t="inlineStr">
        <is>
          <t>Technology</t>
        </is>
      </c>
      <c r="H23" t="inlineStr">
        <is>
          <t>Printer</t>
        </is>
      </c>
      <c r="I23" t="n">
        <v>1</v>
      </c>
      <c r="J23" s="12" t="n">
        <v>8953.08</v>
      </c>
      <c r="K23" s="13" t="n">
        <v>0.1</v>
      </c>
      <c r="L23" s="12" t="n">
        <v>8057.77</v>
      </c>
      <c r="M23" s="12" t="n">
        <v>7520.59</v>
      </c>
      <c r="N23" s="12" t="n">
        <v>537.1799999999999</v>
      </c>
      <c r="O23" t="inlineStr">
        <is>
          <t>Debit Card</t>
        </is>
      </c>
      <c r="P23" t="inlineStr">
        <is>
          <t>Meera Joshi</t>
        </is>
      </c>
    </row>
    <row r="24">
      <c r="A24" t="inlineStr">
        <is>
          <t>ORD-2502-0023</t>
        </is>
      </c>
      <c r="B24" s="11" t="n">
        <v>45696</v>
      </c>
      <c r="C24" t="inlineStr">
        <is>
          <t>West</t>
        </is>
      </c>
      <c r="D24" t="inlineStr">
        <is>
          <t>Mumbai</t>
        </is>
      </c>
      <c r="E24" t="inlineStr">
        <is>
          <t>Consumer</t>
        </is>
      </c>
      <c r="F24" t="inlineStr">
        <is>
          <t>Online</t>
        </is>
      </c>
      <c r="G24" t="inlineStr">
        <is>
          <t>Technology</t>
        </is>
      </c>
      <c r="H24" t="inlineStr">
        <is>
          <t>Laptop</t>
        </is>
      </c>
      <c r="I24" t="n">
        <v>4</v>
      </c>
      <c r="J24" s="12" t="n">
        <v>38739.17</v>
      </c>
      <c r="K24" s="13" t="n">
        <v>0.1</v>
      </c>
      <c r="L24" s="12" t="n">
        <v>139461.01</v>
      </c>
      <c r="M24" s="12" t="n">
        <v>136361.88</v>
      </c>
      <c r="N24" s="12" t="n">
        <v>3099.13</v>
      </c>
      <c r="O24" t="inlineStr">
        <is>
          <t>UPI</t>
        </is>
      </c>
      <c r="P24" t="inlineStr">
        <is>
          <t>Vivaan Gupta</t>
        </is>
      </c>
    </row>
    <row r="25">
      <c r="A25" t="inlineStr">
        <is>
          <t>ORD-2509-0024</t>
        </is>
      </c>
      <c r="B25" s="11" t="n">
        <v>45906</v>
      </c>
      <c r="C25" t="inlineStr">
        <is>
          <t>West</t>
        </is>
      </c>
      <c r="D25" t="inlineStr">
        <is>
          <t>Pune</t>
        </is>
      </c>
      <c r="E25" t="inlineStr">
        <is>
          <t>Corporate</t>
        </is>
      </c>
      <c r="F25" t="inlineStr">
        <is>
          <t>Retail Store</t>
        </is>
      </c>
      <c r="G25" t="inlineStr">
        <is>
          <t>Office Supplies</t>
        </is>
      </c>
      <c r="H25" t="inlineStr">
        <is>
          <t>Stapler</t>
        </is>
      </c>
      <c r="I25" t="n">
        <v>2</v>
      </c>
      <c r="J25" s="12" t="n">
        <v>254.97</v>
      </c>
      <c r="K25" s="13" t="n">
        <v>0</v>
      </c>
      <c r="L25" s="12" t="n">
        <v>509.94</v>
      </c>
      <c r="M25" s="12" t="n">
        <v>356.96</v>
      </c>
      <c r="N25" s="12" t="n">
        <v>152.98</v>
      </c>
      <c r="O25" t="inlineStr">
        <is>
          <t>Debit Card</t>
        </is>
      </c>
      <c r="P25" t="inlineStr">
        <is>
          <t>Rohan Verma</t>
        </is>
      </c>
    </row>
    <row r="26">
      <c r="A26" t="inlineStr">
        <is>
          <t>ORD-2508-0025</t>
        </is>
      </c>
      <c r="B26" s="11" t="n">
        <v>45874</v>
      </c>
      <c r="C26" t="inlineStr">
        <is>
          <t>Central</t>
        </is>
      </c>
      <c r="D26" t="inlineStr">
        <is>
          <t>Nagpur</t>
        </is>
      </c>
      <c r="E26" t="inlineStr">
        <is>
          <t>Small Business</t>
        </is>
      </c>
      <c r="F26" t="inlineStr">
        <is>
          <t>Partner</t>
        </is>
      </c>
      <c r="G26" t="inlineStr">
        <is>
          <t>Technology</t>
        </is>
      </c>
      <c r="H26" t="inlineStr">
        <is>
          <t>Keyboard</t>
        </is>
      </c>
      <c r="I26" t="n">
        <v>1</v>
      </c>
      <c r="J26" s="12" t="n">
        <v>1301.1</v>
      </c>
      <c r="K26" s="13" t="n">
        <v>0</v>
      </c>
      <c r="L26" s="12" t="n">
        <v>1301.1</v>
      </c>
      <c r="M26" s="12" t="n">
        <v>975.8200000000001</v>
      </c>
      <c r="N26" s="12" t="n">
        <v>325.28</v>
      </c>
      <c r="O26" t="inlineStr">
        <is>
          <t>Credit Card</t>
        </is>
      </c>
      <c r="P26" t="inlineStr">
        <is>
          <t>Sara Khan</t>
        </is>
      </c>
    </row>
    <row r="27">
      <c r="A27" t="inlineStr">
        <is>
          <t>ORD-2501-0026</t>
        </is>
      </c>
      <c r="B27" s="11" t="n">
        <v>45687</v>
      </c>
      <c r="C27" t="inlineStr">
        <is>
          <t>North</t>
        </is>
      </c>
      <c r="D27" t="inlineStr">
        <is>
          <t>Lucknow</t>
        </is>
      </c>
      <c r="E27" t="inlineStr">
        <is>
          <t>Small Business</t>
        </is>
      </c>
      <c r="F27" t="inlineStr">
        <is>
          <t>Online</t>
        </is>
      </c>
      <c r="G27" t="inlineStr">
        <is>
          <t>Furniture</t>
        </is>
      </c>
      <c r="H27" t="inlineStr">
        <is>
          <t>Storage Cabinet</t>
        </is>
      </c>
      <c r="I27" t="n">
        <v>6</v>
      </c>
      <c r="J27" s="12" t="n">
        <v>8269</v>
      </c>
      <c r="K27" s="13" t="n">
        <v>0.1</v>
      </c>
      <c r="L27" s="12" t="n">
        <v>44652.6</v>
      </c>
      <c r="M27" s="12" t="n">
        <v>39691.2</v>
      </c>
      <c r="N27" s="12" t="n">
        <v>4961.4</v>
      </c>
      <c r="O27" t="inlineStr">
        <is>
          <t>UPI</t>
        </is>
      </c>
      <c r="P27" t="inlineStr">
        <is>
          <t>Diya Patel</t>
        </is>
      </c>
    </row>
    <row r="28">
      <c r="A28" t="inlineStr">
        <is>
          <t>ORD-2511-0027</t>
        </is>
      </c>
      <c r="B28" s="11" t="n">
        <v>45962</v>
      </c>
      <c r="C28" t="inlineStr">
        <is>
          <t>North</t>
        </is>
      </c>
      <c r="D28" t="inlineStr">
        <is>
          <t>Jaipur</t>
        </is>
      </c>
      <c r="E28" t="inlineStr">
        <is>
          <t>Small Business</t>
        </is>
      </c>
      <c r="F28" t="inlineStr">
        <is>
          <t>Online</t>
        </is>
      </c>
      <c r="G28" t="inlineStr">
        <is>
          <t>Furniture</t>
        </is>
      </c>
      <c r="H28" t="inlineStr">
        <is>
          <t>Desk</t>
        </is>
      </c>
      <c r="I28" t="n">
        <v>1</v>
      </c>
      <c r="J28" s="12" t="n">
        <v>11033.04</v>
      </c>
      <c r="K28" s="13" t="n">
        <v>0.15</v>
      </c>
      <c r="L28" s="12" t="n">
        <v>9378.08</v>
      </c>
      <c r="M28" s="12" t="n">
        <v>8385.110000000001</v>
      </c>
      <c r="N28" s="12" t="n">
        <v>992.97</v>
      </c>
      <c r="O28" t="inlineStr">
        <is>
          <t>Cash</t>
        </is>
      </c>
      <c r="P28" t="inlineStr">
        <is>
          <t>Diya Patel</t>
        </is>
      </c>
    </row>
    <row r="29">
      <c r="A29" t="inlineStr">
        <is>
          <t>ORD-2508-0028</t>
        </is>
      </c>
      <c r="B29" s="11" t="n">
        <v>45872</v>
      </c>
      <c r="C29" t="inlineStr">
        <is>
          <t>Central</t>
        </is>
      </c>
      <c r="D29" t="inlineStr">
        <is>
          <t>Raipur</t>
        </is>
      </c>
      <c r="E29" t="inlineStr">
        <is>
          <t>Corporate</t>
        </is>
      </c>
      <c r="F29" t="inlineStr">
        <is>
          <t>Online</t>
        </is>
      </c>
      <c r="G29" t="inlineStr">
        <is>
          <t>Technology</t>
        </is>
      </c>
      <c r="H29" t="inlineStr">
        <is>
          <t>Headphones</t>
        </is>
      </c>
      <c r="I29" t="n">
        <v>2</v>
      </c>
      <c r="J29" s="12" t="n">
        <v>2108.02</v>
      </c>
      <c r="K29" s="13" t="n">
        <v>0.1</v>
      </c>
      <c r="L29" s="12" t="n">
        <v>3794.44</v>
      </c>
      <c r="M29" s="12" t="n">
        <v>3288.51</v>
      </c>
      <c r="N29" s="12" t="n">
        <v>505.93</v>
      </c>
      <c r="O29" t="inlineStr">
        <is>
          <t>Net Banking</t>
        </is>
      </c>
      <c r="P29" t="inlineStr">
        <is>
          <t>Anaya Rao</t>
        </is>
      </c>
    </row>
    <row r="30">
      <c r="A30" t="inlineStr">
        <is>
          <t>ORD-2506-0029</t>
        </is>
      </c>
      <c r="B30" s="11" t="n">
        <v>45819</v>
      </c>
      <c r="C30" t="inlineStr">
        <is>
          <t>North</t>
        </is>
      </c>
      <c r="D30" t="inlineStr">
        <is>
          <t>Delhi</t>
        </is>
      </c>
      <c r="E30" t="inlineStr">
        <is>
          <t>Small Business</t>
        </is>
      </c>
      <c r="F30" t="inlineStr">
        <is>
          <t>Online</t>
        </is>
      </c>
      <c r="G30" t="inlineStr">
        <is>
          <t>Furniture</t>
        </is>
      </c>
      <c r="H30" t="inlineStr">
        <is>
          <t>Bookshelf</t>
        </is>
      </c>
      <c r="I30" t="n">
        <v>3</v>
      </c>
      <c r="J30" s="12" t="n">
        <v>4867.18</v>
      </c>
      <c r="K30" s="13" t="n">
        <v>0.1</v>
      </c>
      <c r="L30" s="12" t="n">
        <v>13141.39</v>
      </c>
      <c r="M30" s="12" t="n">
        <v>10805.14</v>
      </c>
      <c r="N30" s="12" t="n">
        <v>2336.25</v>
      </c>
      <c r="O30" t="inlineStr">
        <is>
          <t>Cash</t>
        </is>
      </c>
      <c r="P30" t="inlineStr">
        <is>
          <t>Rohan Verma</t>
        </is>
      </c>
    </row>
    <row r="31">
      <c r="A31" t="inlineStr">
        <is>
          <t>ORD-2503-0030</t>
        </is>
      </c>
      <c r="B31" s="11" t="n">
        <v>45725</v>
      </c>
      <c r="C31" t="inlineStr">
        <is>
          <t>East</t>
        </is>
      </c>
      <c r="D31" t="inlineStr">
        <is>
          <t>Kolkata</t>
        </is>
      </c>
      <c r="E31" t="inlineStr">
        <is>
          <t>Small Business</t>
        </is>
      </c>
      <c r="F31" t="inlineStr">
        <is>
          <t>Retail Store</t>
        </is>
      </c>
      <c r="G31" t="inlineStr">
        <is>
          <t>Technology</t>
        </is>
      </c>
      <c r="H31" t="inlineStr">
        <is>
          <t>Printer</t>
        </is>
      </c>
      <c r="I31" t="n">
        <v>2</v>
      </c>
      <c r="J31" s="12" t="n">
        <v>10007.29</v>
      </c>
      <c r="K31" s="13" t="n">
        <v>0</v>
      </c>
      <c r="L31" s="12" t="n">
        <v>20014.58</v>
      </c>
      <c r="M31" s="12" t="n">
        <v>16812.25</v>
      </c>
      <c r="N31" s="12" t="n">
        <v>3202.33</v>
      </c>
      <c r="O31" t="inlineStr">
        <is>
          <t>Cash</t>
        </is>
      </c>
      <c r="P31" t="inlineStr">
        <is>
          <t>Aarav Sharma</t>
        </is>
      </c>
    </row>
    <row r="32">
      <c r="A32" t="inlineStr">
        <is>
          <t>ORD-2512-0031</t>
        </is>
      </c>
      <c r="B32" s="11" t="n">
        <v>45999</v>
      </c>
      <c r="C32" t="inlineStr">
        <is>
          <t>Central</t>
        </is>
      </c>
      <c r="D32" t="inlineStr">
        <is>
          <t>Raipur</t>
        </is>
      </c>
      <c r="E32" t="inlineStr">
        <is>
          <t>Consumer</t>
        </is>
      </c>
      <c r="F32" t="inlineStr">
        <is>
          <t>Partner</t>
        </is>
      </c>
      <c r="G32" t="inlineStr">
        <is>
          <t>Office Supplies</t>
        </is>
      </c>
      <c r="H32" t="inlineStr">
        <is>
          <t>Pens Box</t>
        </is>
      </c>
      <c r="I32" t="n">
        <v>1</v>
      </c>
      <c r="J32" s="12" t="n">
        <v>173.22</v>
      </c>
      <c r="K32" s="13" t="n">
        <v>0.15</v>
      </c>
      <c r="L32" s="12" t="n">
        <v>147.24</v>
      </c>
      <c r="M32" s="12" t="n">
        <v>112.59</v>
      </c>
      <c r="N32" s="12" t="n">
        <v>34.65</v>
      </c>
      <c r="O32" t="inlineStr">
        <is>
          <t>Cash</t>
        </is>
      </c>
      <c r="P32" t="inlineStr">
        <is>
          <t>Kabir Singh</t>
        </is>
      </c>
    </row>
    <row r="33">
      <c r="A33" t="inlineStr">
        <is>
          <t>ORD-2505-0032</t>
        </is>
      </c>
      <c r="B33" s="11" t="n">
        <v>45797</v>
      </c>
      <c r="C33" t="inlineStr">
        <is>
          <t>East</t>
        </is>
      </c>
      <c r="D33" t="inlineStr">
        <is>
          <t>Patna</t>
        </is>
      </c>
      <c r="E33" t="inlineStr">
        <is>
          <t>Small Business</t>
        </is>
      </c>
      <c r="F33" t="inlineStr">
        <is>
          <t>Retail Store</t>
        </is>
      </c>
      <c r="G33" t="inlineStr">
        <is>
          <t>Office Supplies</t>
        </is>
      </c>
      <c r="H33" t="inlineStr">
        <is>
          <t>Paper Ream</t>
        </is>
      </c>
      <c r="I33" t="n">
        <v>2</v>
      </c>
      <c r="J33" s="12" t="n">
        <v>443.72</v>
      </c>
      <c r="K33" s="13" t="n">
        <v>0.1</v>
      </c>
      <c r="L33" s="12" t="n">
        <v>798.7</v>
      </c>
      <c r="M33" s="12" t="n">
        <v>683.33</v>
      </c>
      <c r="N33" s="12" t="n">
        <v>115.37</v>
      </c>
      <c r="O33" t="inlineStr">
        <is>
          <t>Net Banking</t>
        </is>
      </c>
      <c r="P33" t="inlineStr">
        <is>
          <t>Aarav Sharma</t>
        </is>
      </c>
    </row>
    <row r="34">
      <c r="A34" t="inlineStr">
        <is>
          <t>ORD-2502-0033</t>
        </is>
      </c>
      <c r="B34" s="11" t="n">
        <v>45705</v>
      </c>
      <c r="C34" t="inlineStr">
        <is>
          <t>West</t>
        </is>
      </c>
      <c r="D34" t="inlineStr">
        <is>
          <t>Ahmedabad</t>
        </is>
      </c>
      <c r="E34" t="inlineStr">
        <is>
          <t>Corporate</t>
        </is>
      </c>
      <c r="F34" t="inlineStr">
        <is>
          <t>Online</t>
        </is>
      </c>
      <c r="G34" t="inlineStr">
        <is>
          <t>Technology</t>
        </is>
      </c>
      <c r="H34" t="inlineStr">
        <is>
          <t>Laptop</t>
        </is>
      </c>
      <c r="I34" t="n">
        <v>1</v>
      </c>
      <c r="J34" s="12" t="n">
        <v>42921.4</v>
      </c>
      <c r="K34" s="13" t="n">
        <v>0.1</v>
      </c>
      <c r="L34" s="12" t="n">
        <v>38629.26</v>
      </c>
      <c r="M34" s="12" t="n">
        <v>37770.83</v>
      </c>
      <c r="N34" s="12" t="n">
        <v>858.4299999999999</v>
      </c>
      <c r="O34" t="inlineStr">
        <is>
          <t>Debit Card</t>
        </is>
      </c>
      <c r="P34" t="inlineStr">
        <is>
          <t>Vivaan Gupta</t>
        </is>
      </c>
    </row>
    <row r="35">
      <c r="A35" t="inlineStr">
        <is>
          <t>ORD-2510-0034</t>
        </is>
      </c>
      <c r="B35" s="11" t="n">
        <v>45945</v>
      </c>
      <c r="C35" t="inlineStr">
        <is>
          <t>North</t>
        </is>
      </c>
      <c r="D35" t="inlineStr">
        <is>
          <t>Delhi</t>
        </is>
      </c>
      <c r="E35" t="inlineStr">
        <is>
          <t>Consumer</t>
        </is>
      </c>
      <c r="F35" t="inlineStr">
        <is>
          <t>Retail Store</t>
        </is>
      </c>
      <c r="G35" t="inlineStr">
        <is>
          <t>Technology</t>
        </is>
      </c>
      <c r="H35" t="inlineStr">
        <is>
          <t>Monitor</t>
        </is>
      </c>
      <c r="I35" t="n">
        <v>8</v>
      </c>
      <c r="J35" s="12" t="n">
        <v>11798.11</v>
      </c>
      <c r="K35" s="13" t="n">
        <v>0.1</v>
      </c>
      <c r="L35" s="12" t="n">
        <v>84946.39</v>
      </c>
      <c r="M35" s="12" t="n">
        <v>77395.60000000001</v>
      </c>
      <c r="N35" s="12" t="n">
        <v>7550.79</v>
      </c>
      <c r="O35" t="inlineStr">
        <is>
          <t>Cash</t>
        </is>
      </c>
      <c r="P35" t="inlineStr">
        <is>
          <t>Kabir Singh</t>
        </is>
      </c>
    </row>
    <row r="36">
      <c r="A36" t="inlineStr">
        <is>
          <t>ORD-2508-0035</t>
        </is>
      </c>
      <c r="B36" s="11" t="n">
        <v>45878</v>
      </c>
      <c r="C36" t="inlineStr">
        <is>
          <t>South</t>
        </is>
      </c>
      <c r="D36" t="inlineStr">
        <is>
          <t>Bengaluru</t>
        </is>
      </c>
      <c r="E36" t="inlineStr">
        <is>
          <t>Consumer</t>
        </is>
      </c>
      <c r="F36" t="inlineStr">
        <is>
          <t>Retail Store</t>
        </is>
      </c>
      <c r="G36" t="inlineStr">
        <is>
          <t>Technology</t>
        </is>
      </c>
      <c r="H36" t="inlineStr">
        <is>
          <t>Headphones</t>
        </is>
      </c>
      <c r="I36" t="n">
        <v>2</v>
      </c>
      <c r="J36" s="12" t="n">
        <v>2366.21</v>
      </c>
      <c r="K36" s="13" t="n">
        <v>0.15</v>
      </c>
      <c r="L36" s="12" t="n">
        <v>4022.56</v>
      </c>
      <c r="M36" s="12" t="n">
        <v>3691.29</v>
      </c>
      <c r="N36" s="12" t="n">
        <v>331.27</v>
      </c>
      <c r="O36" t="inlineStr">
        <is>
          <t>UPI</t>
        </is>
      </c>
      <c r="P36" t="inlineStr">
        <is>
          <t>Meera Joshi</t>
        </is>
      </c>
    </row>
    <row r="37">
      <c r="A37" t="inlineStr">
        <is>
          <t>ORD-2512-0036</t>
        </is>
      </c>
      <c r="B37" s="11" t="n">
        <v>45999</v>
      </c>
      <c r="C37" t="inlineStr">
        <is>
          <t>North</t>
        </is>
      </c>
      <c r="D37" t="inlineStr">
        <is>
          <t>Chandigarh</t>
        </is>
      </c>
      <c r="E37" t="inlineStr">
        <is>
          <t>Small Business</t>
        </is>
      </c>
      <c r="F37" t="inlineStr">
        <is>
          <t>Online</t>
        </is>
      </c>
      <c r="G37" t="inlineStr">
        <is>
          <t>Office Supplies</t>
        </is>
      </c>
      <c r="H37" t="inlineStr">
        <is>
          <t>File Folder</t>
        </is>
      </c>
      <c r="I37" t="n">
        <v>3</v>
      </c>
      <c r="J37" s="12" t="n">
        <v>96.81999999999999</v>
      </c>
      <c r="K37" s="13" t="n">
        <v>0.15</v>
      </c>
      <c r="L37" s="12" t="n">
        <v>246.89</v>
      </c>
      <c r="M37" s="12" t="n">
        <v>180.09</v>
      </c>
      <c r="N37" s="12" t="n">
        <v>66.8</v>
      </c>
      <c r="O37" t="inlineStr">
        <is>
          <t>UPI</t>
        </is>
      </c>
      <c r="P37" t="inlineStr">
        <is>
          <t>Kabir Singh</t>
        </is>
      </c>
    </row>
    <row r="38">
      <c r="A38" t="inlineStr">
        <is>
          <t>ORD-2504-0037</t>
        </is>
      </c>
      <c r="B38" s="11" t="n">
        <v>45748</v>
      </c>
      <c r="C38" t="inlineStr">
        <is>
          <t>West</t>
        </is>
      </c>
      <c r="D38" t="inlineStr">
        <is>
          <t>Mumbai</t>
        </is>
      </c>
      <c r="E38" t="inlineStr">
        <is>
          <t>Small Business</t>
        </is>
      </c>
      <c r="F38" t="inlineStr">
        <is>
          <t>Partner</t>
        </is>
      </c>
      <c r="G38" t="inlineStr">
        <is>
          <t>Technology</t>
        </is>
      </c>
      <c r="H38" t="inlineStr">
        <is>
          <t>Keyboard</t>
        </is>
      </c>
      <c r="I38" t="n">
        <v>4</v>
      </c>
      <c r="J38" s="12" t="n">
        <v>1496.5</v>
      </c>
      <c r="K38" s="13" t="n">
        <v>0.05</v>
      </c>
      <c r="L38" s="12" t="n">
        <v>5686.7</v>
      </c>
      <c r="M38" s="12" t="n">
        <v>4489.5</v>
      </c>
      <c r="N38" s="12" t="n">
        <v>1197.2</v>
      </c>
      <c r="O38" t="inlineStr">
        <is>
          <t>UPI</t>
        </is>
      </c>
      <c r="P38" t="inlineStr">
        <is>
          <t>Rohan Verma</t>
        </is>
      </c>
    </row>
    <row r="39">
      <c r="A39" t="inlineStr">
        <is>
          <t>ORD-2503-0038</t>
        </is>
      </c>
      <c r="B39" s="11" t="n">
        <v>45739</v>
      </c>
      <c r="C39" t="inlineStr">
        <is>
          <t>North</t>
        </is>
      </c>
      <c r="D39" t="inlineStr">
        <is>
          <t>Lucknow</t>
        </is>
      </c>
      <c r="E39" t="inlineStr">
        <is>
          <t>Corporate</t>
        </is>
      </c>
      <c r="F39" t="inlineStr">
        <is>
          <t>Retail Store</t>
        </is>
      </c>
      <c r="G39" t="inlineStr">
        <is>
          <t>Office Supplies</t>
        </is>
      </c>
      <c r="H39" t="inlineStr">
        <is>
          <t>Stapler</t>
        </is>
      </c>
      <c r="I39" t="n">
        <v>1</v>
      </c>
      <c r="J39" s="12" t="n">
        <v>247.5</v>
      </c>
      <c r="K39" s="13" t="n">
        <v>0.05</v>
      </c>
      <c r="L39" s="12" t="n">
        <v>235.12</v>
      </c>
      <c r="M39" s="12" t="n">
        <v>173.25</v>
      </c>
      <c r="N39" s="12" t="n">
        <v>61.87</v>
      </c>
      <c r="O39" t="inlineStr">
        <is>
          <t>Net Banking</t>
        </is>
      </c>
      <c r="P39" t="inlineStr">
        <is>
          <t>Meera Joshi</t>
        </is>
      </c>
    </row>
    <row r="40">
      <c r="A40" t="inlineStr">
        <is>
          <t>ORD-2504-0039</t>
        </is>
      </c>
      <c r="B40" s="11" t="n">
        <v>45772</v>
      </c>
      <c r="C40" t="inlineStr">
        <is>
          <t>North</t>
        </is>
      </c>
      <c r="D40" t="inlineStr">
        <is>
          <t>Jaipur</t>
        </is>
      </c>
      <c r="E40" t="inlineStr">
        <is>
          <t>Corporate</t>
        </is>
      </c>
      <c r="F40" t="inlineStr">
        <is>
          <t>Retail Store</t>
        </is>
      </c>
      <c r="G40" t="inlineStr">
        <is>
          <t>Furniture</t>
        </is>
      </c>
      <c r="H40" t="inlineStr">
        <is>
          <t>Desk</t>
        </is>
      </c>
      <c r="I40" t="n">
        <v>2</v>
      </c>
      <c r="J40" s="12" t="n">
        <v>12359.08</v>
      </c>
      <c r="K40" s="13" t="n">
        <v>0.15</v>
      </c>
      <c r="L40" s="12" t="n">
        <v>21010.44</v>
      </c>
      <c r="M40" s="12" t="n">
        <v>18785.8</v>
      </c>
      <c r="N40" s="12" t="n">
        <v>2224.64</v>
      </c>
      <c r="O40" t="inlineStr">
        <is>
          <t>Cash</t>
        </is>
      </c>
      <c r="P40" t="inlineStr">
        <is>
          <t>Vivaan Gupta</t>
        </is>
      </c>
    </row>
    <row r="41">
      <c r="A41" t="inlineStr">
        <is>
          <t>ORD-2512-0040</t>
        </is>
      </c>
      <c r="B41" s="11" t="n">
        <v>46005</v>
      </c>
      <c r="C41" t="inlineStr">
        <is>
          <t>Central</t>
        </is>
      </c>
      <c r="D41" t="inlineStr">
        <is>
          <t>Raipur</t>
        </is>
      </c>
      <c r="E41" t="inlineStr">
        <is>
          <t>Corporate</t>
        </is>
      </c>
      <c r="F41" t="inlineStr">
        <is>
          <t>Online</t>
        </is>
      </c>
      <c r="G41" t="inlineStr">
        <is>
          <t>Technology</t>
        </is>
      </c>
      <c r="H41" t="inlineStr">
        <is>
          <t>Laptop</t>
        </is>
      </c>
      <c r="I41" t="n">
        <v>1</v>
      </c>
      <c r="J41" s="12" t="n">
        <v>39839.98</v>
      </c>
      <c r="K41" s="13" t="n">
        <v>0.2</v>
      </c>
      <c r="L41" s="12" t="n">
        <v>31871.98</v>
      </c>
      <c r="M41" s="12" t="n">
        <v>35059.18</v>
      </c>
      <c r="N41" s="12" t="n">
        <v>-3187.2</v>
      </c>
      <c r="O41" t="inlineStr">
        <is>
          <t>Credit Card</t>
        </is>
      </c>
      <c r="P41" t="inlineStr">
        <is>
          <t>Vivaan Gupta</t>
        </is>
      </c>
    </row>
    <row r="42">
      <c r="A42" t="inlineStr">
        <is>
          <t>ORD-2506-0041</t>
        </is>
      </c>
      <c r="B42" s="11" t="n">
        <v>45834</v>
      </c>
      <c r="C42" t="inlineStr">
        <is>
          <t>East</t>
        </is>
      </c>
      <c r="D42" t="inlineStr">
        <is>
          <t>Guwahati</t>
        </is>
      </c>
      <c r="E42" t="inlineStr">
        <is>
          <t>Consumer</t>
        </is>
      </c>
      <c r="F42" t="inlineStr">
        <is>
          <t>Retail Store</t>
        </is>
      </c>
      <c r="G42" t="inlineStr">
        <is>
          <t>Office Supplies</t>
        </is>
      </c>
      <c r="H42" t="inlineStr">
        <is>
          <t>Notebook Pack</t>
        </is>
      </c>
      <c r="I42" t="n">
        <v>10</v>
      </c>
      <c r="J42" s="12" t="n">
        <v>372.37</v>
      </c>
      <c r="K42" s="13" t="n">
        <v>0</v>
      </c>
      <c r="L42" s="12" t="n">
        <v>3723.7</v>
      </c>
      <c r="M42" s="12" t="n">
        <v>2532.12</v>
      </c>
      <c r="N42" s="12" t="n">
        <v>1191.58</v>
      </c>
      <c r="O42" t="inlineStr">
        <is>
          <t>Credit Card</t>
        </is>
      </c>
      <c r="P42" t="inlineStr">
        <is>
          <t>Vivaan Gupta</t>
        </is>
      </c>
    </row>
    <row r="43">
      <c r="A43" t="inlineStr">
        <is>
          <t>ORD-2501-0042</t>
        </is>
      </c>
      <c r="B43" s="11" t="n">
        <v>45658</v>
      </c>
      <c r="C43" t="inlineStr">
        <is>
          <t>Central</t>
        </is>
      </c>
      <c r="D43" t="inlineStr">
        <is>
          <t>Indore</t>
        </is>
      </c>
      <c r="E43" t="inlineStr">
        <is>
          <t>Small Business</t>
        </is>
      </c>
      <c r="F43" t="inlineStr">
        <is>
          <t>Retail Store</t>
        </is>
      </c>
      <c r="G43" t="inlineStr">
        <is>
          <t>Furniture</t>
        </is>
      </c>
      <c r="H43" t="inlineStr">
        <is>
          <t>Office Chair</t>
        </is>
      </c>
      <c r="I43" t="n">
        <v>2</v>
      </c>
      <c r="J43" s="12" t="n">
        <v>7257.8</v>
      </c>
      <c r="K43" s="13" t="n">
        <v>0.2</v>
      </c>
      <c r="L43" s="12" t="n">
        <v>11612.48</v>
      </c>
      <c r="M43" s="12" t="n">
        <v>10451.23</v>
      </c>
      <c r="N43" s="12" t="n">
        <v>1161.25</v>
      </c>
      <c r="O43" t="inlineStr">
        <is>
          <t>Credit Card</t>
        </is>
      </c>
      <c r="P43" t="inlineStr">
        <is>
          <t>Rohan Verma</t>
        </is>
      </c>
    </row>
    <row r="44">
      <c r="A44" t="inlineStr">
        <is>
          <t>ORD-2509-0043</t>
        </is>
      </c>
      <c r="B44" s="11" t="n">
        <v>45917</v>
      </c>
      <c r="C44" t="inlineStr">
        <is>
          <t>East</t>
        </is>
      </c>
      <c r="D44" t="inlineStr">
        <is>
          <t>Guwahati</t>
        </is>
      </c>
      <c r="E44" t="inlineStr">
        <is>
          <t>Corporate</t>
        </is>
      </c>
      <c r="F44" t="inlineStr">
        <is>
          <t>Partner</t>
        </is>
      </c>
      <c r="G44" t="inlineStr">
        <is>
          <t>Furniture</t>
        </is>
      </c>
      <c r="H44" t="inlineStr">
        <is>
          <t>Office Chair</t>
        </is>
      </c>
      <c r="I44" t="n">
        <v>2</v>
      </c>
      <c r="J44" s="12" t="n">
        <v>6394.49</v>
      </c>
      <c r="K44" s="13" t="n">
        <v>0.05</v>
      </c>
      <c r="L44" s="12" t="n">
        <v>12149.53</v>
      </c>
      <c r="M44" s="12" t="n">
        <v>9208.07</v>
      </c>
      <c r="N44" s="12" t="n">
        <v>2941.46</v>
      </c>
      <c r="O44" t="inlineStr">
        <is>
          <t>Debit Card</t>
        </is>
      </c>
      <c r="P44" t="inlineStr">
        <is>
          <t>Kabir Singh</t>
        </is>
      </c>
    </row>
    <row r="45">
      <c r="A45" t="inlineStr">
        <is>
          <t>ORD-2511-0044</t>
        </is>
      </c>
      <c r="B45" s="11" t="n">
        <v>45973</v>
      </c>
      <c r="C45" t="inlineStr">
        <is>
          <t>Central</t>
        </is>
      </c>
      <c r="D45" t="inlineStr">
        <is>
          <t>Raipur</t>
        </is>
      </c>
      <c r="E45" t="inlineStr">
        <is>
          <t>Corporate</t>
        </is>
      </c>
      <c r="F45" t="inlineStr">
        <is>
          <t>Partner</t>
        </is>
      </c>
      <c r="G45" t="inlineStr">
        <is>
          <t>Furniture</t>
        </is>
      </c>
      <c r="H45" t="inlineStr">
        <is>
          <t>Desk</t>
        </is>
      </c>
      <c r="I45" t="n">
        <v>3</v>
      </c>
      <c r="J45" s="12" t="n">
        <v>11107.92</v>
      </c>
      <c r="K45" s="13" t="n">
        <v>0</v>
      </c>
      <c r="L45" s="12" t="n">
        <v>33323.76</v>
      </c>
      <c r="M45" s="12" t="n">
        <v>25326.06</v>
      </c>
      <c r="N45" s="12" t="n">
        <v>7997.7</v>
      </c>
      <c r="O45" t="inlineStr">
        <is>
          <t>Cash</t>
        </is>
      </c>
      <c r="P45" t="inlineStr">
        <is>
          <t>Sara Khan</t>
        </is>
      </c>
    </row>
    <row r="46">
      <c r="A46" t="inlineStr">
        <is>
          <t>ORD-2508-0045</t>
        </is>
      </c>
      <c r="B46" s="11" t="n">
        <v>45896</v>
      </c>
      <c r="C46" t="inlineStr">
        <is>
          <t>West</t>
        </is>
      </c>
      <c r="D46" t="inlineStr">
        <is>
          <t>Surat</t>
        </is>
      </c>
      <c r="E46" t="inlineStr">
        <is>
          <t>Small Business</t>
        </is>
      </c>
      <c r="F46" t="inlineStr">
        <is>
          <t>Online</t>
        </is>
      </c>
      <c r="G46" t="inlineStr">
        <is>
          <t>Office Supplies</t>
        </is>
      </c>
      <c r="H46" t="inlineStr">
        <is>
          <t>Pens Box</t>
        </is>
      </c>
      <c r="I46" t="n">
        <v>2</v>
      </c>
      <c r="J46" s="12" t="n">
        <v>191.55</v>
      </c>
      <c r="K46" s="13" t="n">
        <v>0.05</v>
      </c>
      <c r="L46" s="12" t="n">
        <v>363.94</v>
      </c>
      <c r="M46" s="12" t="n">
        <v>249.02</v>
      </c>
      <c r="N46" s="12" t="n">
        <v>114.92</v>
      </c>
      <c r="O46" t="inlineStr">
        <is>
          <t>Credit Card</t>
        </is>
      </c>
      <c r="P46" t="inlineStr">
        <is>
          <t>Rohan Verma</t>
        </is>
      </c>
    </row>
    <row r="47">
      <c r="A47" t="inlineStr">
        <is>
          <t>ORD-2509-0046</t>
        </is>
      </c>
      <c r="B47" s="11" t="n">
        <v>45921</v>
      </c>
      <c r="C47" t="inlineStr">
        <is>
          <t>Central</t>
        </is>
      </c>
      <c r="D47" t="inlineStr">
        <is>
          <t>Raipur</t>
        </is>
      </c>
      <c r="E47" t="inlineStr">
        <is>
          <t>Consumer</t>
        </is>
      </c>
      <c r="F47" t="inlineStr">
        <is>
          <t>Online</t>
        </is>
      </c>
      <c r="G47" t="inlineStr">
        <is>
          <t>Technology</t>
        </is>
      </c>
      <c r="H47" t="inlineStr">
        <is>
          <t>Monitor</t>
        </is>
      </c>
      <c r="I47" t="n">
        <v>5</v>
      </c>
      <c r="J47" s="12" t="n">
        <v>12845.59</v>
      </c>
      <c r="K47" s="13" t="n">
        <v>0.1</v>
      </c>
      <c r="L47" s="12" t="n">
        <v>57805.15</v>
      </c>
      <c r="M47" s="12" t="n">
        <v>52666.92</v>
      </c>
      <c r="N47" s="12" t="n">
        <v>5138.23</v>
      </c>
      <c r="O47" t="inlineStr">
        <is>
          <t>UPI</t>
        </is>
      </c>
      <c r="P47" t="inlineStr">
        <is>
          <t>Aarav Sharma</t>
        </is>
      </c>
    </row>
    <row r="48">
      <c r="A48" t="inlineStr">
        <is>
          <t>ORD-2501-0047</t>
        </is>
      </c>
      <c r="B48" s="11" t="n">
        <v>45681</v>
      </c>
      <c r="C48" t="inlineStr">
        <is>
          <t>South</t>
        </is>
      </c>
      <c r="D48" t="inlineStr">
        <is>
          <t>Kochi</t>
        </is>
      </c>
      <c r="E48" t="inlineStr">
        <is>
          <t>Small Business</t>
        </is>
      </c>
      <c r="F48" t="inlineStr">
        <is>
          <t>Partner</t>
        </is>
      </c>
      <c r="G48" t="inlineStr">
        <is>
          <t>Office Supplies</t>
        </is>
      </c>
      <c r="H48" t="inlineStr">
        <is>
          <t>Notebook Pack</t>
        </is>
      </c>
      <c r="I48" t="n">
        <v>5</v>
      </c>
      <c r="J48" s="12" t="n">
        <v>345.21</v>
      </c>
      <c r="K48" s="13" t="n">
        <v>0</v>
      </c>
      <c r="L48" s="12" t="n">
        <v>1726.05</v>
      </c>
      <c r="M48" s="12" t="n">
        <v>1173.71</v>
      </c>
      <c r="N48" s="12" t="n">
        <v>552.34</v>
      </c>
      <c r="O48" t="inlineStr">
        <is>
          <t>UPI</t>
        </is>
      </c>
      <c r="P48" t="inlineStr">
        <is>
          <t>Vivaan Gupta</t>
        </is>
      </c>
    </row>
    <row r="49">
      <c r="A49" t="inlineStr">
        <is>
          <t>ORD-2509-0048</t>
        </is>
      </c>
      <c r="B49" s="11" t="n">
        <v>45911</v>
      </c>
      <c r="C49" t="inlineStr">
        <is>
          <t>West</t>
        </is>
      </c>
      <c r="D49" t="inlineStr">
        <is>
          <t>Pune</t>
        </is>
      </c>
      <c r="E49" t="inlineStr">
        <is>
          <t>Consumer</t>
        </is>
      </c>
      <c r="F49" t="inlineStr">
        <is>
          <t>Retail Store</t>
        </is>
      </c>
      <c r="G49" t="inlineStr">
        <is>
          <t>Technology</t>
        </is>
      </c>
      <c r="H49" t="inlineStr">
        <is>
          <t>Keyboard</t>
        </is>
      </c>
      <c r="I49" t="n">
        <v>4</v>
      </c>
      <c r="J49" s="12" t="n">
        <v>1456.22</v>
      </c>
      <c r="K49" s="13" t="n">
        <v>0</v>
      </c>
      <c r="L49" s="12" t="n">
        <v>5824.88</v>
      </c>
      <c r="M49" s="12" t="n">
        <v>4368.66</v>
      </c>
      <c r="N49" s="12" t="n">
        <v>1456.22</v>
      </c>
      <c r="O49" t="inlineStr">
        <is>
          <t>UPI</t>
        </is>
      </c>
      <c r="P49" t="inlineStr">
        <is>
          <t>Kabir Singh</t>
        </is>
      </c>
    </row>
    <row r="50">
      <c r="A50" t="inlineStr">
        <is>
          <t>ORD-2512-0049</t>
        </is>
      </c>
      <c r="B50" s="11" t="n">
        <v>46014</v>
      </c>
      <c r="C50" t="inlineStr">
        <is>
          <t>Central</t>
        </is>
      </c>
      <c r="D50" t="inlineStr">
        <is>
          <t>Nagpur</t>
        </is>
      </c>
      <c r="E50" t="inlineStr">
        <is>
          <t>Consumer</t>
        </is>
      </c>
      <c r="F50" t="inlineStr">
        <is>
          <t>Retail Store</t>
        </is>
      </c>
      <c r="G50" t="inlineStr">
        <is>
          <t>Technology</t>
        </is>
      </c>
      <c r="H50" t="inlineStr">
        <is>
          <t>Laptop</t>
        </is>
      </c>
      <c r="I50" t="n">
        <v>3</v>
      </c>
      <c r="J50" s="12" t="n">
        <v>39455.53</v>
      </c>
      <c r="K50" s="13" t="n">
        <v>0.15</v>
      </c>
      <c r="L50" s="12" t="n">
        <v>100611.6</v>
      </c>
      <c r="M50" s="12" t="n">
        <v>104162.6</v>
      </c>
      <c r="N50" s="12" t="n">
        <v>-3551</v>
      </c>
      <c r="O50" t="inlineStr">
        <is>
          <t>Cash</t>
        </is>
      </c>
      <c r="P50" t="inlineStr">
        <is>
          <t>Sara Khan</t>
        </is>
      </c>
    </row>
    <row r="51">
      <c r="A51" t="inlineStr">
        <is>
          <t>ORD-2508-0050</t>
        </is>
      </c>
      <c r="B51" s="11" t="n">
        <v>45884</v>
      </c>
      <c r="C51" t="inlineStr">
        <is>
          <t>Central</t>
        </is>
      </c>
      <c r="D51" t="inlineStr">
        <is>
          <t>Nagpur</t>
        </is>
      </c>
      <c r="E51" t="inlineStr">
        <is>
          <t>Corporate</t>
        </is>
      </c>
      <c r="F51" t="inlineStr">
        <is>
          <t>Retail Store</t>
        </is>
      </c>
      <c r="G51" t="inlineStr">
        <is>
          <t>Office Supplies</t>
        </is>
      </c>
      <c r="H51" t="inlineStr">
        <is>
          <t>Stapler</t>
        </is>
      </c>
      <c r="I51" t="n">
        <v>6</v>
      </c>
      <c r="J51" s="12" t="n">
        <v>245.82</v>
      </c>
      <c r="K51" s="13" t="n">
        <v>0.05</v>
      </c>
      <c r="L51" s="12" t="n">
        <v>1401.17</v>
      </c>
      <c r="M51" s="12" t="n">
        <v>1032.44</v>
      </c>
      <c r="N51" s="12" t="n">
        <v>368.73</v>
      </c>
      <c r="O51" t="inlineStr">
        <is>
          <t>Net Banking</t>
        </is>
      </c>
      <c r="P51" t="inlineStr">
        <is>
          <t>Meera Joshi</t>
        </is>
      </c>
    </row>
    <row r="52">
      <c r="A52" t="inlineStr">
        <is>
          <t>ORD-2511-0051</t>
        </is>
      </c>
      <c r="B52" s="11" t="n">
        <v>45984</v>
      </c>
      <c r="C52" t="inlineStr">
        <is>
          <t>East</t>
        </is>
      </c>
      <c r="D52" t="inlineStr">
        <is>
          <t>Guwahati</t>
        </is>
      </c>
      <c r="E52" t="inlineStr">
        <is>
          <t>Consumer</t>
        </is>
      </c>
      <c r="F52" t="inlineStr">
        <is>
          <t>Retail Store</t>
        </is>
      </c>
      <c r="G52" t="inlineStr">
        <is>
          <t>Office Supplies</t>
        </is>
      </c>
      <c r="H52" t="inlineStr">
        <is>
          <t>Pens Box</t>
        </is>
      </c>
      <c r="I52" t="n">
        <v>2</v>
      </c>
      <c r="J52" s="12" t="n">
        <v>186.15</v>
      </c>
      <c r="K52" s="13" t="n">
        <v>0.05</v>
      </c>
      <c r="L52" s="12" t="n">
        <v>353.69</v>
      </c>
      <c r="M52" s="12" t="n">
        <v>242</v>
      </c>
      <c r="N52" s="12" t="n">
        <v>111.69</v>
      </c>
      <c r="O52" t="inlineStr">
        <is>
          <t>Net Banking</t>
        </is>
      </c>
      <c r="P52" t="inlineStr">
        <is>
          <t>Sara Khan</t>
        </is>
      </c>
    </row>
    <row r="53">
      <c r="A53" t="inlineStr">
        <is>
          <t>ORD-2510-0052</t>
        </is>
      </c>
      <c r="B53" s="11" t="n">
        <v>45934</v>
      </c>
      <c r="C53" t="inlineStr">
        <is>
          <t>North</t>
        </is>
      </c>
      <c r="D53" t="inlineStr">
        <is>
          <t>Jaipur</t>
        </is>
      </c>
      <c r="E53" t="inlineStr">
        <is>
          <t>Consumer</t>
        </is>
      </c>
      <c r="F53" t="inlineStr">
        <is>
          <t>Retail Store</t>
        </is>
      </c>
      <c r="G53" t="inlineStr">
        <is>
          <t>Technology</t>
        </is>
      </c>
      <c r="H53" t="inlineStr">
        <is>
          <t>Keyboard</t>
        </is>
      </c>
      <c r="I53" t="n">
        <v>2</v>
      </c>
      <c r="J53" s="12" t="n">
        <v>1446.24</v>
      </c>
      <c r="K53" s="13" t="n">
        <v>0.1</v>
      </c>
      <c r="L53" s="12" t="n">
        <v>2603.23</v>
      </c>
      <c r="M53" s="12" t="n">
        <v>2169.36</v>
      </c>
      <c r="N53" s="12" t="n">
        <v>433.87</v>
      </c>
      <c r="O53" t="inlineStr">
        <is>
          <t>Debit Card</t>
        </is>
      </c>
      <c r="P53" t="inlineStr">
        <is>
          <t>Sara Khan</t>
        </is>
      </c>
    </row>
    <row r="54">
      <c r="A54" t="inlineStr">
        <is>
          <t>ORD-2510-0053</t>
        </is>
      </c>
      <c r="B54" s="11" t="n">
        <v>45935</v>
      </c>
      <c r="C54" t="inlineStr">
        <is>
          <t>West</t>
        </is>
      </c>
      <c r="D54" t="inlineStr">
        <is>
          <t>Surat</t>
        </is>
      </c>
      <c r="E54" t="inlineStr">
        <is>
          <t>Small Business</t>
        </is>
      </c>
      <c r="F54" t="inlineStr">
        <is>
          <t>Partner</t>
        </is>
      </c>
      <c r="G54" t="inlineStr">
        <is>
          <t>Technology</t>
        </is>
      </c>
      <c r="H54" t="inlineStr">
        <is>
          <t>Laptop</t>
        </is>
      </c>
      <c r="I54" t="n">
        <v>2</v>
      </c>
      <c r="J54" s="12" t="n">
        <v>44720.51</v>
      </c>
      <c r="K54" s="13" t="n">
        <v>0.05</v>
      </c>
      <c r="L54" s="12" t="n">
        <v>84968.97</v>
      </c>
      <c r="M54" s="12" t="n">
        <v>78708.10000000001</v>
      </c>
      <c r="N54" s="12" t="n">
        <v>6260.87</v>
      </c>
      <c r="O54" t="inlineStr">
        <is>
          <t>Credit Card</t>
        </is>
      </c>
      <c r="P54" t="inlineStr">
        <is>
          <t>Vivaan Gupta</t>
        </is>
      </c>
    </row>
    <row r="55">
      <c r="A55" t="inlineStr">
        <is>
          <t>ORD-2509-0054</t>
        </is>
      </c>
      <c r="B55" s="11" t="n">
        <v>45902</v>
      </c>
      <c r="C55" t="inlineStr">
        <is>
          <t>North</t>
        </is>
      </c>
      <c r="D55" t="inlineStr">
        <is>
          <t>Chandigarh</t>
        </is>
      </c>
      <c r="E55" t="inlineStr">
        <is>
          <t>Corporate</t>
        </is>
      </c>
      <c r="F55" t="inlineStr">
        <is>
          <t>Partner</t>
        </is>
      </c>
      <c r="G55" t="inlineStr">
        <is>
          <t>Technology</t>
        </is>
      </c>
      <c r="H55" t="inlineStr">
        <is>
          <t>Headphones</t>
        </is>
      </c>
      <c r="I55" t="n">
        <v>4</v>
      </c>
      <c r="J55" s="12" t="n">
        <v>2359.61</v>
      </c>
      <c r="K55" s="13" t="n">
        <v>0.15</v>
      </c>
      <c r="L55" s="12" t="n">
        <v>8022.67</v>
      </c>
      <c r="M55" s="12" t="n">
        <v>7361.98</v>
      </c>
      <c r="N55" s="12" t="n">
        <v>660.6900000000001</v>
      </c>
      <c r="O55" t="inlineStr">
        <is>
          <t>Cash</t>
        </is>
      </c>
      <c r="P55" t="inlineStr">
        <is>
          <t>Meera Joshi</t>
        </is>
      </c>
    </row>
    <row r="56">
      <c r="A56" t="inlineStr">
        <is>
          <t>ORD-2509-0055</t>
        </is>
      </c>
      <c r="B56" s="11" t="n">
        <v>45907</v>
      </c>
      <c r="C56" t="inlineStr">
        <is>
          <t>South</t>
        </is>
      </c>
      <c r="D56" t="inlineStr">
        <is>
          <t>Hyderabad</t>
        </is>
      </c>
      <c r="E56" t="inlineStr">
        <is>
          <t>Corporate</t>
        </is>
      </c>
      <c r="F56" t="inlineStr">
        <is>
          <t>Partner</t>
        </is>
      </c>
      <c r="G56" t="inlineStr">
        <is>
          <t>Furniture</t>
        </is>
      </c>
      <c r="H56" t="inlineStr">
        <is>
          <t>Desk</t>
        </is>
      </c>
      <c r="I56" t="n">
        <v>3</v>
      </c>
      <c r="J56" s="12" t="n">
        <v>11810.73</v>
      </c>
      <c r="K56" s="13" t="n">
        <v>0.05</v>
      </c>
      <c r="L56" s="12" t="n">
        <v>33660.58</v>
      </c>
      <c r="M56" s="12" t="n">
        <v>26928.46</v>
      </c>
      <c r="N56" s="12" t="n">
        <v>6732.12</v>
      </c>
      <c r="O56" t="inlineStr">
        <is>
          <t>UPI</t>
        </is>
      </c>
      <c r="P56" t="inlineStr">
        <is>
          <t>Anaya Rao</t>
        </is>
      </c>
    </row>
    <row r="57">
      <c r="A57" t="inlineStr">
        <is>
          <t>ORD-2503-0056</t>
        </is>
      </c>
      <c r="B57" s="11" t="n">
        <v>45723</v>
      </c>
      <c r="C57" t="inlineStr">
        <is>
          <t>Central</t>
        </is>
      </c>
      <c r="D57" t="inlineStr">
        <is>
          <t>Bhopal</t>
        </is>
      </c>
      <c r="E57" t="inlineStr">
        <is>
          <t>Corporate</t>
        </is>
      </c>
      <c r="F57" t="inlineStr">
        <is>
          <t>Online</t>
        </is>
      </c>
      <c r="G57" t="inlineStr">
        <is>
          <t>Furniture</t>
        </is>
      </c>
      <c r="H57" t="inlineStr">
        <is>
          <t>Desk</t>
        </is>
      </c>
      <c r="I57" t="n">
        <v>3</v>
      </c>
      <c r="J57" s="12" t="n">
        <v>10734.46</v>
      </c>
      <c r="K57" s="13" t="n">
        <v>0.1</v>
      </c>
      <c r="L57" s="12" t="n">
        <v>28983.04</v>
      </c>
      <c r="M57" s="12" t="n">
        <v>24474.57</v>
      </c>
      <c r="N57" s="12" t="n">
        <v>4508.47</v>
      </c>
      <c r="O57" t="inlineStr">
        <is>
          <t>Debit Card</t>
        </is>
      </c>
      <c r="P57" t="inlineStr">
        <is>
          <t>Kabir Singh</t>
        </is>
      </c>
    </row>
    <row r="58">
      <c r="A58" t="inlineStr">
        <is>
          <t>ORD-2501-0057</t>
        </is>
      </c>
      <c r="B58" s="11" t="n">
        <v>45683</v>
      </c>
      <c r="C58" t="inlineStr">
        <is>
          <t>East</t>
        </is>
      </c>
      <c r="D58" t="inlineStr">
        <is>
          <t>Guwahati</t>
        </is>
      </c>
      <c r="E58" t="inlineStr">
        <is>
          <t>Corporate</t>
        </is>
      </c>
      <c r="F58" t="inlineStr">
        <is>
          <t>Retail Store</t>
        </is>
      </c>
      <c r="G58" t="inlineStr">
        <is>
          <t>Furniture</t>
        </is>
      </c>
      <c r="H58" t="inlineStr">
        <is>
          <t>Office Chair</t>
        </is>
      </c>
      <c r="I58" t="n">
        <v>2</v>
      </c>
      <c r="J58" s="12" t="n">
        <v>7084.22</v>
      </c>
      <c r="K58" s="13" t="n">
        <v>0.05</v>
      </c>
      <c r="L58" s="12" t="n">
        <v>13460.02</v>
      </c>
      <c r="M58" s="12" t="n">
        <v>10201.28</v>
      </c>
      <c r="N58" s="12" t="n">
        <v>3258.74</v>
      </c>
      <c r="O58" t="inlineStr">
        <is>
          <t>Debit Card</t>
        </is>
      </c>
      <c r="P58" t="inlineStr">
        <is>
          <t>Rohan Verma</t>
        </is>
      </c>
    </row>
    <row r="59">
      <c r="A59" t="inlineStr">
        <is>
          <t>ORD-2502-0058</t>
        </is>
      </c>
      <c r="B59" s="11" t="n">
        <v>45699</v>
      </c>
      <c r="C59" t="inlineStr">
        <is>
          <t>West</t>
        </is>
      </c>
      <c r="D59" t="inlineStr">
        <is>
          <t>Mumbai</t>
        </is>
      </c>
      <c r="E59" t="inlineStr">
        <is>
          <t>Small Business</t>
        </is>
      </c>
      <c r="F59" t="inlineStr">
        <is>
          <t>Online</t>
        </is>
      </c>
      <c r="G59" t="inlineStr">
        <is>
          <t>Office Supplies</t>
        </is>
      </c>
      <c r="H59" t="inlineStr">
        <is>
          <t>Paper Ream</t>
        </is>
      </c>
      <c r="I59" t="n">
        <v>3</v>
      </c>
      <c r="J59" s="12" t="n">
        <v>409.92</v>
      </c>
      <c r="K59" s="13" t="n">
        <v>0.2</v>
      </c>
      <c r="L59" s="12" t="n">
        <v>983.8099999999999</v>
      </c>
      <c r="M59" s="12" t="n">
        <v>946.92</v>
      </c>
      <c r="N59" s="12" t="n">
        <v>36.89</v>
      </c>
      <c r="O59" t="inlineStr">
        <is>
          <t>Credit Card</t>
        </is>
      </c>
      <c r="P59" t="inlineStr">
        <is>
          <t>Aarav Sharma</t>
        </is>
      </c>
    </row>
    <row r="60">
      <c r="A60" t="inlineStr">
        <is>
          <t>ORD-2505-0059</t>
        </is>
      </c>
      <c r="B60" s="11" t="n">
        <v>45784</v>
      </c>
      <c r="C60" t="inlineStr">
        <is>
          <t>South</t>
        </is>
      </c>
      <c r="D60" t="inlineStr">
        <is>
          <t>Bengaluru</t>
        </is>
      </c>
      <c r="E60" t="inlineStr">
        <is>
          <t>Small Business</t>
        </is>
      </c>
      <c r="F60" t="inlineStr">
        <is>
          <t>Online</t>
        </is>
      </c>
      <c r="G60" t="inlineStr">
        <is>
          <t>Office Supplies</t>
        </is>
      </c>
      <c r="H60" t="inlineStr">
        <is>
          <t>Notebook Pack</t>
        </is>
      </c>
      <c r="I60" t="n">
        <v>1</v>
      </c>
      <c r="J60" s="12" t="n">
        <v>359.49</v>
      </c>
      <c r="K60" s="13" t="n">
        <v>0</v>
      </c>
      <c r="L60" s="12" t="n">
        <v>359.49</v>
      </c>
      <c r="M60" s="12" t="n">
        <v>244.45</v>
      </c>
      <c r="N60" s="12" t="n">
        <v>115.04</v>
      </c>
      <c r="O60" t="inlineStr">
        <is>
          <t>Debit Card</t>
        </is>
      </c>
      <c r="P60" t="inlineStr">
        <is>
          <t>Rohan Verma</t>
        </is>
      </c>
    </row>
    <row r="61">
      <c r="A61" t="inlineStr">
        <is>
          <t>ORD-2507-0060</t>
        </is>
      </c>
      <c r="B61" s="11" t="n">
        <v>45846</v>
      </c>
      <c r="C61" t="inlineStr">
        <is>
          <t>South</t>
        </is>
      </c>
      <c r="D61" t="inlineStr">
        <is>
          <t>Bengaluru</t>
        </is>
      </c>
      <c r="E61" t="inlineStr">
        <is>
          <t>Consumer</t>
        </is>
      </c>
      <c r="F61" t="inlineStr">
        <is>
          <t>Retail Store</t>
        </is>
      </c>
      <c r="G61" t="inlineStr">
        <is>
          <t>Office Supplies</t>
        </is>
      </c>
      <c r="H61" t="inlineStr">
        <is>
          <t>File Folder</t>
        </is>
      </c>
      <c r="I61" t="n">
        <v>5</v>
      </c>
      <c r="J61" s="12" t="n">
        <v>84.36</v>
      </c>
      <c r="K61" s="13" t="n">
        <v>0.2</v>
      </c>
      <c r="L61" s="12" t="n">
        <v>337.44</v>
      </c>
      <c r="M61" s="12" t="n">
        <v>261.52</v>
      </c>
      <c r="N61" s="12" t="n">
        <v>75.92</v>
      </c>
      <c r="O61" t="inlineStr">
        <is>
          <t>Cash</t>
        </is>
      </c>
      <c r="P61" t="inlineStr">
        <is>
          <t>Vivaan Gupta</t>
        </is>
      </c>
    </row>
    <row r="62">
      <c r="A62" t="inlineStr">
        <is>
          <t>ORD-2507-0061</t>
        </is>
      </c>
      <c r="B62" s="11" t="n">
        <v>45861</v>
      </c>
      <c r="C62" t="inlineStr">
        <is>
          <t>South</t>
        </is>
      </c>
      <c r="D62" t="inlineStr">
        <is>
          <t>Bengaluru</t>
        </is>
      </c>
      <c r="E62" t="inlineStr">
        <is>
          <t>Corporate</t>
        </is>
      </c>
      <c r="F62" t="inlineStr">
        <is>
          <t>Partner</t>
        </is>
      </c>
      <c r="G62" t="inlineStr">
        <is>
          <t>Office Supplies</t>
        </is>
      </c>
      <c r="H62" t="inlineStr">
        <is>
          <t>Notebook Pack</t>
        </is>
      </c>
      <c r="I62" t="n">
        <v>4</v>
      </c>
      <c r="J62" s="12" t="n">
        <v>327.71</v>
      </c>
      <c r="K62" s="13" t="n">
        <v>0.1</v>
      </c>
      <c r="L62" s="12" t="n">
        <v>1179.76</v>
      </c>
      <c r="M62" s="12" t="n">
        <v>891.37</v>
      </c>
      <c r="N62" s="12" t="n">
        <v>288.39</v>
      </c>
      <c r="O62" t="inlineStr">
        <is>
          <t>Cash</t>
        </is>
      </c>
      <c r="P62" t="inlineStr">
        <is>
          <t>Diya Patel</t>
        </is>
      </c>
    </row>
    <row r="63">
      <c r="A63" t="inlineStr">
        <is>
          <t>ORD-2510-0062</t>
        </is>
      </c>
      <c r="B63" s="11" t="n">
        <v>45947</v>
      </c>
      <c r="C63" t="inlineStr">
        <is>
          <t>North</t>
        </is>
      </c>
      <c r="D63" t="inlineStr">
        <is>
          <t>Chandigarh</t>
        </is>
      </c>
      <c r="E63" t="inlineStr">
        <is>
          <t>Corporate</t>
        </is>
      </c>
      <c r="F63" t="inlineStr">
        <is>
          <t>Online</t>
        </is>
      </c>
      <c r="G63" t="inlineStr">
        <is>
          <t>Furniture</t>
        </is>
      </c>
      <c r="H63" t="inlineStr">
        <is>
          <t>Storage Cabinet</t>
        </is>
      </c>
      <c r="I63" t="n">
        <v>2</v>
      </c>
      <c r="J63" s="12" t="n">
        <v>8908.49</v>
      </c>
      <c r="K63" s="13" t="n">
        <v>0.05</v>
      </c>
      <c r="L63" s="12" t="n">
        <v>16926.13</v>
      </c>
      <c r="M63" s="12" t="n">
        <v>14253.58</v>
      </c>
      <c r="N63" s="12" t="n">
        <v>2672.55</v>
      </c>
      <c r="O63" t="inlineStr">
        <is>
          <t>Debit Card</t>
        </is>
      </c>
      <c r="P63" t="inlineStr">
        <is>
          <t>Anaya Rao</t>
        </is>
      </c>
    </row>
    <row r="64">
      <c r="A64" t="inlineStr">
        <is>
          <t>ORD-2502-0063</t>
        </is>
      </c>
      <c r="B64" s="11" t="n">
        <v>45712</v>
      </c>
      <c r="C64" t="inlineStr">
        <is>
          <t>West</t>
        </is>
      </c>
      <c r="D64" t="inlineStr">
        <is>
          <t>Ahmedabad</t>
        </is>
      </c>
      <c r="E64" t="inlineStr">
        <is>
          <t>Consumer</t>
        </is>
      </c>
      <c r="F64" t="inlineStr">
        <is>
          <t>Partner</t>
        </is>
      </c>
      <c r="G64" t="inlineStr">
        <is>
          <t>Office Supplies</t>
        </is>
      </c>
      <c r="H64" t="inlineStr">
        <is>
          <t>Pens Box</t>
        </is>
      </c>
      <c r="I64" t="n">
        <v>6</v>
      </c>
      <c r="J64" s="12" t="n">
        <v>170.01</v>
      </c>
      <c r="K64" s="13" t="n">
        <v>0.05</v>
      </c>
      <c r="L64" s="12" t="n">
        <v>969.0599999999999</v>
      </c>
      <c r="M64" s="12" t="n">
        <v>663.04</v>
      </c>
      <c r="N64" s="12" t="n">
        <v>306.02</v>
      </c>
      <c r="O64" t="inlineStr">
        <is>
          <t>Cash</t>
        </is>
      </c>
      <c r="P64" t="inlineStr">
        <is>
          <t>Rohan Verma</t>
        </is>
      </c>
    </row>
    <row r="65">
      <c r="A65" t="inlineStr">
        <is>
          <t>ORD-2511-0064</t>
        </is>
      </c>
      <c r="B65" s="11" t="n">
        <v>45973</v>
      </c>
      <c r="C65" t="inlineStr">
        <is>
          <t>Central</t>
        </is>
      </c>
      <c r="D65" t="inlineStr">
        <is>
          <t>Nagpur</t>
        </is>
      </c>
      <c r="E65" t="inlineStr">
        <is>
          <t>Consumer</t>
        </is>
      </c>
      <c r="F65" t="inlineStr">
        <is>
          <t>Online</t>
        </is>
      </c>
      <c r="G65" t="inlineStr">
        <is>
          <t>Furniture</t>
        </is>
      </c>
      <c r="H65" t="inlineStr">
        <is>
          <t>Bookshelf</t>
        </is>
      </c>
      <c r="I65" t="n">
        <v>2</v>
      </c>
      <c r="J65" s="12" t="n">
        <v>5007.31</v>
      </c>
      <c r="K65" s="13" t="n">
        <v>0.1</v>
      </c>
      <c r="L65" s="12" t="n">
        <v>9013.16</v>
      </c>
      <c r="M65" s="12" t="n">
        <v>7410.82</v>
      </c>
      <c r="N65" s="12" t="n">
        <v>1602.34</v>
      </c>
      <c r="O65" t="inlineStr">
        <is>
          <t>Net Banking</t>
        </is>
      </c>
      <c r="P65" t="inlineStr">
        <is>
          <t>Anaya Rao</t>
        </is>
      </c>
    </row>
    <row r="66">
      <c r="A66" t="inlineStr">
        <is>
          <t>ORD-2505-0065</t>
        </is>
      </c>
      <c r="B66" s="11" t="n">
        <v>45782</v>
      </c>
      <c r="C66" t="inlineStr">
        <is>
          <t>West</t>
        </is>
      </c>
      <c r="D66" t="inlineStr">
        <is>
          <t>Surat</t>
        </is>
      </c>
      <c r="E66" t="inlineStr">
        <is>
          <t>Consumer</t>
        </is>
      </c>
      <c r="F66" t="inlineStr">
        <is>
          <t>Retail Store</t>
        </is>
      </c>
      <c r="G66" t="inlineStr">
        <is>
          <t>Furniture</t>
        </is>
      </c>
      <c r="H66" t="inlineStr">
        <is>
          <t>Office Chair</t>
        </is>
      </c>
      <c r="I66" t="n">
        <v>1</v>
      </c>
      <c r="J66" s="12" t="n">
        <v>6453.84</v>
      </c>
      <c r="K66" s="13" t="n">
        <v>0.15</v>
      </c>
      <c r="L66" s="12" t="n">
        <v>5485.76</v>
      </c>
      <c r="M66" s="12" t="n">
        <v>4646.76</v>
      </c>
      <c r="N66" s="12" t="n">
        <v>839</v>
      </c>
      <c r="O66" t="inlineStr">
        <is>
          <t>Net Banking</t>
        </is>
      </c>
      <c r="P66" t="inlineStr">
        <is>
          <t>Sara Khan</t>
        </is>
      </c>
    </row>
    <row r="67">
      <c r="A67" t="inlineStr">
        <is>
          <t>ORD-2505-0066</t>
        </is>
      </c>
      <c r="B67" s="11" t="n">
        <v>45801</v>
      </c>
      <c r="C67" t="inlineStr">
        <is>
          <t>Central</t>
        </is>
      </c>
      <c r="D67" t="inlineStr">
        <is>
          <t>Raipur</t>
        </is>
      </c>
      <c r="E67" t="inlineStr">
        <is>
          <t>Small Business</t>
        </is>
      </c>
      <c r="F67" t="inlineStr">
        <is>
          <t>Retail Store</t>
        </is>
      </c>
      <c r="G67" t="inlineStr">
        <is>
          <t>Furniture</t>
        </is>
      </c>
      <c r="H67" t="inlineStr">
        <is>
          <t>Storage Cabinet</t>
        </is>
      </c>
      <c r="I67" t="n">
        <v>1</v>
      </c>
      <c r="J67" s="12" t="n">
        <v>8309.91</v>
      </c>
      <c r="K67" s="13" t="n">
        <v>0.2</v>
      </c>
      <c r="L67" s="12" t="n">
        <v>6647.93</v>
      </c>
      <c r="M67" s="12" t="n">
        <v>6647.93</v>
      </c>
      <c r="N67" s="12" t="n">
        <v>0</v>
      </c>
      <c r="O67" t="inlineStr">
        <is>
          <t>Debit Card</t>
        </is>
      </c>
      <c r="P67" t="inlineStr">
        <is>
          <t>Meera Joshi</t>
        </is>
      </c>
    </row>
    <row r="68">
      <c r="A68" t="inlineStr">
        <is>
          <t>ORD-2512-0067</t>
        </is>
      </c>
      <c r="B68" s="11" t="n">
        <v>46011</v>
      </c>
      <c r="C68" t="inlineStr">
        <is>
          <t>West</t>
        </is>
      </c>
      <c r="D68" t="inlineStr">
        <is>
          <t>Surat</t>
        </is>
      </c>
      <c r="E68" t="inlineStr">
        <is>
          <t>Small Business</t>
        </is>
      </c>
      <c r="F68" t="inlineStr">
        <is>
          <t>Online</t>
        </is>
      </c>
      <c r="G68" t="inlineStr">
        <is>
          <t>Furniture</t>
        </is>
      </c>
      <c r="H68" t="inlineStr">
        <is>
          <t>Bookshelf</t>
        </is>
      </c>
      <c r="I68" t="n">
        <v>5</v>
      </c>
      <c r="J68" s="12" t="n">
        <v>4968.37</v>
      </c>
      <c r="K68" s="13" t="n">
        <v>0</v>
      </c>
      <c r="L68" s="12" t="n">
        <v>24841.85</v>
      </c>
      <c r="M68" s="12" t="n">
        <v>18382.97</v>
      </c>
      <c r="N68" s="12" t="n">
        <v>6458.88</v>
      </c>
      <c r="O68" t="inlineStr">
        <is>
          <t>Net Banking</t>
        </is>
      </c>
      <c r="P68" t="inlineStr">
        <is>
          <t>Sara Khan</t>
        </is>
      </c>
    </row>
    <row r="69">
      <c r="A69" t="inlineStr">
        <is>
          <t>ORD-2508-0068</t>
        </is>
      </c>
      <c r="B69" s="11" t="n">
        <v>45900</v>
      </c>
      <c r="C69" t="inlineStr">
        <is>
          <t>Central</t>
        </is>
      </c>
      <c r="D69" t="inlineStr">
        <is>
          <t>Raipur</t>
        </is>
      </c>
      <c r="E69" t="inlineStr">
        <is>
          <t>Corporate</t>
        </is>
      </c>
      <c r="F69" t="inlineStr">
        <is>
          <t>Retail Store</t>
        </is>
      </c>
      <c r="G69" t="inlineStr">
        <is>
          <t>Furniture</t>
        </is>
      </c>
      <c r="H69" t="inlineStr">
        <is>
          <t>Desk</t>
        </is>
      </c>
      <c r="I69" t="n">
        <v>10</v>
      </c>
      <c r="J69" s="12" t="n">
        <v>11227.33</v>
      </c>
      <c r="K69" s="13" t="n">
        <v>0.1</v>
      </c>
      <c r="L69" s="12" t="n">
        <v>101045.97</v>
      </c>
      <c r="M69" s="12" t="n">
        <v>85327.71000000001</v>
      </c>
      <c r="N69" s="12" t="n">
        <v>15718.26</v>
      </c>
      <c r="O69" t="inlineStr">
        <is>
          <t>Net Banking</t>
        </is>
      </c>
      <c r="P69" t="inlineStr">
        <is>
          <t>Rohan Verma</t>
        </is>
      </c>
    </row>
    <row r="70">
      <c r="A70" t="inlineStr">
        <is>
          <t>ORD-2504-0069</t>
        </is>
      </c>
      <c r="B70" s="11" t="n">
        <v>45776</v>
      </c>
      <c r="C70" t="inlineStr">
        <is>
          <t>North</t>
        </is>
      </c>
      <c r="D70" t="inlineStr">
        <is>
          <t>Jaipur</t>
        </is>
      </c>
      <c r="E70" t="inlineStr">
        <is>
          <t>Consumer</t>
        </is>
      </c>
      <c r="F70" t="inlineStr">
        <is>
          <t>Online</t>
        </is>
      </c>
      <c r="G70" t="inlineStr">
        <is>
          <t>Furniture</t>
        </is>
      </c>
      <c r="H70" t="inlineStr">
        <is>
          <t>Office Chair</t>
        </is>
      </c>
      <c r="I70" t="n">
        <v>1</v>
      </c>
      <c r="J70" s="12" t="n">
        <v>7085.26</v>
      </c>
      <c r="K70" s="13" t="n">
        <v>0.1</v>
      </c>
      <c r="L70" s="12" t="n">
        <v>6376.73</v>
      </c>
      <c r="M70" s="12" t="n">
        <v>5101.39</v>
      </c>
      <c r="N70" s="12" t="n">
        <v>1275.34</v>
      </c>
      <c r="O70" t="inlineStr">
        <is>
          <t>UPI</t>
        </is>
      </c>
      <c r="P70" t="inlineStr">
        <is>
          <t>Anaya Rao</t>
        </is>
      </c>
    </row>
    <row r="71">
      <c r="A71" t="inlineStr">
        <is>
          <t>ORD-2505-0070</t>
        </is>
      </c>
      <c r="B71" s="11" t="n">
        <v>45799</v>
      </c>
      <c r="C71" t="inlineStr">
        <is>
          <t>Central</t>
        </is>
      </c>
      <c r="D71" t="inlineStr">
        <is>
          <t>Raipur</t>
        </is>
      </c>
      <c r="E71" t="inlineStr">
        <is>
          <t>Corporate</t>
        </is>
      </c>
      <c r="F71" t="inlineStr">
        <is>
          <t>Online</t>
        </is>
      </c>
      <c r="G71" t="inlineStr">
        <is>
          <t>Technology</t>
        </is>
      </c>
      <c r="H71" t="inlineStr">
        <is>
          <t>Monitor</t>
        </is>
      </c>
      <c r="I71" t="n">
        <v>5</v>
      </c>
      <c r="J71" s="12" t="n">
        <v>12221.76</v>
      </c>
      <c r="K71" s="13" t="n">
        <v>0.05</v>
      </c>
      <c r="L71" s="12" t="n">
        <v>58053.36</v>
      </c>
      <c r="M71" s="12" t="n">
        <v>50109.22</v>
      </c>
      <c r="N71" s="12" t="n">
        <v>7944.14</v>
      </c>
      <c r="O71" t="inlineStr">
        <is>
          <t>Cash</t>
        </is>
      </c>
      <c r="P71" t="inlineStr">
        <is>
          <t>Kabir Singh</t>
        </is>
      </c>
    </row>
    <row r="72">
      <c r="A72" t="inlineStr">
        <is>
          <t>ORD-2505-0071</t>
        </is>
      </c>
      <c r="B72" s="11" t="n">
        <v>45798</v>
      </c>
      <c r="C72" t="inlineStr">
        <is>
          <t>North</t>
        </is>
      </c>
      <c r="D72" t="inlineStr">
        <is>
          <t>Delhi</t>
        </is>
      </c>
      <c r="E72" t="inlineStr">
        <is>
          <t>Corporate</t>
        </is>
      </c>
      <c r="F72" t="inlineStr">
        <is>
          <t>Online</t>
        </is>
      </c>
      <c r="G72" t="inlineStr">
        <is>
          <t>Furniture</t>
        </is>
      </c>
      <c r="H72" t="inlineStr">
        <is>
          <t>Storage Cabinet</t>
        </is>
      </c>
      <c r="I72" t="n">
        <v>2</v>
      </c>
      <c r="J72" s="12" t="n">
        <v>9096.33</v>
      </c>
      <c r="K72" s="13" t="n">
        <v>0.2</v>
      </c>
      <c r="L72" s="12" t="n">
        <v>14554.13</v>
      </c>
      <c r="M72" s="12" t="n">
        <v>14554.13</v>
      </c>
      <c r="N72" s="12" t="n">
        <v>0</v>
      </c>
      <c r="O72" t="inlineStr">
        <is>
          <t>Credit Card</t>
        </is>
      </c>
      <c r="P72" t="inlineStr">
        <is>
          <t>Rohan Verma</t>
        </is>
      </c>
    </row>
    <row r="73">
      <c r="A73" t="inlineStr">
        <is>
          <t>ORD-2508-0072</t>
        </is>
      </c>
      <c r="B73" s="11" t="n">
        <v>45898</v>
      </c>
      <c r="C73" t="inlineStr">
        <is>
          <t>West</t>
        </is>
      </c>
      <c r="D73" t="inlineStr">
        <is>
          <t>Surat</t>
        </is>
      </c>
      <c r="E73" t="inlineStr">
        <is>
          <t>Corporate</t>
        </is>
      </c>
      <c r="F73" t="inlineStr">
        <is>
          <t>Online</t>
        </is>
      </c>
      <c r="G73" t="inlineStr">
        <is>
          <t>Furniture</t>
        </is>
      </c>
      <c r="H73" t="inlineStr">
        <is>
          <t>Office Chair</t>
        </is>
      </c>
      <c r="I73" t="n">
        <v>1</v>
      </c>
      <c r="J73" s="12" t="n">
        <v>7279.88</v>
      </c>
      <c r="K73" s="13" t="n">
        <v>0</v>
      </c>
      <c r="L73" s="12" t="n">
        <v>7279.88</v>
      </c>
      <c r="M73" s="12" t="n">
        <v>5241.51</v>
      </c>
      <c r="N73" s="12" t="n">
        <v>2038.37</v>
      </c>
      <c r="O73" t="inlineStr">
        <is>
          <t>Credit Card</t>
        </is>
      </c>
      <c r="P73" t="inlineStr">
        <is>
          <t>Vivaan Gupta</t>
        </is>
      </c>
    </row>
    <row r="74">
      <c r="A74" t="inlineStr">
        <is>
          <t>ORD-2509-0073</t>
        </is>
      </c>
      <c r="B74" s="11" t="n">
        <v>45909</v>
      </c>
      <c r="C74" t="inlineStr">
        <is>
          <t>North</t>
        </is>
      </c>
      <c r="D74" t="inlineStr">
        <is>
          <t>Delhi</t>
        </is>
      </c>
      <c r="E74" t="inlineStr">
        <is>
          <t>Consumer</t>
        </is>
      </c>
      <c r="F74" t="inlineStr">
        <is>
          <t>Online</t>
        </is>
      </c>
      <c r="G74" t="inlineStr">
        <is>
          <t>Technology</t>
        </is>
      </c>
      <c r="H74" t="inlineStr">
        <is>
          <t>Keyboard</t>
        </is>
      </c>
      <c r="I74" t="n">
        <v>1</v>
      </c>
      <c r="J74" s="12" t="n">
        <v>1356.06</v>
      </c>
      <c r="K74" s="13" t="n">
        <v>0.1</v>
      </c>
      <c r="L74" s="12" t="n">
        <v>1220.45</v>
      </c>
      <c r="M74" s="12" t="n">
        <v>1017.04</v>
      </c>
      <c r="N74" s="12" t="n">
        <v>203.41</v>
      </c>
      <c r="O74" t="inlineStr">
        <is>
          <t>Cash</t>
        </is>
      </c>
      <c r="P74" t="inlineStr">
        <is>
          <t>Vivaan Gupta</t>
        </is>
      </c>
    </row>
    <row r="75">
      <c r="A75" t="inlineStr">
        <is>
          <t>ORD-2511-0074</t>
        </is>
      </c>
      <c r="B75" s="11" t="n">
        <v>45968</v>
      </c>
      <c r="C75" t="inlineStr">
        <is>
          <t>Central</t>
        </is>
      </c>
      <c r="D75" t="inlineStr">
        <is>
          <t>Indore</t>
        </is>
      </c>
      <c r="E75" t="inlineStr">
        <is>
          <t>Small Business</t>
        </is>
      </c>
      <c r="F75" t="inlineStr">
        <is>
          <t>Retail Store</t>
        </is>
      </c>
      <c r="G75" t="inlineStr">
        <is>
          <t>Office Supplies</t>
        </is>
      </c>
      <c r="H75" t="inlineStr">
        <is>
          <t>File Folder</t>
        </is>
      </c>
      <c r="I75" t="n">
        <v>3</v>
      </c>
      <c r="J75" s="12" t="n">
        <v>89.18000000000001</v>
      </c>
      <c r="K75" s="13" t="n">
        <v>0.05</v>
      </c>
      <c r="L75" s="12" t="n">
        <v>254.16</v>
      </c>
      <c r="M75" s="12" t="n">
        <v>165.87</v>
      </c>
      <c r="N75" s="12" t="n">
        <v>88.29000000000001</v>
      </c>
      <c r="O75" t="inlineStr">
        <is>
          <t>Net Banking</t>
        </is>
      </c>
      <c r="P75" t="inlineStr">
        <is>
          <t>Aarav Sharma</t>
        </is>
      </c>
    </row>
    <row r="76">
      <c r="A76" t="inlineStr">
        <is>
          <t>ORD-2511-0075</t>
        </is>
      </c>
      <c r="B76" s="11" t="n">
        <v>45970</v>
      </c>
      <c r="C76" t="inlineStr">
        <is>
          <t>North</t>
        </is>
      </c>
      <c r="D76" t="inlineStr">
        <is>
          <t>Jaipur</t>
        </is>
      </c>
      <c r="E76" t="inlineStr">
        <is>
          <t>Consumer</t>
        </is>
      </c>
      <c r="F76" t="inlineStr">
        <is>
          <t>Partner</t>
        </is>
      </c>
      <c r="G76" t="inlineStr">
        <is>
          <t>Office Supplies</t>
        </is>
      </c>
      <c r="H76" t="inlineStr">
        <is>
          <t>Pens Box</t>
        </is>
      </c>
      <c r="I76" t="n">
        <v>2</v>
      </c>
      <c r="J76" s="12" t="n">
        <v>170.12</v>
      </c>
      <c r="K76" s="13" t="n">
        <v>0.1</v>
      </c>
      <c r="L76" s="12" t="n">
        <v>306.22</v>
      </c>
      <c r="M76" s="12" t="n">
        <v>221.16</v>
      </c>
      <c r="N76" s="12" t="n">
        <v>85.06</v>
      </c>
      <c r="O76" t="inlineStr">
        <is>
          <t>Credit Card</t>
        </is>
      </c>
      <c r="P76" t="inlineStr">
        <is>
          <t>Kabir Singh</t>
        </is>
      </c>
    </row>
    <row r="77">
      <c r="A77" t="inlineStr">
        <is>
          <t>ORD-2501-0076</t>
        </is>
      </c>
      <c r="B77" s="11" t="n">
        <v>45659</v>
      </c>
      <c r="C77" t="inlineStr">
        <is>
          <t>West</t>
        </is>
      </c>
      <c r="D77" t="inlineStr">
        <is>
          <t>Surat</t>
        </is>
      </c>
      <c r="E77" t="inlineStr">
        <is>
          <t>Small Business</t>
        </is>
      </c>
      <c r="F77" t="inlineStr">
        <is>
          <t>Retail Store</t>
        </is>
      </c>
      <c r="G77" t="inlineStr">
        <is>
          <t>Office Supplies</t>
        </is>
      </c>
      <c r="H77" t="inlineStr">
        <is>
          <t>Paper Ream</t>
        </is>
      </c>
      <c r="I77" t="n">
        <v>3</v>
      </c>
      <c r="J77" s="12" t="n">
        <v>401.96</v>
      </c>
      <c r="K77" s="13" t="n">
        <v>0.05</v>
      </c>
      <c r="L77" s="12" t="n">
        <v>1145.59</v>
      </c>
      <c r="M77" s="12" t="n">
        <v>928.53</v>
      </c>
      <c r="N77" s="12" t="n">
        <v>217.06</v>
      </c>
      <c r="O77" t="inlineStr">
        <is>
          <t>Debit Card</t>
        </is>
      </c>
      <c r="P77" t="inlineStr">
        <is>
          <t>Diya Patel</t>
        </is>
      </c>
    </row>
    <row r="78">
      <c r="A78" t="inlineStr">
        <is>
          <t>ORD-2512-0077</t>
        </is>
      </c>
      <c r="B78" s="11" t="n">
        <v>46009</v>
      </c>
      <c r="C78" t="inlineStr">
        <is>
          <t>South</t>
        </is>
      </c>
      <c r="D78" t="inlineStr">
        <is>
          <t>Hyderabad</t>
        </is>
      </c>
      <c r="E78" t="inlineStr">
        <is>
          <t>Consumer</t>
        </is>
      </c>
      <c r="F78" t="inlineStr">
        <is>
          <t>Retail Store</t>
        </is>
      </c>
      <c r="G78" t="inlineStr">
        <is>
          <t>Office Supplies</t>
        </is>
      </c>
      <c r="H78" t="inlineStr">
        <is>
          <t>File Folder</t>
        </is>
      </c>
      <c r="I78" t="n">
        <v>5</v>
      </c>
      <c r="J78" s="12" t="n">
        <v>94.38</v>
      </c>
      <c r="K78" s="13" t="n">
        <v>0.1</v>
      </c>
      <c r="L78" s="12" t="n">
        <v>424.71</v>
      </c>
      <c r="M78" s="12" t="n">
        <v>292.58</v>
      </c>
      <c r="N78" s="12" t="n">
        <v>132.13</v>
      </c>
      <c r="O78" t="inlineStr">
        <is>
          <t>Credit Card</t>
        </is>
      </c>
      <c r="P78" t="inlineStr">
        <is>
          <t>Meera Joshi</t>
        </is>
      </c>
    </row>
    <row r="79">
      <c r="A79" t="inlineStr">
        <is>
          <t>ORD-2511-0078</t>
        </is>
      </c>
      <c r="B79" s="11" t="n">
        <v>45989</v>
      </c>
      <c r="C79" t="inlineStr">
        <is>
          <t>South</t>
        </is>
      </c>
      <c r="D79" t="inlineStr">
        <is>
          <t>Hyderabad</t>
        </is>
      </c>
      <c r="E79" t="inlineStr">
        <is>
          <t>Small Business</t>
        </is>
      </c>
      <c r="F79" t="inlineStr">
        <is>
          <t>Partner</t>
        </is>
      </c>
      <c r="G79" t="inlineStr">
        <is>
          <t>Office Supplies</t>
        </is>
      </c>
      <c r="H79" t="inlineStr">
        <is>
          <t>Stapler</t>
        </is>
      </c>
      <c r="I79" t="n">
        <v>1</v>
      </c>
      <c r="J79" s="12" t="n">
        <v>272.17</v>
      </c>
      <c r="K79" s="13" t="n">
        <v>0</v>
      </c>
      <c r="L79" s="12" t="n">
        <v>272.17</v>
      </c>
      <c r="M79" s="12" t="n">
        <v>190.52</v>
      </c>
      <c r="N79" s="12" t="n">
        <v>81.65000000000001</v>
      </c>
      <c r="O79" t="inlineStr">
        <is>
          <t>Cash</t>
        </is>
      </c>
      <c r="P79" t="inlineStr">
        <is>
          <t>Rohan Verma</t>
        </is>
      </c>
    </row>
    <row r="80">
      <c r="A80" t="inlineStr">
        <is>
          <t>ORD-2508-0079</t>
        </is>
      </c>
      <c r="B80" s="11" t="n">
        <v>45882</v>
      </c>
      <c r="C80" t="inlineStr">
        <is>
          <t>North</t>
        </is>
      </c>
      <c r="D80" t="inlineStr">
        <is>
          <t>Lucknow</t>
        </is>
      </c>
      <c r="E80" t="inlineStr">
        <is>
          <t>Small Business</t>
        </is>
      </c>
      <c r="F80" t="inlineStr">
        <is>
          <t>Retail Store</t>
        </is>
      </c>
      <c r="G80" t="inlineStr">
        <is>
          <t>Office Supplies</t>
        </is>
      </c>
      <c r="H80" t="inlineStr">
        <is>
          <t>Paper Ream</t>
        </is>
      </c>
      <c r="I80" t="n">
        <v>2</v>
      </c>
      <c r="J80" s="12" t="n">
        <v>404.69</v>
      </c>
      <c r="K80" s="13" t="n">
        <v>0.05</v>
      </c>
      <c r="L80" s="12" t="n">
        <v>768.91</v>
      </c>
      <c r="M80" s="12" t="n">
        <v>623.22</v>
      </c>
      <c r="N80" s="12" t="n">
        <v>145.69</v>
      </c>
      <c r="O80" t="inlineStr">
        <is>
          <t>Debit Card</t>
        </is>
      </c>
      <c r="P80" t="inlineStr">
        <is>
          <t>Diya Patel</t>
        </is>
      </c>
    </row>
    <row r="81">
      <c r="A81" t="inlineStr">
        <is>
          <t>ORD-2511-0080</t>
        </is>
      </c>
      <c r="B81" s="11" t="n">
        <v>45964</v>
      </c>
      <c r="C81" t="inlineStr">
        <is>
          <t>North</t>
        </is>
      </c>
      <c r="D81" t="inlineStr">
        <is>
          <t>Lucknow</t>
        </is>
      </c>
      <c r="E81" t="inlineStr">
        <is>
          <t>Small Business</t>
        </is>
      </c>
      <c r="F81" t="inlineStr">
        <is>
          <t>Partner</t>
        </is>
      </c>
      <c r="G81" t="inlineStr">
        <is>
          <t>Office Supplies</t>
        </is>
      </c>
      <c r="H81" t="inlineStr">
        <is>
          <t>Paper Ream</t>
        </is>
      </c>
      <c r="I81" t="n">
        <v>2</v>
      </c>
      <c r="J81" s="12" t="n">
        <v>392.54</v>
      </c>
      <c r="K81" s="13" t="n">
        <v>0</v>
      </c>
      <c r="L81" s="12" t="n">
        <v>785.08</v>
      </c>
      <c r="M81" s="12" t="n">
        <v>604.51</v>
      </c>
      <c r="N81" s="12" t="n">
        <v>180.57</v>
      </c>
      <c r="O81" t="inlineStr">
        <is>
          <t>Cash</t>
        </is>
      </c>
      <c r="P81" t="inlineStr">
        <is>
          <t>Aarav Sharma</t>
        </is>
      </c>
    </row>
    <row r="82">
      <c r="A82" t="inlineStr">
        <is>
          <t>ORD-2512-0081</t>
        </is>
      </c>
      <c r="B82" s="11" t="n">
        <v>46002</v>
      </c>
      <c r="C82" t="inlineStr">
        <is>
          <t>East</t>
        </is>
      </c>
      <c r="D82" t="inlineStr">
        <is>
          <t>Kolkata</t>
        </is>
      </c>
      <c r="E82" t="inlineStr">
        <is>
          <t>Corporate</t>
        </is>
      </c>
      <c r="F82" t="inlineStr">
        <is>
          <t>Online</t>
        </is>
      </c>
      <c r="G82" t="inlineStr">
        <is>
          <t>Office Supplies</t>
        </is>
      </c>
      <c r="H82" t="inlineStr">
        <is>
          <t>File Folder</t>
        </is>
      </c>
      <c r="I82" t="n">
        <v>4</v>
      </c>
      <c r="J82" s="12" t="n">
        <v>92.18000000000001</v>
      </c>
      <c r="K82" s="13" t="n">
        <v>0.05</v>
      </c>
      <c r="L82" s="12" t="n">
        <v>350.28</v>
      </c>
      <c r="M82" s="12" t="n">
        <v>228.61</v>
      </c>
      <c r="N82" s="12" t="n">
        <v>121.67</v>
      </c>
      <c r="O82" t="inlineStr">
        <is>
          <t>Cash</t>
        </is>
      </c>
      <c r="P82" t="inlineStr">
        <is>
          <t>Vivaan Gupta</t>
        </is>
      </c>
    </row>
    <row r="83">
      <c r="A83" t="inlineStr">
        <is>
          <t>ORD-2511-0082</t>
        </is>
      </c>
      <c r="B83" s="11" t="n">
        <v>45983</v>
      </c>
      <c r="C83" t="inlineStr">
        <is>
          <t>West</t>
        </is>
      </c>
      <c r="D83" t="inlineStr">
        <is>
          <t>Mumbai</t>
        </is>
      </c>
      <c r="E83" t="inlineStr">
        <is>
          <t>Consumer</t>
        </is>
      </c>
      <c r="F83" t="inlineStr">
        <is>
          <t>Retail Store</t>
        </is>
      </c>
      <c r="G83" t="inlineStr">
        <is>
          <t>Furniture</t>
        </is>
      </c>
      <c r="H83" t="inlineStr">
        <is>
          <t>Bookshelf</t>
        </is>
      </c>
      <c r="I83" t="n">
        <v>2</v>
      </c>
      <c r="J83" s="12" t="n">
        <v>5341.55</v>
      </c>
      <c r="K83" s="13" t="n">
        <v>0.05</v>
      </c>
      <c r="L83" s="12" t="n">
        <v>10148.94</v>
      </c>
      <c r="M83" s="12" t="n">
        <v>7905.49</v>
      </c>
      <c r="N83" s="12" t="n">
        <v>2243.45</v>
      </c>
      <c r="O83" t="inlineStr">
        <is>
          <t>Debit Card</t>
        </is>
      </c>
      <c r="P83" t="inlineStr">
        <is>
          <t>Anaya Rao</t>
        </is>
      </c>
    </row>
    <row r="84">
      <c r="A84" t="inlineStr">
        <is>
          <t>ORD-2505-0083</t>
        </is>
      </c>
      <c r="B84" s="11" t="n">
        <v>45805</v>
      </c>
      <c r="C84" t="inlineStr">
        <is>
          <t>West</t>
        </is>
      </c>
      <c r="D84" t="inlineStr">
        <is>
          <t>Mumbai</t>
        </is>
      </c>
      <c r="E84" t="inlineStr">
        <is>
          <t>Corporate</t>
        </is>
      </c>
      <c r="F84" t="inlineStr">
        <is>
          <t>Partner</t>
        </is>
      </c>
      <c r="G84" t="inlineStr">
        <is>
          <t>Furniture</t>
        </is>
      </c>
      <c r="H84" t="inlineStr">
        <is>
          <t>Bookshelf</t>
        </is>
      </c>
      <c r="I84" t="n">
        <v>1</v>
      </c>
      <c r="J84" s="12" t="n">
        <v>4880.45</v>
      </c>
      <c r="K84" s="13" t="n">
        <v>0</v>
      </c>
      <c r="L84" s="12" t="n">
        <v>4880.45</v>
      </c>
      <c r="M84" s="12" t="n">
        <v>3611.53</v>
      </c>
      <c r="N84" s="12" t="n">
        <v>1268.92</v>
      </c>
      <c r="O84" t="inlineStr">
        <is>
          <t>Credit Card</t>
        </is>
      </c>
      <c r="P84" t="inlineStr">
        <is>
          <t>Anaya Rao</t>
        </is>
      </c>
    </row>
    <row r="85">
      <c r="A85" t="inlineStr">
        <is>
          <t>ORD-2507-0084</t>
        </is>
      </c>
      <c r="B85" s="11" t="n">
        <v>45869</v>
      </c>
      <c r="C85" t="inlineStr">
        <is>
          <t>North</t>
        </is>
      </c>
      <c r="D85" t="inlineStr">
        <is>
          <t>Jaipur</t>
        </is>
      </c>
      <c r="E85" t="inlineStr">
        <is>
          <t>Consumer</t>
        </is>
      </c>
      <c r="F85" t="inlineStr">
        <is>
          <t>Online</t>
        </is>
      </c>
      <c r="G85" t="inlineStr">
        <is>
          <t>Furniture</t>
        </is>
      </c>
      <c r="H85" t="inlineStr">
        <is>
          <t>Storage Cabinet</t>
        </is>
      </c>
      <c r="I85" t="n">
        <v>2</v>
      </c>
      <c r="J85" s="12" t="n">
        <v>9078.58</v>
      </c>
      <c r="K85" s="13" t="n">
        <v>0.1</v>
      </c>
      <c r="L85" s="12" t="n">
        <v>16341.44</v>
      </c>
      <c r="M85" s="12" t="n">
        <v>14525.73</v>
      </c>
      <c r="N85" s="12" t="n">
        <v>1815.71</v>
      </c>
      <c r="O85" t="inlineStr">
        <is>
          <t>Net Banking</t>
        </is>
      </c>
      <c r="P85" t="inlineStr">
        <is>
          <t>Kabir Singh</t>
        </is>
      </c>
    </row>
    <row r="86">
      <c r="A86" t="inlineStr">
        <is>
          <t>ORD-2505-0085</t>
        </is>
      </c>
      <c r="B86" s="11" t="n">
        <v>45805</v>
      </c>
      <c r="C86" t="inlineStr">
        <is>
          <t>West</t>
        </is>
      </c>
      <c r="D86" t="inlineStr">
        <is>
          <t>Surat</t>
        </is>
      </c>
      <c r="E86" t="inlineStr">
        <is>
          <t>Small Business</t>
        </is>
      </c>
      <c r="F86" t="inlineStr">
        <is>
          <t>Online</t>
        </is>
      </c>
      <c r="G86" t="inlineStr">
        <is>
          <t>Technology</t>
        </is>
      </c>
      <c r="H86" t="inlineStr">
        <is>
          <t>Monitor</t>
        </is>
      </c>
      <c r="I86" t="n">
        <v>1</v>
      </c>
      <c r="J86" s="12" t="n">
        <v>13098.63</v>
      </c>
      <c r="K86" s="13" t="n">
        <v>0.1</v>
      </c>
      <c r="L86" s="12" t="n">
        <v>11788.77</v>
      </c>
      <c r="M86" s="12" t="n">
        <v>10740.88</v>
      </c>
      <c r="N86" s="12" t="n">
        <v>1047.89</v>
      </c>
      <c r="O86" t="inlineStr">
        <is>
          <t>Net Banking</t>
        </is>
      </c>
      <c r="P86" t="inlineStr">
        <is>
          <t>Aarav Sharma</t>
        </is>
      </c>
    </row>
    <row r="87">
      <c r="A87" t="inlineStr">
        <is>
          <t>ORD-2510-0086</t>
        </is>
      </c>
      <c r="B87" s="11" t="n">
        <v>45940</v>
      </c>
      <c r="C87" t="inlineStr">
        <is>
          <t>West</t>
        </is>
      </c>
      <c r="D87" t="inlineStr">
        <is>
          <t>Mumbai</t>
        </is>
      </c>
      <c r="E87" t="inlineStr">
        <is>
          <t>Consumer</t>
        </is>
      </c>
      <c r="F87" t="inlineStr">
        <is>
          <t>Partner</t>
        </is>
      </c>
      <c r="G87" t="inlineStr">
        <is>
          <t>Technology</t>
        </is>
      </c>
      <c r="H87" t="inlineStr">
        <is>
          <t>Printer</t>
        </is>
      </c>
      <c r="I87" t="n">
        <v>10</v>
      </c>
      <c r="J87" s="12" t="n">
        <v>9441.4</v>
      </c>
      <c r="K87" s="13" t="n">
        <v>0.15</v>
      </c>
      <c r="L87" s="12" t="n">
        <v>80251.89999999999</v>
      </c>
      <c r="M87" s="12" t="n">
        <v>79307.75999999999</v>
      </c>
      <c r="N87" s="12" t="n">
        <v>944.14</v>
      </c>
      <c r="O87" t="inlineStr">
        <is>
          <t>UPI</t>
        </is>
      </c>
      <c r="P87" t="inlineStr">
        <is>
          <t>Anaya Rao</t>
        </is>
      </c>
    </row>
    <row r="88">
      <c r="A88" t="inlineStr">
        <is>
          <t>ORD-2505-0087</t>
        </is>
      </c>
      <c r="B88" s="11" t="n">
        <v>45807</v>
      </c>
      <c r="C88" t="inlineStr">
        <is>
          <t>Central</t>
        </is>
      </c>
      <c r="D88" t="inlineStr">
        <is>
          <t>Raipur</t>
        </is>
      </c>
      <c r="E88" t="inlineStr">
        <is>
          <t>Small Business</t>
        </is>
      </c>
      <c r="F88" t="inlineStr">
        <is>
          <t>Online</t>
        </is>
      </c>
      <c r="G88" t="inlineStr">
        <is>
          <t>Furniture</t>
        </is>
      </c>
      <c r="H88" t="inlineStr">
        <is>
          <t>Desk</t>
        </is>
      </c>
      <c r="I88" t="n">
        <v>5</v>
      </c>
      <c r="J88" s="12" t="n">
        <v>11028.46</v>
      </c>
      <c r="K88" s="13" t="n">
        <v>0.2</v>
      </c>
      <c r="L88" s="12" t="n">
        <v>44113.84</v>
      </c>
      <c r="M88" s="12" t="n">
        <v>41908.15</v>
      </c>
      <c r="N88" s="12" t="n">
        <v>2205.69</v>
      </c>
      <c r="O88" t="inlineStr">
        <is>
          <t>Debit Card</t>
        </is>
      </c>
      <c r="P88" t="inlineStr">
        <is>
          <t>Meera Joshi</t>
        </is>
      </c>
    </row>
    <row r="89">
      <c r="A89" t="inlineStr">
        <is>
          <t>ORD-2511-0088</t>
        </is>
      </c>
      <c r="B89" s="11" t="n">
        <v>45964</v>
      </c>
      <c r="C89" t="inlineStr">
        <is>
          <t>Central</t>
        </is>
      </c>
      <c r="D89" t="inlineStr">
        <is>
          <t>Indore</t>
        </is>
      </c>
      <c r="E89" t="inlineStr">
        <is>
          <t>Corporate</t>
        </is>
      </c>
      <c r="F89" t="inlineStr">
        <is>
          <t>Partner</t>
        </is>
      </c>
      <c r="G89" t="inlineStr">
        <is>
          <t>Office Supplies</t>
        </is>
      </c>
      <c r="H89" t="inlineStr">
        <is>
          <t>Stapler</t>
        </is>
      </c>
      <c r="I89" t="n">
        <v>1</v>
      </c>
      <c r="J89" s="12" t="n">
        <v>274.74</v>
      </c>
      <c r="K89" s="13" t="n">
        <v>0.1</v>
      </c>
      <c r="L89" s="12" t="n">
        <v>247.27</v>
      </c>
      <c r="M89" s="12" t="n">
        <v>192.32</v>
      </c>
      <c r="N89" s="12" t="n">
        <v>54.95</v>
      </c>
      <c r="O89" t="inlineStr">
        <is>
          <t>Net Banking</t>
        </is>
      </c>
      <c r="P89" t="inlineStr">
        <is>
          <t>Aarav Sharma</t>
        </is>
      </c>
    </row>
    <row r="90">
      <c r="A90" t="inlineStr">
        <is>
          <t>ORD-2505-0089</t>
        </is>
      </c>
      <c r="B90" s="11" t="n">
        <v>45802</v>
      </c>
      <c r="C90" t="inlineStr">
        <is>
          <t>East</t>
        </is>
      </c>
      <c r="D90" t="inlineStr">
        <is>
          <t>Guwahati</t>
        </is>
      </c>
      <c r="E90" t="inlineStr">
        <is>
          <t>Small Business</t>
        </is>
      </c>
      <c r="F90" t="inlineStr">
        <is>
          <t>Partner</t>
        </is>
      </c>
      <c r="G90" t="inlineStr">
        <is>
          <t>Office Supplies</t>
        </is>
      </c>
      <c r="H90" t="inlineStr">
        <is>
          <t>Stapler</t>
        </is>
      </c>
      <c r="I90" t="n">
        <v>1</v>
      </c>
      <c r="J90" s="12" t="n">
        <v>253.56</v>
      </c>
      <c r="K90" s="13" t="n">
        <v>0.1</v>
      </c>
      <c r="L90" s="12" t="n">
        <v>228.2</v>
      </c>
      <c r="M90" s="12" t="n">
        <v>177.49</v>
      </c>
      <c r="N90" s="12" t="n">
        <v>50.71</v>
      </c>
      <c r="O90" t="inlineStr">
        <is>
          <t>Debit Card</t>
        </is>
      </c>
      <c r="P90" t="inlineStr">
        <is>
          <t>Anaya Rao</t>
        </is>
      </c>
    </row>
    <row r="91">
      <c r="A91" t="inlineStr">
        <is>
          <t>ORD-2506-0090</t>
        </is>
      </c>
      <c r="B91" s="11" t="n">
        <v>45822</v>
      </c>
      <c r="C91" t="inlineStr">
        <is>
          <t>South</t>
        </is>
      </c>
      <c r="D91" t="inlineStr">
        <is>
          <t>Chennai</t>
        </is>
      </c>
      <c r="E91" t="inlineStr">
        <is>
          <t>Corporate</t>
        </is>
      </c>
      <c r="F91" t="inlineStr">
        <is>
          <t>Partner</t>
        </is>
      </c>
      <c r="G91" t="inlineStr">
        <is>
          <t>Office Supplies</t>
        </is>
      </c>
      <c r="H91" t="inlineStr">
        <is>
          <t>Notebook Pack</t>
        </is>
      </c>
      <c r="I91" t="n">
        <v>2</v>
      </c>
      <c r="J91" s="12" t="n">
        <v>345</v>
      </c>
      <c r="K91" s="13" t="n">
        <v>0.15</v>
      </c>
      <c r="L91" s="12" t="n">
        <v>586.5</v>
      </c>
      <c r="M91" s="12" t="n">
        <v>469.2</v>
      </c>
      <c r="N91" s="12" t="n">
        <v>117.3</v>
      </c>
      <c r="O91" t="inlineStr">
        <is>
          <t>Debit Card</t>
        </is>
      </c>
      <c r="P91" t="inlineStr">
        <is>
          <t>Vivaan Gupta</t>
        </is>
      </c>
    </row>
    <row r="92">
      <c r="A92" t="inlineStr">
        <is>
          <t>ORD-2507-0091</t>
        </is>
      </c>
      <c r="B92" s="11" t="n">
        <v>45855</v>
      </c>
      <c r="C92" t="inlineStr">
        <is>
          <t>South</t>
        </is>
      </c>
      <c r="D92" t="inlineStr">
        <is>
          <t>Kochi</t>
        </is>
      </c>
      <c r="E92" t="inlineStr">
        <is>
          <t>Consumer</t>
        </is>
      </c>
      <c r="F92" t="inlineStr">
        <is>
          <t>Retail Store</t>
        </is>
      </c>
      <c r="G92" t="inlineStr">
        <is>
          <t>Technology</t>
        </is>
      </c>
      <c r="H92" t="inlineStr">
        <is>
          <t>Laptop</t>
        </is>
      </c>
      <c r="I92" t="n">
        <v>1</v>
      </c>
      <c r="J92" s="12" t="n">
        <v>40871</v>
      </c>
      <c r="K92" s="13" t="n">
        <v>0.2</v>
      </c>
      <c r="L92" s="12" t="n">
        <v>32696.8</v>
      </c>
      <c r="M92" s="12" t="n">
        <v>35966.48</v>
      </c>
      <c r="N92" s="12" t="n">
        <v>-3269.68</v>
      </c>
      <c r="O92" t="inlineStr">
        <is>
          <t>Credit Card</t>
        </is>
      </c>
      <c r="P92" t="inlineStr">
        <is>
          <t>Anaya Rao</t>
        </is>
      </c>
    </row>
    <row r="93">
      <c r="A93" t="inlineStr">
        <is>
          <t>ORD-2501-0092</t>
        </is>
      </c>
      <c r="B93" s="11" t="n">
        <v>45665</v>
      </c>
      <c r="C93" t="inlineStr">
        <is>
          <t>South</t>
        </is>
      </c>
      <c r="D93" t="inlineStr">
        <is>
          <t>Kochi</t>
        </is>
      </c>
      <c r="E93" t="inlineStr">
        <is>
          <t>Corporate</t>
        </is>
      </c>
      <c r="F93" t="inlineStr">
        <is>
          <t>Retail Store</t>
        </is>
      </c>
      <c r="G93" t="inlineStr">
        <is>
          <t>Office Supplies</t>
        </is>
      </c>
      <c r="H93" t="inlineStr">
        <is>
          <t>Stapler</t>
        </is>
      </c>
      <c r="I93" t="n">
        <v>4</v>
      </c>
      <c r="J93" s="12" t="n">
        <v>258.73</v>
      </c>
      <c r="K93" s="13" t="n">
        <v>0</v>
      </c>
      <c r="L93" s="12" t="n">
        <v>1034.92</v>
      </c>
      <c r="M93" s="12" t="n">
        <v>724.4400000000001</v>
      </c>
      <c r="N93" s="12" t="n">
        <v>310.48</v>
      </c>
      <c r="O93" t="inlineStr">
        <is>
          <t>Cash</t>
        </is>
      </c>
      <c r="P93" t="inlineStr">
        <is>
          <t>Vivaan Gupta</t>
        </is>
      </c>
    </row>
    <row r="94">
      <c r="A94" t="inlineStr">
        <is>
          <t>ORD-2511-0093</t>
        </is>
      </c>
      <c r="B94" s="11" t="n">
        <v>45990</v>
      </c>
      <c r="C94" t="inlineStr">
        <is>
          <t>North</t>
        </is>
      </c>
      <c r="D94" t="inlineStr">
        <is>
          <t>Chandigarh</t>
        </is>
      </c>
      <c r="E94" t="inlineStr">
        <is>
          <t>Small Business</t>
        </is>
      </c>
      <c r="F94" t="inlineStr">
        <is>
          <t>Partner</t>
        </is>
      </c>
      <c r="G94" t="inlineStr">
        <is>
          <t>Office Supplies</t>
        </is>
      </c>
      <c r="H94" t="inlineStr">
        <is>
          <t>Stapler</t>
        </is>
      </c>
      <c r="I94" t="n">
        <v>4</v>
      </c>
      <c r="J94" s="12" t="n">
        <v>278.89</v>
      </c>
      <c r="K94" s="13" t="n">
        <v>0.1</v>
      </c>
      <c r="L94" s="12" t="n">
        <v>1004</v>
      </c>
      <c r="M94" s="12" t="n">
        <v>780.89</v>
      </c>
      <c r="N94" s="12" t="n">
        <v>223.11</v>
      </c>
      <c r="O94" t="inlineStr">
        <is>
          <t>Debit Card</t>
        </is>
      </c>
      <c r="P94" t="inlineStr">
        <is>
          <t>Aarav Sharma</t>
        </is>
      </c>
    </row>
    <row r="95">
      <c r="A95" t="inlineStr">
        <is>
          <t>ORD-2511-0094</t>
        </is>
      </c>
      <c r="B95" s="11" t="n">
        <v>45974</v>
      </c>
      <c r="C95" t="inlineStr">
        <is>
          <t>North</t>
        </is>
      </c>
      <c r="D95" t="inlineStr">
        <is>
          <t>Jaipur</t>
        </is>
      </c>
      <c r="E95" t="inlineStr">
        <is>
          <t>Consumer</t>
        </is>
      </c>
      <c r="F95" t="inlineStr">
        <is>
          <t>Retail Store</t>
        </is>
      </c>
      <c r="G95" t="inlineStr">
        <is>
          <t>Office Supplies</t>
        </is>
      </c>
      <c r="H95" t="inlineStr">
        <is>
          <t>Pens Box</t>
        </is>
      </c>
      <c r="I95" t="n">
        <v>4</v>
      </c>
      <c r="J95" s="12" t="n">
        <v>172.15</v>
      </c>
      <c r="K95" s="13" t="n">
        <v>0.05</v>
      </c>
      <c r="L95" s="12" t="n">
        <v>654.17</v>
      </c>
      <c r="M95" s="12" t="n">
        <v>447.59</v>
      </c>
      <c r="N95" s="12" t="n">
        <v>206.58</v>
      </c>
      <c r="O95" t="inlineStr">
        <is>
          <t>Credit Card</t>
        </is>
      </c>
      <c r="P95" t="inlineStr">
        <is>
          <t>Diya Patel</t>
        </is>
      </c>
    </row>
    <row r="96">
      <c r="A96" t="inlineStr">
        <is>
          <t>ORD-2508-0095</t>
        </is>
      </c>
      <c r="B96" s="11" t="n">
        <v>45885</v>
      </c>
      <c r="C96" t="inlineStr">
        <is>
          <t>South</t>
        </is>
      </c>
      <c r="D96" t="inlineStr">
        <is>
          <t>Hyderabad</t>
        </is>
      </c>
      <c r="E96" t="inlineStr">
        <is>
          <t>Corporate</t>
        </is>
      </c>
      <c r="F96" t="inlineStr">
        <is>
          <t>Retail Store</t>
        </is>
      </c>
      <c r="G96" t="inlineStr">
        <is>
          <t>Technology</t>
        </is>
      </c>
      <c r="H96" t="inlineStr">
        <is>
          <t>Laptop</t>
        </is>
      </c>
      <c r="I96" t="n">
        <v>1</v>
      </c>
      <c r="J96" s="12" t="n">
        <v>40611.43</v>
      </c>
      <c r="K96" s="13" t="n">
        <v>0.15</v>
      </c>
      <c r="L96" s="12" t="n">
        <v>34519.72</v>
      </c>
      <c r="M96" s="12" t="n">
        <v>35738.06</v>
      </c>
      <c r="N96" s="12" t="n">
        <v>-1218.34</v>
      </c>
      <c r="O96" t="inlineStr">
        <is>
          <t>UPI</t>
        </is>
      </c>
      <c r="P96" t="inlineStr">
        <is>
          <t>Meera Joshi</t>
        </is>
      </c>
    </row>
    <row r="97">
      <c r="A97" t="inlineStr">
        <is>
          <t>ORD-2509-0096</t>
        </is>
      </c>
      <c r="B97" s="11" t="n">
        <v>45929</v>
      </c>
      <c r="C97" t="inlineStr">
        <is>
          <t>West</t>
        </is>
      </c>
      <c r="D97" t="inlineStr">
        <is>
          <t>Pune</t>
        </is>
      </c>
      <c r="E97" t="inlineStr">
        <is>
          <t>Small Business</t>
        </is>
      </c>
      <c r="F97" t="inlineStr">
        <is>
          <t>Online</t>
        </is>
      </c>
      <c r="G97" t="inlineStr">
        <is>
          <t>Technology</t>
        </is>
      </c>
      <c r="H97" t="inlineStr">
        <is>
          <t>Keyboard</t>
        </is>
      </c>
      <c r="I97" t="n">
        <v>1</v>
      </c>
      <c r="J97" s="12" t="n">
        <v>1373.69</v>
      </c>
      <c r="K97" s="13" t="n">
        <v>0.1</v>
      </c>
      <c r="L97" s="12" t="n">
        <v>1236.32</v>
      </c>
      <c r="M97" s="12" t="n">
        <v>1030.27</v>
      </c>
      <c r="N97" s="12" t="n">
        <v>206.05</v>
      </c>
      <c r="O97" t="inlineStr">
        <is>
          <t>Debit Card</t>
        </is>
      </c>
      <c r="P97" t="inlineStr">
        <is>
          <t>Kabir Singh</t>
        </is>
      </c>
    </row>
    <row r="98">
      <c r="A98" t="inlineStr">
        <is>
          <t>ORD-2504-0097</t>
        </is>
      </c>
      <c r="B98" s="11" t="n">
        <v>45776</v>
      </c>
      <c r="C98" t="inlineStr">
        <is>
          <t>West</t>
        </is>
      </c>
      <c r="D98" t="inlineStr">
        <is>
          <t>Ahmedabad</t>
        </is>
      </c>
      <c r="E98" t="inlineStr">
        <is>
          <t>Corporate</t>
        </is>
      </c>
      <c r="F98" t="inlineStr">
        <is>
          <t>Partner</t>
        </is>
      </c>
      <c r="G98" t="inlineStr">
        <is>
          <t>Furniture</t>
        </is>
      </c>
      <c r="H98" t="inlineStr">
        <is>
          <t>Bookshelf</t>
        </is>
      </c>
      <c r="I98" t="n">
        <v>2</v>
      </c>
      <c r="J98" s="12" t="n">
        <v>5453.45</v>
      </c>
      <c r="K98" s="13" t="n">
        <v>0</v>
      </c>
      <c r="L98" s="12" t="n">
        <v>10906.9</v>
      </c>
      <c r="M98" s="12" t="n">
        <v>8071.11</v>
      </c>
      <c r="N98" s="12" t="n">
        <v>2835.79</v>
      </c>
      <c r="O98" t="inlineStr">
        <is>
          <t>Cash</t>
        </is>
      </c>
      <c r="P98" t="inlineStr">
        <is>
          <t>Kabir Singh</t>
        </is>
      </c>
    </row>
    <row r="99">
      <c r="A99" t="inlineStr">
        <is>
          <t>ORD-2502-0098</t>
        </is>
      </c>
      <c r="B99" s="11" t="n">
        <v>45695</v>
      </c>
      <c r="C99" t="inlineStr">
        <is>
          <t>West</t>
        </is>
      </c>
      <c r="D99" t="inlineStr">
        <is>
          <t>Ahmedabad</t>
        </is>
      </c>
      <c r="E99" t="inlineStr">
        <is>
          <t>Corporate</t>
        </is>
      </c>
      <c r="F99" t="inlineStr">
        <is>
          <t>Retail Store</t>
        </is>
      </c>
      <c r="G99" t="inlineStr">
        <is>
          <t>Office Supplies</t>
        </is>
      </c>
      <c r="H99" t="inlineStr">
        <is>
          <t>Notebook Pack</t>
        </is>
      </c>
      <c r="I99" t="n">
        <v>2</v>
      </c>
      <c r="J99" s="12" t="n">
        <v>360.66</v>
      </c>
      <c r="K99" s="13" t="n">
        <v>0.2</v>
      </c>
      <c r="L99" s="12" t="n">
        <v>577.0599999999999</v>
      </c>
      <c r="M99" s="12" t="n">
        <v>490.5</v>
      </c>
      <c r="N99" s="12" t="n">
        <v>86.56</v>
      </c>
      <c r="O99" t="inlineStr">
        <is>
          <t>UPI</t>
        </is>
      </c>
      <c r="P99" t="inlineStr">
        <is>
          <t>Vivaan Gupta</t>
        </is>
      </c>
    </row>
    <row r="100">
      <c r="A100" t="inlineStr">
        <is>
          <t>ORD-2509-0099</t>
        </is>
      </c>
      <c r="B100" s="11" t="n">
        <v>45905</v>
      </c>
      <c r="C100" t="inlineStr">
        <is>
          <t>North</t>
        </is>
      </c>
      <c r="D100" t="inlineStr">
        <is>
          <t>Jaipur</t>
        </is>
      </c>
      <c r="E100" t="inlineStr">
        <is>
          <t>Corporate</t>
        </is>
      </c>
      <c r="F100" t="inlineStr">
        <is>
          <t>Online</t>
        </is>
      </c>
      <c r="G100" t="inlineStr">
        <is>
          <t>Furniture</t>
        </is>
      </c>
      <c r="H100" t="inlineStr">
        <is>
          <t>Desk</t>
        </is>
      </c>
      <c r="I100" t="n">
        <v>3</v>
      </c>
      <c r="J100" s="12" t="n">
        <v>12406.55</v>
      </c>
      <c r="K100" s="13" t="n">
        <v>0.1</v>
      </c>
      <c r="L100" s="12" t="n">
        <v>33497.68</v>
      </c>
      <c r="M100" s="12" t="n">
        <v>28286.93</v>
      </c>
      <c r="N100" s="12" t="n">
        <v>5210.75</v>
      </c>
      <c r="O100" t="inlineStr">
        <is>
          <t>Debit Card</t>
        </is>
      </c>
      <c r="P100" t="inlineStr">
        <is>
          <t>Rohan Verma</t>
        </is>
      </c>
    </row>
    <row r="101">
      <c r="A101" t="inlineStr">
        <is>
          <t>ORD-2501-0100</t>
        </is>
      </c>
      <c r="B101" s="11" t="n">
        <v>45662</v>
      </c>
      <c r="C101" t="inlineStr">
        <is>
          <t>Central</t>
        </is>
      </c>
      <c r="D101" t="inlineStr">
        <is>
          <t>Bhopal</t>
        </is>
      </c>
      <c r="E101" t="inlineStr">
        <is>
          <t>Consumer</t>
        </is>
      </c>
      <c r="F101" t="inlineStr">
        <is>
          <t>Partner</t>
        </is>
      </c>
      <c r="G101" t="inlineStr">
        <is>
          <t>Office Supplies</t>
        </is>
      </c>
      <c r="H101" t="inlineStr">
        <is>
          <t>Notebook Pack</t>
        </is>
      </c>
      <c r="I101" t="n">
        <v>4</v>
      </c>
      <c r="J101" s="12" t="n">
        <v>372.56</v>
      </c>
      <c r="K101" s="13" t="n">
        <v>0.15</v>
      </c>
      <c r="L101" s="12" t="n">
        <v>1266.7</v>
      </c>
      <c r="M101" s="12" t="n">
        <v>1013.36</v>
      </c>
      <c r="N101" s="12" t="n">
        <v>253.34</v>
      </c>
      <c r="O101" t="inlineStr">
        <is>
          <t>Net Banking</t>
        </is>
      </c>
      <c r="P101" t="inlineStr">
        <is>
          <t>Meera Joshi</t>
        </is>
      </c>
    </row>
    <row r="102">
      <c r="A102" t="inlineStr">
        <is>
          <t>ORD-2511-0101</t>
        </is>
      </c>
      <c r="B102" s="11" t="n">
        <v>45983</v>
      </c>
      <c r="C102" t="inlineStr">
        <is>
          <t>South</t>
        </is>
      </c>
      <c r="D102" t="inlineStr">
        <is>
          <t>Hyderabad</t>
        </is>
      </c>
      <c r="E102" t="inlineStr">
        <is>
          <t>Consumer</t>
        </is>
      </c>
      <c r="F102" t="inlineStr">
        <is>
          <t>Partner</t>
        </is>
      </c>
      <c r="G102" t="inlineStr">
        <is>
          <t>Office Supplies</t>
        </is>
      </c>
      <c r="H102" t="inlineStr">
        <is>
          <t>Pens Box</t>
        </is>
      </c>
      <c r="I102" t="n">
        <v>4</v>
      </c>
      <c r="J102" s="12" t="n">
        <v>185.21</v>
      </c>
      <c r="K102" s="13" t="n">
        <v>0.1</v>
      </c>
      <c r="L102" s="12" t="n">
        <v>666.76</v>
      </c>
      <c r="M102" s="12" t="n">
        <v>481.55</v>
      </c>
      <c r="N102" s="12" t="n">
        <v>185.21</v>
      </c>
      <c r="O102" t="inlineStr">
        <is>
          <t>Credit Card</t>
        </is>
      </c>
      <c r="P102" t="inlineStr">
        <is>
          <t>Aarav Sharma</t>
        </is>
      </c>
    </row>
    <row r="103">
      <c r="A103" t="inlineStr">
        <is>
          <t>ORD-2506-0102</t>
        </is>
      </c>
      <c r="B103" s="11" t="n">
        <v>45816</v>
      </c>
      <c r="C103" t="inlineStr">
        <is>
          <t>West</t>
        </is>
      </c>
      <c r="D103" t="inlineStr">
        <is>
          <t>Mumbai</t>
        </is>
      </c>
      <c r="E103" t="inlineStr">
        <is>
          <t>Corporate</t>
        </is>
      </c>
      <c r="F103" t="inlineStr">
        <is>
          <t>Partner</t>
        </is>
      </c>
      <c r="G103" t="inlineStr">
        <is>
          <t>Office Supplies</t>
        </is>
      </c>
      <c r="H103" t="inlineStr">
        <is>
          <t>Notebook Pack</t>
        </is>
      </c>
      <c r="I103" t="n">
        <v>2</v>
      </c>
      <c r="J103" s="12" t="n">
        <v>372.94</v>
      </c>
      <c r="K103" s="13" t="n">
        <v>0</v>
      </c>
      <c r="L103" s="12" t="n">
        <v>745.88</v>
      </c>
      <c r="M103" s="12" t="n">
        <v>507.2</v>
      </c>
      <c r="N103" s="12" t="n">
        <v>238.68</v>
      </c>
      <c r="O103" t="inlineStr">
        <is>
          <t>Debit Card</t>
        </is>
      </c>
      <c r="P103" t="inlineStr">
        <is>
          <t>Kabir Singh</t>
        </is>
      </c>
    </row>
    <row r="104">
      <c r="A104" t="inlineStr">
        <is>
          <t>ORD-2504-0103</t>
        </is>
      </c>
      <c r="B104" s="11" t="n">
        <v>45760</v>
      </c>
      <c r="C104" t="inlineStr">
        <is>
          <t>South</t>
        </is>
      </c>
      <c r="D104" t="inlineStr">
        <is>
          <t>Hyderabad</t>
        </is>
      </c>
      <c r="E104" t="inlineStr">
        <is>
          <t>Corporate</t>
        </is>
      </c>
      <c r="F104" t="inlineStr">
        <is>
          <t>Retail Store</t>
        </is>
      </c>
      <c r="G104" t="inlineStr">
        <is>
          <t>Furniture</t>
        </is>
      </c>
      <c r="H104" t="inlineStr">
        <is>
          <t>Storage Cabinet</t>
        </is>
      </c>
      <c r="I104" t="n">
        <v>3</v>
      </c>
      <c r="J104" s="12" t="n">
        <v>8422.309999999999</v>
      </c>
      <c r="K104" s="13" t="n">
        <v>0</v>
      </c>
      <c r="L104" s="12" t="n">
        <v>25266.93</v>
      </c>
      <c r="M104" s="12" t="n">
        <v>20213.54</v>
      </c>
      <c r="N104" s="12" t="n">
        <v>5053.39</v>
      </c>
      <c r="O104" t="inlineStr">
        <is>
          <t>Net Banking</t>
        </is>
      </c>
      <c r="P104" t="inlineStr">
        <is>
          <t>Diya Patel</t>
        </is>
      </c>
    </row>
    <row r="105">
      <c r="A105" t="inlineStr">
        <is>
          <t>ORD-2508-0104</t>
        </is>
      </c>
      <c r="B105" s="11" t="n">
        <v>45897</v>
      </c>
      <c r="C105" t="inlineStr">
        <is>
          <t>North</t>
        </is>
      </c>
      <c r="D105" t="inlineStr">
        <is>
          <t>Jaipur</t>
        </is>
      </c>
      <c r="E105" t="inlineStr">
        <is>
          <t>Corporate</t>
        </is>
      </c>
      <c r="F105" t="inlineStr">
        <is>
          <t>Partner</t>
        </is>
      </c>
      <c r="G105" t="inlineStr">
        <is>
          <t>Office Supplies</t>
        </is>
      </c>
      <c r="H105" t="inlineStr">
        <is>
          <t>File Folder</t>
        </is>
      </c>
      <c r="I105" t="n">
        <v>8</v>
      </c>
      <c r="J105" s="12" t="n">
        <v>93.23</v>
      </c>
      <c r="K105" s="13" t="n">
        <v>0.15</v>
      </c>
      <c r="L105" s="12" t="n">
        <v>633.96</v>
      </c>
      <c r="M105" s="12" t="n">
        <v>462.42</v>
      </c>
      <c r="N105" s="12" t="n">
        <v>171.54</v>
      </c>
      <c r="O105" t="inlineStr">
        <is>
          <t>Net Banking</t>
        </is>
      </c>
      <c r="P105" t="inlineStr">
        <is>
          <t>Diya Patel</t>
        </is>
      </c>
    </row>
    <row r="106">
      <c r="A106" t="inlineStr">
        <is>
          <t>ORD-2507-0105</t>
        </is>
      </c>
      <c r="B106" s="11" t="n">
        <v>45860</v>
      </c>
      <c r="C106" t="inlineStr">
        <is>
          <t>North</t>
        </is>
      </c>
      <c r="D106" t="inlineStr">
        <is>
          <t>Chandigarh</t>
        </is>
      </c>
      <c r="E106" t="inlineStr">
        <is>
          <t>Corporate</t>
        </is>
      </c>
      <c r="F106" t="inlineStr">
        <is>
          <t>Partner</t>
        </is>
      </c>
      <c r="G106" t="inlineStr">
        <is>
          <t>Furniture</t>
        </is>
      </c>
      <c r="H106" t="inlineStr">
        <is>
          <t>Storage Cabinet</t>
        </is>
      </c>
      <c r="I106" t="n">
        <v>1</v>
      </c>
      <c r="J106" s="12" t="n">
        <v>9254.59</v>
      </c>
      <c r="K106" s="13" t="n">
        <v>0.05</v>
      </c>
      <c r="L106" s="12" t="n">
        <v>8791.860000000001</v>
      </c>
      <c r="M106" s="12" t="n">
        <v>7403.67</v>
      </c>
      <c r="N106" s="12" t="n">
        <v>1388.19</v>
      </c>
      <c r="O106" t="inlineStr">
        <is>
          <t>Debit Card</t>
        </is>
      </c>
      <c r="P106" t="inlineStr">
        <is>
          <t>Sara Khan</t>
        </is>
      </c>
    </row>
    <row r="107">
      <c r="A107" t="inlineStr">
        <is>
          <t>ORD-2502-0106</t>
        </is>
      </c>
      <c r="B107" s="11" t="n">
        <v>45713</v>
      </c>
      <c r="C107" t="inlineStr">
        <is>
          <t>South</t>
        </is>
      </c>
      <c r="D107" t="inlineStr">
        <is>
          <t>Kochi</t>
        </is>
      </c>
      <c r="E107" t="inlineStr">
        <is>
          <t>Small Business</t>
        </is>
      </c>
      <c r="F107" t="inlineStr">
        <is>
          <t>Online</t>
        </is>
      </c>
      <c r="G107" t="inlineStr">
        <is>
          <t>Technology</t>
        </is>
      </c>
      <c r="H107" t="inlineStr">
        <is>
          <t>Laptop</t>
        </is>
      </c>
      <c r="I107" t="n">
        <v>3</v>
      </c>
      <c r="J107" s="12" t="n">
        <v>40844.2</v>
      </c>
      <c r="K107" s="13" t="n">
        <v>0.2</v>
      </c>
      <c r="L107" s="12" t="n">
        <v>98026.08</v>
      </c>
      <c r="M107" s="12" t="n">
        <v>107828.69</v>
      </c>
      <c r="N107" s="12" t="n">
        <v>-9802.610000000001</v>
      </c>
      <c r="O107" t="inlineStr">
        <is>
          <t>Credit Card</t>
        </is>
      </c>
      <c r="P107" t="inlineStr">
        <is>
          <t>Anaya Rao</t>
        </is>
      </c>
    </row>
    <row r="108">
      <c r="A108" t="inlineStr">
        <is>
          <t>ORD-2512-0107</t>
        </is>
      </c>
      <c r="B108" s="11" t="n">
        <v>46016</v>
      </c>
      <c r="C108" t="inlineStr">
        <is>
          <t>East</t>
        </is>
      </c>
      <c r="D108" t="inlineStr">
        <is>
          <t>Guwahati</t>
        </is>
      </c>
      <c r="E108" t="inlineStr">
        <is>
          <t>Corporate</t>
        </is>
      </c>
      <c r="F108" t="inlineStr">
        <is>
          <t>Online</t>
        </is>
      </c>
      <c r="G108" t="inlineStr">
        <is>
          <t>Technology</t>
        </is>
      </c>
      <c r="H108" t="inlineStr">
        <is>
          <t>Monitor</t>
        </is>
      </c>
      <c r="I108" t="n">
        <v>1</v>
      </c>
      <c r="J108" s="12" t="n">
        <v>12108.73</v>
      </c>
      <c r="K108" s="13" t="n">
        <v>0.2</v>
      </c>
      <c r="L108" s="12" t="n">
        <v>9686.98</v>
      </c>
      <c r="M108" s="12" t="n">
        <v>9929.16</v>
      </c>
      <c r="N108" s="12" t="n">
        <v>-242.18</v>
      </c>
      <c r="O108" t="inlineStr">
        <is>
          <t>Credit Card</t>
        </is>
      </c>
      <c r="P108" t="inlineStr">
        <is>
          <t>Meera Joshi</t>
        </is>
      </c>
    </row>
    <row r="109">
      <c r="A109" t="inlineStr">
        <is>
          <t>ORD-2510-0108</t>
        </is>
      </c>
      <c r="B109" s="11" t="n">
        <v>45933</v>
      </c>
      <c r="C109" t="inlineStr">
        <is>
          <t>South</t>
        </is>
      </c>
      <c r="D109" t="inlineStr">
        <is>
          <t>Kochi</t>
        </is>
      </c>
      <c r="E109" t="inlineStr">
        <is>
          <t>Small Business</t>
        </is>
      </c>
      <c r="F109" t="inlineStr">
        <is>
          <t>Retail Store</t>
        </is>
      </c>
      <c r="G109" t="inlineStr">
        <is>
          <t>Furniture</t>
        </is>
      </c>
      <c r="H109" t="inlineStr">
        <is>
          <t>Bookshelf</t>
        </is>
      </c>
      <c r="I109" t="n">
        <v>2</v>
      </c>
      <c r="J109" s="12" t="n">
        <v>5363.47</v>
      </c>
      <c r="K109" s="13" t="n">
        <v>0.2</v>
      </c>
      <c r="L109" s="12" t="n">
        <v>8581.549999999999</v>
      </c>
      <c r="M109" s="12" t="n">
        <v>7937.94</v>
      </c>
      <c r="N109" s="12" t="n">
        <v>643.61</v>
      </c>
      <c r="O109" t="inlineStr">
        <is>
          <t>Cash</t>
        </is>
      </c>
      <c r="P109" t="inlineStr">
        <is>
          <t>Kabir Singh</t>
        </is>
      </c>
    </row>
    <row r="110">
      <c r="A110" t="inlineStr">
        <is>
          <t>ORD-2508-0109</t>
        </is>
      </c>
      <c r="B110" s="11" t="n">
        <v>45870</v>
      </c>
      <c r="C110" t="inlineStr">
        <is>
          <t>North</t>
        </is>
      </c>
      <c r="D110" t="inlineStr">
        <is>
          <t>Lucknow</t>
        </is>
      </c>
      <c r="E110" t="inlineStr">
        <is>
          <t>Corporate</t>
        </is>
      </c>
      <c r="F110" t="inlineStr">
        <is>
          <t>Online</t>
        </is>
      </c>
      <c r="G110" t="inlineStr">
        <is>
          <t>Office Supplies</t>
        </is>
      </c>
      <c r="H110" t="inlineStr">
        <is>
          <t>Notebook Pack</t>
        </is>
      </c>
      <c r="I110" t="n">
        <v>2</v>
      </c>
      <c r="J110" s="12" t="n">
        <v>323.83</v>
      </c>
      <c r="K110" s="13" t="n">
        <v>0.2</v>
      </c>
      <c r="L110" s="12" t="n">
        <v>518.13</v>
      </c>
      <c r="M110" s="12" t="n">
        <v>440.41</v>
      </c>
      <c r="N110" s="12" t="n">
        <v>77.72</v>
      </c>
      <c r="O110" t="inlineStr">
        <is>
          <t>Debit Card</t>
        </is>
      </c>
      <c r="P110" t="inlineStr">
        <is>
          <t>Anaya Rao</t>
        </is>
      </c>
    </row>
    <row r="111">
      <c r="A111" t="inlineStr">
        <is>
          <t>ORD-2505-0110</t>
        </is>
      </c>
      <c r="B111" s="11" t="n">
        <v>45778</v>
      </c>
      <c r="C111" t="inlineStr">
        <is>
          <t>East</t>
        </is>
      </c>
      <c r="D111" t="inlineStr">
        <is>
          <t>Kolkata</t>
        </is>
      </c>
      <c r="E111" t="inlineStr">
        <is>
          <t>Consumer</t>
        </is>
      </c>
      <c r="F111" t="inlineStr">
        <is>
          <t>Retail Store</t>
        </is>
      </c>
      <c r="G111" t="inlineStr">
        <is>
          <t>Office Supplies</t>
        </is>
      </c>
      <c r="H111" t="inlineStr">
        <is>
          <t>Pens Box</t>
        </is>
      </c>
      <c r="I111" t="n">
        <v>2</v>
      </c>
      <c r="J111" s="12" t="n">
        <v>184.17</v>
      </c>
      <c r="K111" s="13" t="n">
        <v>0.15</v>
      </c>
      <c r="L111" s="12" t="n">
        <v>313.09</v>
      </c>
      <c r="M111" s="12" t="n">
        <v>239.42</v>
      </c>
      <c r="N111" s="12" t="n">
        <v>73.67</v>
      </c>
      <c r="O111" t="inlineStr">
        <is>
          <t>Net Banking</t>
        </is>
      </c>
      <c r="P111" t="inlineStr">
        <is>
          <t>Meera Joshi</t>
        </is>
      </c>
    </row>
    <row r="112">
      <c r="A112" t="inlineStr">
        <is>
          <t>ORD-2503-0111</t>
        </is>
      </c>
      <c r="B112" s="11" t="n">
        <v>45720</v>
      </c>
      <c r="C112" t="inlineStr">
        <is>
          <t>West</t>
        </is>
      </c>
      <c r="D112" t="inlineStr">
        <is>
          <t>Mumbai</t>
        </is>
      </c>
      <c r="E112" t="inlineStr">
        <is>
          <t>Consumer</t>
        </is>
      </c>
      <c r="F112" t="inlineStr">
        <is>
          <t>Retail Store</t>
        </is>
      </c>
      <c r="G112" t="inlineStr">
        <is>
          <t>Office Supplies</t>
        </is>
      </c>
      <c r="H112" t="inlineStr">
        <is>
          <t>Pens Box</t>
        </is>
      </c>
      <c r="I112" t="n">
        <v>2</v>
      </c>
      <c r="J112" s="12" t="n">
        <v>193.57</v>
      </c>
      <c r="K112" s="13" t="n">
        <v>0.1</v>
      </c>
      <c r="L112" s="12" t="n">
        <v>348.43</v>
      </c>
      <c r="M112" s="12" t="n">
        <v>251.64</v>
      </c>
      <c r="N112" s="12" t="n">
        <v>96.79000000000001</v>
      </c>
      <c r="O112" t="inlineStr">
        <is>
          <t>UPI</t>
        </is>
      </c>
      <c r="P112" t="inlineStr">
        <is>
          <t>Kabir Singh</t>
        </is>
      </c>
    </row>
    <row r="113">
      <c r="A113" t="inlineStr">
        <is>
          <t>ORD-2510-0112</t>
        </is>
      </c>
      <c r="B113" s="11" t="n">
        <v>45947</v>
      </c>
      <c r="C113" t="inlineStr">
        <is>
          <t>South</t>
        </is>
      </c>
      <c r="D113" t="inlineStr">
        <is>
          <t>Bengaluru</t>
        </is>
      </c>
      <c r="E113" t="inlineStr">
        <is>
          <t>Consumer</t>
        </is>
      </c>
      <c r="F113" t="inlineStr">
        <is>
          <t>Retail Store</t>
        </is>
      </c>
      <c r="G113" t="inlineStr">
        <is>
          <t>Office Supplies</t>
        </is>
      </c>
      <c r="H113" t="inlineStr">
        <is>
          <t>Stapler</t>
        </is>
      </c>
      <c r="I113" t="n">
        <v>4</v>
      </c>
      <c r="J113" s="12" t="n">
        <v>248.18</v>
      </c>
      <c r="K113" s="13" t="n">
        <v>0</v>
      </c>
      <c r="L113" s="12" t="n">
        <v>992.72</v>
      </c>
      <c r="M113" s="12" t="n">
        <v>694.9</v>
      </c>
      <c r="N113" s="12" t="n">
        <v>297.82</v>
      </c>
      <c r="O113" t="inlineStr">
        <is>
          <t>UPI</t>
        </is>
      </c>
      <c r="P113" t="inlineStr">
        <is>
          <t>Aarav Sharma</t>
        </is>
      </c>
    </row>
    <row r="114">
      <c r="A114" t="inlineStr">
        <is>
          <t>ORD-2505-0113</t>
        </is>
      </c>
      <c r="B114" s="11" t="n">
        <v>45799</v>
      </c>
      <c r="C114" t="inlineStr">
        <is>
          <t>South</t>
        </is>
      </c>
      <c r="D114" t="inlineStr">
        <is>
          <t>Chennai</t>
        </is>
      </c>
      <c r="E114" t="inlineStr">
        <is>
          <t>Consumer</t>
        </is>
      </c>
      <c r="F114" t="inlineStr">
        <is>
          <t>Online</t>
        </is>
      </c>
      <c r="G114" t="inlineStr">
        <is>
          <t>Furniture</t>
        </is>
      </c>
      <c r="H114" t="inlineStr">
        <is>
          <t>Storage Cabinet</t>
        </is>
      </c>
      <c r="I114" t="n">
        <v>2</v>
      </c>
      <c r="J114" s="12" t="n">
        <v>9129.35</v>
      </c>
      <c r="K114" s="13" t="n">
        <v>0</v>
      </c>
      <c r="L114" s="12" t="n">
        <v>18258.7</v>
      </c>
      <c r="M114" s="12" t="n">
        <v>14606.96</v>
      </c>
      <c r="N114" s="12" t="n">
        <v>3651.74</v>
      </c>
      <c r="O114" t="inlineStr">
        <is>
          <t>Credit Card</t>
        </is>
      </c>
      <c r="P114" t="inlineStr">
        <is>
          <t>Sara Khan</t>
        </is>
      </c>
    </row>
    <row r="115">
      <c r="A115" t="inlineStr">
        <is>
          <t>ORD-2505-0114</t>
        </is>
      </c>
      <c r="B115" s="11" t="n">
        <v>45779</v>
      </c>
      <c r="C115" t="inlineStr">
        <is>
          <t>Central</t>
        </is>
      </c>
      <c r="D115" t="inlineStr">
        <is>
          <t>Raipur</t>
        </is>
      </c>
      <c r="E115" t="inlineStr">
        <is>
          <t>Small Business</t>
        </is>
      </c>
      <c r="F115" t="inlineStr">
        <is>
          <t>Online</t>
        </is>
      </c>
      <c r="G115" t="inlineStr">
        <is>
          <t>Technology</t>
        </is>
      </c>
      <c r="H115" t="inlineStr">
        <is>
          <t>Laptop</t>
        </is>
      </c>
      <c r="I115" t="n">
        <v>1</v>
      </c>
      <c r="J115" s="12" t="n">
        <v>43624.35</v>
      </c>
      <c r="K115" s="13" t="n">
        <v>0</v>
      </c>
      <c r="L115" s="12" t="n">
        <v>43624.35</v>
      </c>
      <c r="M115" s="12" t="n">
        <v>38389.43</v>
      </c>
      <c r="N115" s="12" t="n">
        <v>5234.92</v>
      </c>
      <c r="O115" t="inlineStr">
        <is>
          <t>Credit Card</t>
        </is>
      </c>
      <c r="P115" t="inlineStr">
        <is>
          <t>Anaya Rao</t>
        </is>
      </c>
    </row>
    <row r="116">
      <c r="A116" t="inlineStr">
        <is>
          <t>ORD-2508-0115</t>
        </is>
      </c>
      <c r="B116" s="11" t="n">
        <v>45887</v>
      </c>
      <c r="C116" t="inlineStr">
        <is>
          <t>East</t>
        </is>
      </c>
      <c r="D116" t="inlineStr">
        <is>
          <t>Kolkata</t>
        </is>
      </c>
      <c r="E116" t="inlineStr">
        <is>
          <t>Small Business</t>
        </is>
      </c>
      <c r="F116" t="inlineStr">
        <is>
          <t>Partner</t>
        </is>
      </c>
      <c r="G116" t="inlineStr">
        <is>
          <t>Furniture</t>
        </is>
      </c>
      <c r="H116" t="inlineStr">
        <is>
          <t>Bookshelf</t>
        </is>
      </c>
      <c r="I116" t="n">
        <v>3</v>
      </c>
      <c r="J116" s="12" t="n">
        <v>4820.08</v>
      </c>
      <c r="K116" s="13" t="n">
        <v>0.2</v>
      </c>
      <c r="L116" s="12" t="n">
        <v>11568.19</v>
      </c>
      <c r="M116" s="12" t="n">
        <v>10700.58</v>
      </c>
      <c r="N116" s="12" t="n">
        <v>867.61</v>
      </c>
      <c r="O116" t="inlineStr">
        <is>
          <t>Net Banking</t>
        </is>
      </c>
      <c r="P116" t="inlineStr">
        <is>
          <t>Anaya Rao</t>
        </is>
      </c>
    </row>
    <row r="117">
      <c r="A117" t="inlineStr">
        <is>
          <t>ORD-2511-0116</t>
        </is>
      </c>
      <c r="B117" s="11" t="n">
        <v>45987</v>
      </c>
      <c r="C117" t="inlineStr">
        <is>
          <t>North</t>
        </is>
      </c>
      <c r="D117" t="inlineStr">
        <is>
          <t>Delhi</t>
        </is>
      </c>
      <c r="E117" t="inlineStr">
        <is>
          <t>Small Business</t>
        </is>
      </c>
      <c r="F117" t="inlineStr">
        <is>
          <t>Retail Store</t>
        </is>
      </c>
      <c r="G117" t="inlineStr">
        <is>
          <t>Furniture</t>
        </is>
      </c>
      <c r="H117" t="inlineStr">
        <is>
          <t>Bookshelf</t>
        </is>
      </c>
      <c r="I117" t="n">
        <v>5</v>
      </c>
      <c r="J117" s="12" t="n">
        <v>4873.82</v>
      </c>
      <c r="K117" s="13" t="n">
        <v>0.05</v>
      </c>
      <c r="L117" s="12" t="n">
        <v>23150.64</v>
      </c>
      <c r="M117" s="12" t="n">
        <v>18033.13</v>
      </c>
      <c r="N117" s="12" t="n">
        <v>5117.51</v>
      </c>
      <c r="O117" t="inlineStr">
        <is>
          <t>Credit Card</t>
        </is>
      </c>
      <c r="P117" t="inlineStr">
        <is>
          <t>Diya Patel</t>
        </is>
      </c>
    </row>
    <row r="118">
      <c r="A118" t="inlineStr">
        <is>
          <t>ORD-2506-0117</t>
        </is>
      </c>
      <c r="B118" s="11" t="n">
        <v>45822</v>
      </c>
      <c r="C118" t="inlineStr">
        <is>
          <t>Central</t>
        </is>
      </c>
      <c r="D118" t="inlineStr">
        <is>
          <t>Indore</t>
        </is>
      </c>
      <c r="E118" t="inlineStr">
        <is>
          <t>Small Business</t>
        </is>
      </c>
      <c r="F118" t="inlineStr">
        <is>
          <t>Retail Store</t>
        </is>
      </c>
      <c r="G118" t="inlineStr">
        <is>
          <t>Technology</t>
        </is>
      </c>
      <c r="H118" t="inlineStr">
        <is>
          <t>Monitor</t>
        </is>
      </c>
      <c r="I118" t="n">
        <v>1</v>
      </c>
      <c r="J118" s="12" t="n">
        <v>12670.73</v>
      </c>
      <c r="K118" s="13" t="n">
        <v>0.1</v>
      </c>
      <c r="L118" s="12" t="n">
        <v>11403.66</v>
      </c>
      <c r="M118" s="12" t="n">
        <v>10390</v>
      </c>
      <c r="N118" s="12" t="n">
        <v>1013.66</v>
      </c>
      <c r="O118" t="inlineStr">
        <is>
          <t>Debit Card</t>
        </is>
      </c>
      <c r="P118" t="inlineStr">
        <is>
          <t>Rohan Verma</t>
        </is>
      </c>
    </row>
    <row r="119">
      <c r="A119" t="inlineStr">
        <is>
          <t>ORD-2508-0118</t>
        </is>
      </c>
      <c r="B119" s="11" t="n">
        <v>45890</v>
      </c>
      <c r="C119" t="inlineStr">
        <is>
          <t>Central</t>
        </is>
      </c>
      <c r="D119" t="inlineStr">
        <is>
          <t>Nagpur</t>
        </is>
      </c>
      <c r="E119" t="inlineStr">
        <is>
          <t>Small Business</t>
        </is>
      </c>
      <c r="F119" t="inlineStr">
        <is>
          <t>Partner</t>
        </is>
      </c>
      <c r="G119" t="inlineStr">
        <is>
          <t>Technology</t>
        </is>
      </c>
      <c r="H119" t="inlineStr">
        <is>
          <t>Monitor</t>
        </is>
      </c>
      <c r="I119" t="n">
        <v>5</v>
      </c>
      <c r="J119" s="12" t="n">
        <v>12809.43</v>
      </c>
      <c r="K119" s="13" t="n">
        <v>0</v>
      </c>
      <c r="L119" s="12" t="n">
        <v>64047.15</v>
      </c>
      <c r="M119" s="12" t="n">
        <v>52518.66</v>
      </c>
      <c r="N119" s="12" t="n">
        <v>11528.49</v>
      </c>
      <c r="O119" t="inlineStr">
        <is>
          <t>UPI</t>
        </is>
      </c>
      <c r="P119" t="inlineStr">
        <is>
          <t>Vivaan Gupta</t>
        </is>
      </c>
    </row>
    <row r="120">
      <c r="A120" t="inlineStr">
        <is>
          <t>ORD-2508-0119</t>
        </is>
      </c>
      <c r="B120" s="11" t="n">
        <v>45889</v>
      </c>
      <c r="C120" t="inlineStr">
        <is>
          <t>South</t>
        </is>
      </c>
      <c r="D120" t="inlineStr">
        <is>
          <t>Kochi</t>
        </is>
      </c>
      <c r="E120" t="inlineStr">
        <is>
          <t>Corporate</t>
        </is>
      </c>
      <c r="F120" t="inlineStr">
        <is>
          <t>Retail Store</t>
        </is>
      </c>
      <c r="G120" t="inlineStr">
        <is>
          <t>Furniture</t>
        </is>
      </c>
      <c r="H120" t="inlineStr">
        <is>
          <t>Office Chair</t>
        </is>
      </c>
      <c r="I120" t="n">
        <v>5</v>
      </c>
      <c r="J120" s="12" t="n">
        <v>7049.82</v>
      </c>
      <c r="K120" s="13" t="n">
        <v>0.05</v>
      </c>
      <c r="L120" s="12" t="n">
        <v>33486.64</v>
      </c>
      <c r="M120" s="12" t="n">
        <v>25379.35</v>
      </c>
      <c r="N120" s="12" t="n">
        <v>8107.29</v>
      </c>
      <c r="O120" t="inlineStr">
        <is>
          <t>Net Banking</t>
        </is>
      </c>
      <c r="P120" t="inlineStr">
        <is>
          <t>Rohan Verma</t>
        </is>
      </c>
    </row>
    <row r="121">
      <c r="A121" t="inlineStr">
        <is>
          <t>ORD-2507-0120</t>
        </is>
      </c>
      <c r="B121" s="11" t="n">
        <v>45849</v>
      </c>
      <c r="C121" t="inlineStr">
        <is>
          <t>South</t>
        </is>
      </c>
      <c r="D121" t="inlineStr">
        <is>
          <t>Kochi</t>
        </is>
      </c>
      <c r="E121" t="inlineStr">
        <is>
          <t>Small Business</t>
        </is>
      </c>
      <c r="F121" t="inlineStr">
        <is>
          <t>Partner</t>
        </is>
      </c>
      <c r="G121" t="inlineStr">
        <is>
          <t>Technology</t>
        </is>
      </c>
      <c r="H121" t="inlineStr">
        <is>
          <t>Monitor</t>
        </is>
      </c>
      <c r="I121" t="n">
        <v>1</v>
      </c>
      <c r="J121" s="12" t="n">
        <v>12363.75</v>
      </c>
      <c r="K121" s="13" t="n">
        <v>0</v>
      </c>
      <c r="L121" s="12" t="n">
        <v>12363.75</v>
      </c>
      <c r="M121" s="12" t="n">
        <v>10138.28</v>
      </c>
      <c r="N121" s="12" t="n">
        <v>2225.47</v>
      </c>
      <c r="O121" t="inlineStr">
        <is>
          <t>Net Banking</t>
        </is>
      </c>
      <c r="P121" t="inlineStr">
        <is>
          <t>Kabir Singh</t>
        </is>
      </c>
    </row>
    <row r="122">
      <c r="A122" t="inlineStr">
        <is>
          <t>ORD-2510-0121</t>
        </is>
      </c>
      <c r="B122" s="11" t="n">
        <v>45942</v>
      </c>
      <c r="C122" t="inlineStr">
        <is>
          <t>North</t>
        </is>
      </c>
      <c r="D122" t="inlineStr">
        <is>
          <t>Chandigarh</t>
        </is>
      </c>
      <c r="E122" t="inlineStr">
        <is>
          <t>Corporate</t>
        </is>
      </c>
      <c r="F122" t="inlineStr">
        <is>
          <t>Partner</t>
        </is>
      </c>
      <c r="G122" t="inlineStr">
        <is>
          <t>Office Supplies</t>
        </is>
      </c>
      <c r="H122" t="inlineStr">
        <is>
          <t>Pens Box</t>
        </is>
      </c>
      <c r="I122" t="n">
        <v>1</v>
      </c>
      <c r="J122" s="12" t="n">
        <v>184.76</v>
      </c>
      <c r="K122" s="13" t="n">
        <v>0.05</v>
      </c>
      <c r="L122" s="12" t="n">
        <v>175.52</v>
      </c>
      <c r="M122" s="12" t="n">
        <v>120.09</v>
      </c>
      <c r="N122" s="12" t="n">
        <v>55.43</v>
      </c>
      <c r="O122" t="inlineStr">
        <is>
          <t>Credit Card</t>
        </is>
      </c>
      <c r="P122" t="inlineStr">
        <is>
          <t>Rohan Verma</t>
        </is>
      </c>
    </row>
    <row r="123">
      <c r="A123" t="inlineStr">
        <is>
          <t>ORD-2511-0122</t>
        </is>
      </c>
      <c r="B123" s="11" t="n">
        <v>45965</v>
      </c>
      <c r="C123" t="inlineStr">
        <is>
          <t>East</t>
        </is>
      </c>
      <c r="D123" t="inlineStr">
        <is>
          <t>Bhubaneswar</t>
        </is>
      </c>
      <c r="E123" t="inlineStr">
        <is>
          <t>Consumer</t>
        </is>
      </c>
      <c r="F123" t="inlineStr">
        <is>
          <t>Online</t>
        </is>
      </c>
      <c r="G123" t="inlineStr">
        <is>
          <t>Technology</t>
        </is>
      </c>
      <c r="H123" t="inlineStr">
        <is>
          <t>Monitor</t>
        </is>
      </c>
      <c r="I123" t="n">
        <v>3</v>
      </c>
      <c r="J123" s="12" t="n">
        <v>12813.47</v>
      </c>
      <c r="K123" s="13" t="n">
        <v>0</v>
      </c>
      <c r="L123" s="12" t="n">
        <v>38440.41</v>
      </c>
      <c r="M123" s="12" t="n">
        <v>31521.14</v>
      </c>
      <c r="N123" s="12" t="n">
        <v>6919.27</v>
      </c>
      <c r="O123" t="inlineStr">
        <is>
          <t>Net Banking</t>
        </is>
      </c>
      <c r="P123" t="inlineStr">
        <is>
          <t>Sara Khan</t>
        </is>
      </c>
    </row>
    <row r="124">
      <c r="A124" t="inlineStr">
        <is>
          <t>ORD-2502-0123</t>
        </is>
      </c>
      <c r="B124" s="11" t="n">
        <v>45716</v>
      </c>
      <c r="C124" t="inlineStr">
        <is>
          <t>East</t>
        </is>
      </c>
      <c r="D124" t="inlineStr">
        <is>
          <t>Patna</t>
        </is>
      </c>
      <c r="E124" t="inlineStr">
        <is>
          <t>Small Business</t>
        </is>
      </c>
      <c r="F124" t="inlineStr">
        <is>
          <t>Partner</t>
        </is>
      </c>
      <c r="G124" t="inlineStr">
        <is>
          <t>Office Supplies</t>
        </is>
      </c>
      <c r="H124" t="inlineStr">
        <is>
          <t>File Folder</t>
        </is>
      </c>
      <c r="I124" t="n">
        <v>2</v>
      </c>
      <c r="J124" s="12" t="n">
        <v>93.84999999999999</v>
      </c>
      <c r="K124" s="13" t="n">
        <v>0.1</v>
      </c>
      <c r="L124" s="12" t="n">
        <v>168.93</v>
      </c>
      <c r="M124" s="12" t="n">
        <v>116.37</v>
      </c>
      <c r="N124" s="12" t="n">
        <v>52.56</v>
      </c>
      <c r="O124" t="inlineStr">
        <is>
          <t>Cash</t>
        </is>
      </c>
      <c r="P124" t="inlineStr">
        <is>
          <t>Aarav Sharma</t>
        </is>
      </c>
    </row>
    <row r="125">
      <c r="A125" t="inlineStr">
        <is>
          <t>ORD-2511-0124</t>
        </is>
      </c>
      <c r="B125" s="11" t="n">
        <v>45969</v>
      </c>
      <c r="C125" t="inlineStr">
        <is>
          <t>East</t>
        </is>
      </c>
      <c r="D125" t="inlineStr">
        <is>
          <t>Kolkata</t>
        </is>
      </c>
      <c r="E125" t="inlineStr">
        <is>
          <t>Corporate</t>
        </is>
      </c>
      <c r="F125" t="inlineStr">
        <is>
          <t>Online</t>
        </is>
      </c>
      <c r="G125" t="inlineStr">
        <is>
          <t>Technology</t>
        </is>
      </c>
      <c r="H125" t="inlineStr">
        <is>
          <t>Keyboard</t>
        </is>
      </c>
      <c r="I125" t="n">
        <v>2</v>
      </c>
      <c r="J125" s="12" t="n">
        <v>1494.42</v>
      </c>
      <c r="K125" s="13" t="n">
        <v>0.1</v>
      </c>
      <c r="L125" s="12" t="n">
        <v>2689.96</v>
      </c>
      <c r="M125" s="12" t="n">
        <v>2241.63</v>
      </c>
      <c r="N125" s="12" t="n">
        <v>448.33</v>
      </c>
      <c r="O125" t="inlineStr">
        <is>
          <t>UPI</t>
        </is>
      </c>
      <c r="P125" t="inlineStr">
        <is>
          <t>Kabir Singh</t>
        </is>
      </c>
    </row>
    <row r="126">
      <c r="A126" t="inlineStr">
        <is>
          <t>ORD-2510-0125</t>
        </is>
      </c>
      <c r="B126" s="11" t="n">
        <v>45947</v>
      </c>
      <c r="C126" t="inlineStr">
        <is>
          <t>West</t>
        </is>
      </c>
      <c r="D126" t="inlineStr">
        <is>
          <t>Mumbai</t>
        </is>
      </c>
      <c r="E126" t="inlineStr">
        <is>
          <t>Small Business</t>
        </is>
      </c>
      <c r="F126" t="inlineStr">
        <is>
          <t>Online</t>
        </is>
      </c>
      <c r="G126" t="inlineStr">
        <is>
          <t>Technology</t>
        </is>
      </c>
      <c r="H126" t="inlineStr">
        <is>
          <t>Keyboard</t>
        </is>
      </c>
      <c r="I126" t="n">
        <v>4</v>
      </c>
      <c r="J126" s="12" t="n">
        <v>1308.55</v>
      </c>
      <c r="K126" s="13" t="n">
        <v>0.2</v>
      </c>
      <c r="L126" s="12" t="n">
        <v>4187.36</v>
      </c>
      <c r="M126" s="12" t="n">
        <v>3925.65</v>
      </c>
      <c r="N126" s="12" t="n">
        <v>261.71</v>
      </c>
      <c r="O126" t="inlineStr">
        <is>
          <t>Debit Card</t>
        </is>
      </c>
      <c r="P126" t="inlineStr">
        <is>
          <t>Vivaan Gupta</t>
        </is>
      </c>
    </row>
    <row r="127">
      <c r="A127" t="inlineStr">
        <is>
          <t>ORD-2508-0126</t>
        </is>
      </c>
      <c r="B127" s="11" t="n">
        <v>45890</v>
      </c>
      <c r="C127" t="inlineStr">
        <is>
          <t>East</t>
        </is>
      </c>
      <c r="D127" t="inlineStr">
        <is>
          <t>Patna</t>
        </is>
      </c>
      <c r="E127" t="inlineStr">
        <is>
          <t>Small Business</t>
        </is>
      </c>
      <c r="F127" t="inlineStr">
        <is>
          <t>Online</t>
        </is>
      </c>
      <c r="G127" t="inlineStr">
        <is>
          <t>Furniture</t>
        </is>
      </c>
      <c r="H127" t="inlineStr">
        <is>
          <t>Office Chair</t>
        </is>
      </c>
      <c r="I127" t="n">
        <v>2</v>
      </c>
      <c r="J127" s="12" t="n">
        <v>7280.25</v>
      </c>
      <c r="K127" s="13" t="n">
        <v>0.05</v>
      </c>
      <c r="L127" s="12" t="n">
        <v>13832.47</v>
      </c>
      <c r="M127" s="12" t="n">
        <v>10483.56</v>
      </c>
      <c r="N127" s="12" t="n">
        <v>3348.91</v>
      </c>
      <c r="O127" t="inlineStr">
        <is>
          <t>Credit Card</t>
        </is>
      </c>
      <c r="P127" t="inlineStr">
        <is>
          <t>Kabir Singh</t>
        </is>
      </c>
    </row>
    <row r="128">
      <c r="A128" t="inlineStr">
        <is>
          <t>ORD-2503-0127</t>
        </is>
      </c>
      <c r="B128" s="11" t="n">
        <v>45738</v>
      </c>
      <c r="C128" t="inlineStr">
        <is>
          <t>Central</t>
        </is>
      </c>
      <c r="D128" t="inlineStr">
        <is>
          <t>Bhopal</t>
        </is>
      </c>
      <c r="E128" t="inlineStr">
        <is>
          <t>Small Business</t>
        </is>
      </c>
      <c r="F128" t="inlineStr">
        <is>
          <t>Retail Store</t>
        </is>
      </c>
      <c r="G128" t="inlineStr">
        <is>
          <t>Office Supplies</t>
        </is>
      </c>
      <c r="H128" t="inlineStr">
        <is>
          <t>Pens Box</t>
        </is>
      </c>
      <c r="I128" t="n">
        <v>1</v>
      </c>
      <c r="J128" s="12" t="n">
        <v>177.81</v>
      </c>
      <c r="K128" s="13" t="n">
        <v>0.05</v>
      </c>
      <c r="L128" s="12" t="n">
        <v>168.92</v>
      </c>
      <c r="M128" s="12" t="n">
        <v>115.58</v>
      </c>
      <c r="N128" s="12" t="n">
        <v>53.34</v>
      </c>
      <c r="O128" t="inlineStr">
        <is>
          <t>Debit Card</t>
        </is>
      </c>
      <c r="P128" t="inlineStr">
        <is>
          <t>Rohan Verma</t>
        </is>
      </c>
    </row>
    <row r="129">
      <c r="A129" t="inlineStr">
        <is>
          <t>ORD-2504-0128</t>
        </is>
      </c>
      <c r="B129" s="11" t="n">
        <v>45768</v>
      </c>
      <c r="C129" t="inlineStr">
        <is>
          <t>Central</t>
        </is>
      </c>
      <c r="D129" t="inlineStr">
        <is>
          <t>Bhopal</t>
        </is>
      </c>
      <c r="E129" t="inlineStr">
        <is>
          <t>Corporate</t>
        </is>
      </c>
      <c r="F129" t="inlineStr">
        <is>
          <t>Partner</t>
        </is>
      </c>
      <c r="G129" t="inlineStr">
        <is>
          <t>Furniture</t>
        </is>
      </c>
      <c r="H129" t="inlineStr">
        <is>
          <t>Office Chair</t>
        </is>
      </c>
      <c r="I129" t="n">
        <v>2</v>
      </c>
      <c r="J129" s="12" t="n">
        <v>6994.19</v>
      </c>
      <c r="K129" s="13" t="n">
        <v>0.05</v>
      </c>
      <c r="L129" s="12" t="n">
        <v>13288.96</v>
      </c>
      <c r="M129" s="12" t="n">
        <v>10071.63</v>
      </c>
      <c r="N129" s="12" t="n">
        <v>3217.33</v>
      </c>
      <c r="O129" t="inlineStr">
        <is>
          <t>Net Banking</t>
        </is>
      </c>
      <c r="P129" t="inlineStr">
        <is>
          <t>Aarav Sharma</t>
        </is>
      </c>
    </row>
    <row r="130">
      <c r="A130" t="inlineStr">
        <is>
          <t>ORD-2504-0129</t>
        </is>
      </c>
      <c r="B130" s="11" t="n">
        <v>45770</v>
      </c>
      <c r="C130" t="inlineStr">
        <is>
          <t>West</t>
        </is>
      </c>
      <c r="D130" t="inlineStr">
        <is>
          <t>Mumbai</t>
        </is>
      </c>
      <c r="E130" t="inlineStr">
        <is>
          <t>Corporate</t>
        </is>
      </c>
      <c r="F130" t="inlineStr">
        <is>
          <t>Retail Store</t>
        </is>
      </c>
      <c r="G130" t="inlineStr">
        <is>
          <t>Technology</t>
        </is>
      </c>
      <c r="H130" t="inlineStr">
        <is>
          <t>Laptop</t>
        </is>
      </c>
      <c r="I130" t="n">
        <v>2</v>
      </c>
      <c r="J130" s="12" t="n">
        <v>43796.59</v>
      </c>
      <c r="K130" s="13" t="n">
        <v>0.2</v>
      </c>
      <c r="L130" s="12" t="n">
        <v>70074.53999999999</v>
      </c>
      <c r="M130" s="12" t="n">
        <v>77082</v>
      </c>
      <c r="N130" s="12" t="n">
        <v>-7007.46</v>
      </c>
      <c r="O130" t="inlineStr">
        <is>
          <t>Net Banking</t>
        </is>
      </c>
      <c r="P130" t="inlineStr">
        <is>
          <t>Diya Patel</t>
        </is>
      </c>
    </row>
    <row r="131">
      <c r="A131" t="inlineStr">
        <is>
          <t>ORD-2501-0130</t>
        </is>
      </c>
      <c r="B131" s="11" t="n">
        <v>45661</v>
      </c>
      <c r="C131" t="inlineStr">
        <is>
          <t>West</t>
        </is>
      </c>
      <c r="D131" t="inlineStr">
        <is>
          <t>Surat</t>
        </is>
      </c>
      <c r="E131" t="inlineStr">
        <is>
          <t>Small Business</t>
        </is>
      </c>
      <c r="F131" t="inlineStr">
        <is>
          <t>Partner</t>
        </is>
      </c>
      <c r="G131" t="inlineStr">
        <is>
          <t>Technology</t>
        </is>
      </c>
      <c r="H131" t="inlineStr">
        <is>
          <t>Keyboard</t>
        </is>
      </c>
      <c r="I131" t="n">
        <v>1</v>
      </c>
      <c r="J131" s="12" t="n">
        <v>1339.54</v>
      </c>
      <c r="K131" s="13" t="n">
        <v>0.1</v>
      </c>
      <c r="L131" s="12" t="n">
        <v>1205.59</v>
      </c>
      <c r="M131" s="12" t="n">
        <v>1004.65</v>
      </c>
      <c r="N131" s="12" t="n">
        <v>200.94</v>
      </c>
      <c r="O131" t="inlineStr">
        <is>
          <t>Net Banking</t>
        </is>
      </c>
      <c r="P131" t="inlineStr">
        <is>
          <t>Diya Patel</t>
        </is>
      </c>
    </row>
    <row r="132">
      <c r="A132" t="inlineStr">
        <is>
          <t>ORD-2507-0131</t>
        </is>
      </c>
      <c r="B132" s="11" t="n">
        <v>45861</v>
      </c>
      <c r="C132" t="inlineStr">
        <is>
          <t>North</t>
        </is>
      </c>
      <c r="D132" t="inlineStr">
        <is>
          <t>Lucknow</t>
        </is>
      </c>
      <c r="E132" t="inlineStr">
        <is>
          <t>Corporate</t>
        </is>
      </c>
      <c r="F132" t="inlineStr">
        <is>
          <t>Partner</t>
        </is>
      </c>
      <c r="G132" t="inlineStr">
        <is>
          <t>Technology</t>
        </is>
      </c>
      <c r="H132" t="inlineStr">
        <is>
          <t>Laptop</t>
        </is>
      </c>
      <c r="I132" t="n">
        <v>3</v>
      </c>
      <c r="J132" s="12" t="n">
        <v>40743.77</v>
      </c>
      <c r="K132" s="13" t="n">
        <v>0</v>
      </c>
      <c r="L132" s="12" t="n">
        <v>122231.31</v>
      </c>
      <c r="M132" s="12" t="n">
        <v>107563.55</v>
      </c>
      <c r="N132" s="12" t="n">
        <v>14667.76</v>
      </c>
      <c r="O132" t="inlineStr">
        <is>
          <t>Debit Card</t>
        </is>
      </c>
      <c r="P132" t="inlineStr">
        <is>
          <t>Vivaan Gupta</t>
        </is>
      </c>
    </row>
    <row r="133">
      <c r="A133" t="inlineStr">
        <is>
          <t>ORD-2505-0132</t>
        </is>
      </c>
      <c r="B133" s="11" t="n">
        <v>45806</v>
      </c>
      <c r="C133" t="inlineStr">
        <is>
          <t>North</t>
        </is>
      </c>
      <c r="D133" t="inlineStr">
        <is>
          <t>Lucknow</t>
        </is>
      </c>
      <c r="E133" t="inlineStr">
        <is>
          <t>Corporate</t>
        </is>
      </c>
      <c r="F133" t="inlineStr">
        <is>
          <t>Partner</t>
        </is>
      </c>
      <c r="G133" t="inlineStr">
        <is>
          <t>Technology</t>
        </is>
      </c>
      <c r="H133" t="inlineStr">
        <is>
          <t>Laptop</t>
        </is>
      </c>
      <c r="I133" t="n">
        <v>8</v>
      </c>
      <c r="J133" s="12" t="n">
        <v>45007.97</v>
      </c>
      <c r="K133" s="13" t="n">
        <v>0</v>
      </c>
      <c r="L133" s="12" t="n">
        <v>360063.76</v>
      </c>
      <c r="M133" s="12" t="n">
        <v>316856.11</v>
      </c>
      <c r="N133" s="12" t="n">
        <v>43207.65</v>
      </c>
      <c r="O133" t="inlineStr">
        <is>
          <t>Net Banking</t>
        </is>
      </c>
      <c r="P133" t="inlineStr">
        <is>
          <t>Diya Patel</t>
        </is>
      </c>
    </row>
    <row r="134">
      <c r="A134" t="inlineStr">
        <is>
          <t>ORD-2508-0133</t>
        </is>
      </c>
      <c r="B134" s="11" t="n">
        <v>45881</v>
      </c>
      <c r="C134" t="inlineStr">
        <is>
          <t>North</t>
        </is>
      </c>
      <c r="D134" t="inlineStr">
        <is>
          <t>Jaipur</t>
        </is>
      </c>
      <c r="E134" t="inlineStr">
        <is>
          <t>Corporate</t>
        </is>
      </c>
      <c r="F134" t="inlineStr">
        <is>
          <t>Partner</t>
        </is>
      </c>
      <c r="G134" t="inlineStr">
        <is>
          <t>Furniture</t>
        </is>
      </c>
      <c r="H134" t="inlineStr">
        <is>
          <t>Desk</t>
        </is>
      </c>
      <c r="I134" t="n">
        <v>3</v>
      </c>
      <c r="J134" s="12" t="n">
        <v>11308.21</v>
      </c>
      <c r="K134" s="13" t="n">
        <v>0.1</v>
      </c>
      <c r="L134" s="12" t="n">
        <v>30532.17</v>
      </c>
      <c r="M134" s="12" t="n">
        <v>25782.72</v>
      </c>
      <c r="N134" s="12" t="n">
        <v>4749.45</v>
      </c>
      <c r="O134" t="inlineStr">
        <is>
          <t>Net Banking</t>
        </is>
      </c>
      <c r="P134" t="inlineStr">
        <is>
          <t>Meera Joshi</t>
        </is>
      </c>
    </row>
    <row r="135">
      <c r="A135" t="inlineStr">
        <is>
          <t>ORD-2506-0134</t>
        </is>
      </c>
      <c r="B135" s="11" t="n">
        <v>45828</v>
      </c>
      <c r="C135" t="inlineStr">
        <is>
          <t>South</t>
        </is>
      </c>
      <c r="D135" t="inlineStr">
        <is>
          <t>Bengaluru</t>
        </is>
      </c>
      <c r="E135" t="inlineStr">
        <is>
          <t>Corporate</t>
        </is>
      </c>
      <c r="F135" t="inlineStr">
        <is>
          <t>Retail Store</t>
        </is>
      </c>
      <c r="G135" t="inlineStr">
        <is>
          <t>Furniture</t>
        </is>
      </c>
      <c r="H135" t="inlineStr">
        <is>
          <t>Storage Cabinet</t>
        </is>
      </c>
      <c r="I135" t="n">
        <v>3</v>
      </c>
      <c r="J135" s="12" t="n">
        <v>8464.120000000001</v>
      </c>
      <c r="K135" s="13" t="n">
        <v>0.1</v>
      </c>
      <c r="L135" s="12" t="n">
        <v>22853.12</v>
      </c>
      <c r="M135" s="12" t="n">
        <v>20313.89</v>
      </c>
      <c r="N135" s="12" t="n">
        <v>2539.23</v>
      </c>
      <c r="O135" t="inlineStr">
        <is>
          <t>UPI</t>
        </is>
      </c>
      <c r="P135" t="inlineStr">
        <is>
          <t>Meera Joshi</t>
        </is>
      </c>
    </row>
    <row r="136">
      <c r="A136" t="inlineStr">
        <is>
          <t>ORD-2502-0135</t>
        </is>
      </c>
      <c r="B136" s="11" t="n">
        <v>45710</v>
      </c>
      <c r="C136" t="inlineStr">
        <is>
          <t>South</t>
        </is>
      </c>
      <c r="D136" t="inlineStr">
        <is>
          <t>Hyderabad</t>
        </is>
      </c>
      <c r="E136" t="inlineStr">
        <is>
          <t>Consumer</t>
        </is>
      </c>
      <c r="F136" t="inlineStr">
        <is>
          <t>Online</t>
        </is>
      </c>
      <c r="G136" t="inlineStr">
        <is>
          <t>Technology</t>
        </is>
      </c>
      <c r="H136" t="inlineStr">
        <is>
          <t>Printer</t>
        </is>
      </c>
      <c r="I136" t="n">
        <v>1</v>
      </c>
      <c r="J136" s="12" t="n">
        <v>9893.91</v>
      </c>
      <c r="K136" s="13" t="n">
        <v>0</v>
      </c>
      <c r="L136" s="12" t="n">
        <v>9893.91</v>
      </c>
      <c r="M136" s="12" t="n">
        <v>8310.879999999999</v>
      </c>
      <c r="N136" s="12" t="n">
        <v>1583.03</v>
      </c>
      <c r="O136" t="inlineStr">
        <is>
          <t>Debit Card</t>
        </is>
      </c>
      <c r="P136" t="inlineStr">
        <is>
          <t>Anaya Rao</t>
        </is>
      </c>
    </row>
    <row r="137">
      <c r="A137" t="inlineStr">
        <is>
          <t>ORD-2510-0136</t>
        </is>
      </c>
      <c r="B137" s="11" t="n">
        <v>45946</v>
      </c>
      <c r="C137" t="inlineStr">
        <is>
          <t>Central</t>
        </is>
      </c>
      <c r="D137" t="inlineStr">
        <is>
          <t>Nagpur</t>
        </is>
      </c>
      <c r="E137" t="inlineStr">
        <is>
          <t>Small Business</t>
        </is>
      </c>
      <c r="F137" t="inlineStr">
        <is>
          <t>Retail Store</t>
        </is>
      </c>
      <c r="G137" t="inlineStr">
        <is>
          <t>Office Supplies</t>
        </is>
      </c>
      <c r="H137" t="inlineStr">
        <is>
          <t>Pens Box</t>
        </is>
      </c>
      <c r="I137" t="n">
        <v>6</v>
      </c>
      <c r="J137" s="12" t="n">
        <v>183.9</v>
      </c>
      <c r="K137" s="13" t="n">
        <v>0.1</v>
      </c>
      <c r="L137" s="12" t="n">
        <v>993.0599999999999</v>
      </c>
      <c r="M137" s="12" t="n">
        <v>717.21</v>
      </c>
      <c r="N137" s="12" t="n">
        <v>275.85</v>
      </c>
      <c r="O137" t="inlineStr">
        <is>
          <t>Net Banking</t>
        </is>
      </c>
      <c r="P137" t="inlineStr">
        <is>
          <t>Kabir Singh</t>
        </is>
      </c>
    </row>
    <row r="138">
      <c r="A138" t="inlineStr">
        <is>
          <t>ORD-2508-0137</t>
        </is>
      </c>
      <c r="B138" s="11" t="n">
        <v>45883</v>
      </c>
      <c r="C138" t="inlineStr">
        <is>
          <t>North</t>
        </is>
      </c>
      <c r="D138" t="inlineStr">
        <is>
          <t>Lucknow</t>
        </is>
      </c>
      <c r="E138" t="inlineStr">
        <is>
          <t>Corporate</t>
        </is>
      </c>
      <c r="F138" t="inlineStr">
        <is>
          <t>Partner</t>
        </is>
      </c>
      <c r="G138" t="inlineStr">
        <is>
          <t>Furniture</t>
        </is>
      </c>
      <c r="H138" t="inlineStr">
        <is>
          <t>Bookshelf</t>
        </is>
      </c>
      <c r="I138" t="n">
        <v>3</v>
      </c>
      <c r="J138" s="12" t="n">
        <v>5276.06</v>
      </c>
      <c r="K138" s="13" t="n">
        <v>0.15</v>
      </c>
      <c r="L138" s="12" t="n">
        <v>13453.95</v>
      </c>
      <c r="M138" s="12" t="n">
        <v>11712.85</v>
      </c>
      <c r="N138" s="12" t="n">
        <v>1741.1</v>
      </c>
      <c r="O138" t="inlineStr">
        <is>
          <t>Credit Card</t>
        </is>
      </c>
      <c r="P138" t="inlineStr">
        <is>
          <t>Rohan Verma</t>
        </is>
      </c>
    </row>
    <row r="139">
      <c r="A139" t="inlineStr">
        <is>
          <t>ORD-2508-0138</t>
        </is>
      </c>
      <c r="B139" s="11" t="n">
        <v>45894</v>
      </c>
      <c r="C139" t="inlineStr">
        <is>
          <t>West</t>
        </is>
      </c>
      <c r="D139" t="inlineStr">
        <is>
          <t>Mumbai</t>
        </is>
      </c>
      <c r="E139" t="inlineStr">
        <is>
          <t>Consumer</t>
        </is>
      </c>
      <c r="F139" t="inlineStr">
        <is>
          <t>Partner</t>
        </is>
      </c>
      <c r="G139" t="inlineStr">
        <is>
          <t>Technology</t>
        </is>
      </c>
      <c r="H139" t="inlineStr">
        <is>
          <t>Laptop</t>
        </is>
      </c>
      <c r="I139" t="n">
        <v>2</v>
      </c>
      <c r="J139" s="12" t="n">
        <v>42972.16</v>
      </c>
      <c r="K139" s="13" t="n">
        <v>0.05</v>
      </c>
      <c r="L139" s="12" t="n">
        <v>81647.10000000001</v>
      </c>
      <c r="M139" s="12" t="n">
        <v>75631</v>
      </c>
      <c r="N139" s="12" t="n">
        <v>6016.1</v>
      </c>
      <c r="O139" t="inlineStr">
        <is>
          <t>Cash</t>
        </is>
      </c>
      <c r="P139" t="inlineStr">
        <is>
          <t>Vivaan Gupta</t>
        </is>
      </c>
    </row>
    <row r="140">
      <c r="A140" t="inlineStr">
        <is>
          <t>ORD-2508-0139</t>
        </is>
      </c>
      <c r="B140" s="11" t="n">
        <v>45894</v>
      </c>
      <c r="C140" t="inlineStr">
        <is>
          <t>Central</t>
        </is>
      </c>
      <c r="D140" t="inlineStr">
        <is>
          <t>Bhopal</t>
        </is>
      </c>
      <c r="E140" t="inlineStr">
        <is>
          <t>Small Business</t>
        </is>
      </c>
      <c r="F140" t="inlineStr">
        <is>
          <t>Retail Store</t>
        </is>
      </c>
      <c r="G140" t="inlineStr">
        <is>
          <t>Furniture</t>
        </is>
      </c>
      <c r="H140" t="inlineStr">
        <is>
          <t>Bookshelf</t>
        </is>
      </c>
      <c r="I140" t="n">
        <v>6</v>
      </c>
      <c r="J140" s="12" t="n">
        <v>4940.62</v>
      </c>
      <c r="K140" s="13" t="n">
        <v>0.1</v>
      </c>
      <c r="L140" s="12" t="n">
        <v>26679.35</v>
      </c>
      <c r="M140" s="12" t="n">
        <v>21936.35</v>
      </c>
      <c r="N140" s="12" t="n">
        <v>4743</v>
      </c>
      <c r="O140" t="inlineStr">
        <is>
          <t>Cash</t>
        </is>
      </c>
      <c r="P140" t="inlineStr">
        <is>
          <t>Kabir Singh</t>
        </is>
      </c>
    </row>
    <row r="141">
      <c r="A141" t="inlineStr">
        <is>
          <t>ORD-2502-0140</t>
        </is>
      </c>
      <c r="B141" s="11" t="n">
        <v>45689</v>
      </c>
      <c r="C141" t="inlineStr">
        <is>
          <t>West</t>
        </is>
      </c>
      <c r="D141" t="inlineStr">
        <is>
          <t>Mumbai</t>
        </is>
      </c>
      <c r="E141" t="inlineStr">
        <is>
          <t>Small Business</t>
        </is>
      </c>
      <c r="F141" t="inlineStr">
        <is>
          <t>Partner</t>
        </is>
      </c>
      <c r="G141" t="inlineStr">
        <is>
          <t>Office Supplies</t>
        </is>
      </c>
      <c r="H141" t="inlineStr">
        <is>
          <t>File Folder</t>
        </is>
      </c>
      <c r="I141" t="n">
        <v>6</v>
      </c>
      <c r="J141" s="12" t="n">
        <v>93.09</v>
      </c>
      <c r="K141" s="13" t="n">
        <v>0.05</v>
      </c>
      <c r="L141" s="12" t="n">
        <v>530.61</v>
      </c>
      <c r="M141" s="12" t="n">
        <v>346.29</v>
      </c>
      <c r="N141" s="12" t="n">
        <v>184.32</v>
      </c>
      <c r="O141" t="inlineStr">
        <is>
          <t>UPI</t>
        </is>
      </c>
      <c r="P141" t="inlineStr">
        <is>
          <t>Aarav Sharma</t>
        </is>
      </c>
    </row>
    <row r="142">
      <c r="A142" t="inlineStr">
        <is>
          <t>ORD-2505-0141</t>
        </is>
      </c>
      <c r="B142" s="11" t="n">
        <v>45784</v>
      </c>
      <c r="C142" t="inlineStr">
        <is>
          <t>West</t>
        </is>
      </c>
      <c r="D142" t="inlineStr">
        <is>
          <t>Surat</t>
        </is>
      </c>
      <c r="E142" t="inlineStr">
        <is>
          <t>Corporate</t>
        </is>
      </c>
      <c r="F142" t="inlineStr">
        <is>
          <t>Retail Store</t>
        </is>
      </c>
      <c r="G142" t="inlineStr">
        <is>
          <t>Furniture</t>
        </is>
      </c>
      <c r="H142" t="inlineStr">
        <is>
          <t>Storage Cabinet</t>
        </is>
      </c>
      <c r="I142" t="n">
        <v>3</v>
      </c>
      <c r="J142" s="12" t="n">
        <v>8718.940000000001</v>
      </c>
      <c r="K142" s="13" t="n">
        <v>0</v>
      </c>
      <c r="L142" s="12" t="n">
        <v>26156.82</v>
      </c>
      <c r="M142" s="12" t="n">
        <v>20925.46</v>
      </c>
      <c r="N142" s="12" t="n">
        <v>5231.36</v>
      </c>
      <c r="O142" t="inlineStr">
        <is>
          <t>Debit Card</t>
        </is>
      </c>
      <c r="P142" t="inlineStr">
        <is>
          <t>Sara Khan</t>
        </is>
      </c>
    </row>
    <row r="143">
      <c r="A143" t="inlineStr">
        <is>
          <t>ORD-2512-0142</t>
        </is>
      </c>
      <c r="B143" s="11" t="n">
        <v>46005</v>
      </c>
      <c r="C143" t="inlineStr">
        <is>
          <t>Central</t>
        </is>
      </c>
      <c r="D143" t="inlineStr">
        <is>
          <t>Bhopal</t>
        </is>
      </c>
      <c r="E143" t="inlineStr">
        <is>
          <t>Small Business</t>
        </is>
      </c>
      <c r="F143" t="inlineStr">
        <is>
          <t>Partner</t>
        </is>
      </c>
      <c r="G143" t="inlineStr">
        <is>
          <t>Office Supplies</t>
        </is>
      </c>
      <c r="H143" t="inlineStr">
        <is>
          <t>File Folder</t>
        </is>
      </c>
      <c r="I143" t="n">
        <v>3</v>
      </c>
      <c r="J143" s="12" t="n">
        <v>87.55</v>
      </c>
      <c r="K143" s="13" t="n">
        <v>0.05</v>
      </c>
      <c r="L143" s="12" t="n">
        <v>249.52</v>
      </c>
      <c r="M143" s="12" t="n">
        <v>162.84</v>
      </c>
      <c r="N143" s="12" t="n">
        <v>86.68000000000001</v>
      </c>
      <c r="O143" t="inlineStr">
        <is>
          <t>Debit Card</t>
        </is>
      </c>
      <c r="P143" t="inlineStr">
        <is>
          <t>Rohan Verma</t>
        </is>
      </c>
    </row>
    <row r="144">
      <c r="A144" t="inlineStr">
        <is>
          <t>ORD-2505-0143</t>
        </is>
      </c>
      <c r="B144" s="11" t="n">
        <v>45787</v>
      </c>
      <c r="C144" t="inlineStr">
        <is>
          <t>Central</t>
        </is>
      </c>
      <c r="D144" t="inlineStr">
        <is>
          <t>Indore</t>
        </is>
      </c>
      <c r="E144" t="inlineStr">
        <is>
          <t>Corporate</t>
        </is>
      </c>
      <c r="F144" t="inlineStr">
        <is>
          <t>Partner</t>
        </is>
      </c>
      <c r="G144" t="inlineStr">
        <is>
          <t>Furniture</t>
        </is>
      </c>
      <c r="H144" t="inlineStr">
        <is>
          <t>Office Chair</t>
        </is>
      </c>
      <c r="I144" t="n">
        <v>1</v>
      </c>
      <c r="J144" s="12" t="n">
        <v>7253.42</v>
      </c>
      <c r="K144" s="13" t="n">
        <v>0.1</v>
      </c>
      <c r="L144" s="12" t="n">
        <v>6528.08</v>
      </c>
      <c r="M144" s="12" t="n">
        <v>5222.46</v>
      </c>
      <c r="N144" s="12" t="n">
        <v>1305.62</v>
      </c>
      <c r="O144" t="inlineStr">
        <is>
          <t>Debit Card</t>
        </is>
      </c>
      <c r="P144" t="inlineStr">
        <is>
          <t>Kabir Singh</t>
        </is>
      </c>
    </row>
    <row r="145">
      <c r="A145" t="inlineStr">
        <is>
          <t>ORD-2511-0144</t>
        </is>
      </c>
      <c r="B145" s="11" t="n">
        <v>45962</v>
      </c>
      <c r="C145" t="inlineStr">
        <is>
          <t>North</t>
        </is>
      </c>
      <c r="D145" t="inlineStr">
        <is>
          <t>Chandigarh</t>
        </is>
      </c>
      <c r="E145" t="inlineStr">
        <is>
          <t>Small Business</t>
        </is>
      </c>
      <c r="F145" t="inlineStr">
        <is>
          <t>Partner</t>
        </is>
      </c>
      <c r="G145" t="inlineStr">
        <is>
          <t>Furniture</t>
        </is>
      </c>
      <c r="H145" t="inlineStr">
        <is>
          <t>Storage Cabinet</t>
        </is>
      </c>
      <c r="I145" t="n">
        <v>2</v>
      </c>
      <c r="J145" s="12" t="n">
        <v>9345.98</v>
      </c>
      <c r="K145" s="13" t="n">
        <v>0.15</v>
      </c>
      <c r="L145" s="12" t="n">
        <v>15888.17</v>
      </c>
      <c r="M145" s="12" t="n">
        <v>14953.57</v>
      </c>
      <c r="N145" s="12" t="n">
        <v>934.6</v>
      </c>
      <c r="O145" t="inlineStr">
        <is>
          <t>Cash</t>
        </is>
      </c>
      <c r="P145" t="inlineStr">
        <is>
          <t>Diya Patel</t>
        </is>
      </c>
    </row>
    <row r="146">
      <c r="A146" t="inlineStr">
        <is>
          <t>ORD-2511-0145</t>
        </is>
      </c>
      <c r="B146" s="11" t="n">
        <v>45988</v>
      </c>
      <c r="C146" t="inlineStr">
        <is>
          <t>West</t>
        </is>
      </c>
      <c r="D146" t="inlineStr">
        <is>
          <t>Ahmedabad</t>
        </is>
      </c>
      <c r="E146" t="inlineStr">
        <is>
          <t>Corporate</t>
        </is>
      </c>
      <c r="F146" t="inlineStr">
        <is>
          <t>Online</t>
        </is>
      </c>
      <c r="G146" t="inlineStr">
        <is>
          <t>Technology</t>
        </is>
      </c>
      <c r="H146" t="inlineStr">
        <is>
          <t>Laptop</t>
        </is>
      </c>
      <c r="I146" t="n">
        <v>2</v>
      </c>
      <c r="J146" s="12" t="n">
        <v>40079.37</v>
      </c>
      <c r="K146" s="13" t="n">
        <v>0</v>
      </c>
      <c r="L146" s="12" t="n">
        <v>80158.74000000001</v>
      </c>
      <c r="M146" s="12" t="n">
        <v>70539.69</v>
      </c>
      <c r="N146" s="12" t="n">
        <v>9619.049999999999</v>
      </c>
      <c r="O146" t="inlineStr">
        <is>
          <t>UPI</t>
        </is>
      </c>
      <c r="P146" t="inlineStr">
        <is>
          <t>Kabir Singh</t>
        </is>
      </c>
    </row>
    <row r="147">
      <c r="A147" t="inlineStr">
        <is>
          <t>ORD-2503-0146</t>
        </is>
      </c>
      <c r="B147" s="11" t="n">
        <v>45737</v>
      </c>
      <c r="C147" t="inlineStr">
        <is>
          <t>North</t>
        </is>
      </c>
      <c r="D147" t="inlineStr">
        <is>
          <t>Chandigarh</t>
        </is>
      </c>
      <c r="E147" t="inlineStr">
        <is>
          <t>Small Business</t>
        </is>
      </c>
      <c r="F147" t="inlineStr">
        <is>
          <t>Partner</t>
        </is>
      </c>
      <c r="G147" t="inlineStr">
        <is>
          <t>Office Supplies</t>
        </is>
      </c>
      <c r="H147" t="inlineStr">
        <is>
          <t>Stapler</t>
        </is>
      </c>
      <c r="I147" t="n">
        <v>5</v>
      </c>
      <c r="J147" s="12" t="n">
        <v>261.65</v>
      </c>
      <c r="K147" s="13" t="n">
        <v>0.1</v>
      </c>
      <c r="L147" s="12" t="n">
        <v>1177.42</v>
      </c>
      <c r="M147" s="12" t="n">
        <v>915.77</v>
      </c>
      <c r="N147" s="12" t="n">
        <v>261.65</v>
      </c>
      <c r="O147" t="inlineStr">
        <is>
          <t>Credit Card</t>
        </is>
      </c>
      <c r="P147" t="inlineStr">
        <is>
          <t>Sara Khan</t>
        </is>
      </c>
    </row>
    <row r="148">
      <c r="A148" t="inlineStr">
        <is>
          <t>ORD-2511-0147</t>
        </is>
      </c>
      <c r="B148" s="11" t="n">
        <v>45974</v>
      </c>
      <c r="C148" t="inlineStr">
        <is>
          <t>South</t>
        </is>
      </c>
      <c r="D148" t="inlineStr">
        <is>
          <t>Kochi</t>
        </is>
      </c>
      <c r="E148" t="inlineStr">
        <is>
          <t>Consumer</t>
        </is>
      </c>
      <c r="F148" t="inlineStr">
        <is>
          <t>Partner</t>
        </is>
      </c>
      <c r="G148" t="inlineStr">
        <is>
          <t>Technology</t>
        </is>
      </c>
      <c r="H148" t="inlineStr">
        <is>
          <t>Keyboard</t>
        </is>
      </c>
      <c r="I148" t="n">
        <v>1</v>
      </c>
      <c r="J148" s="12" t="n">
        <v>1460.73</v>
      </c>
      <c r="K148" s="13" t="n">
        <v>0.15</v>
      </c>
      <c r="L148" s="12" t="n">
        <v>1241.62</v>
      </c>
      <c r="M148" s="12" t="n">
        <v>1095.55</v>
      </c>
      <c r="N148" s="12" t="n">
        <v>146.07</v>
      </c>
      <c r="O148" t="inlineStr">
        <is>
          <t>Debit Card</t>
        </is>
      </c>
      <c r="P148" t="inlineStr">
        <is>
          <t>Aarav Sharma</t>
        </is>
      </c>
    </row>
    <row r="149">
      <c r="A149" t="inlineStr">
        <is>
          <t>ORD-2507-0148</t>
        </is>
      </c>
      <c r="B149" s="11" t="n">
        <v>45868</v>
      </c>
      <c r="C149" t="inlineStr">
        <is>
          <t>East</t>
        </is>
      </c>
      <c r="D149" t="inlineStr">
        <is>
          <t>Patna</t>
        </is>
      </c>
      <c r="E149" t="inlineStr">
        <is>
          <t>Consumer</t>
        </is>
      </c>
      <c r="F149" t="inlineStr">
        <is>
          <t>Partner</t>
        </is>
      </c>
      <c r="G149" t="inlineStr">
        <is>
          <t>Furniture</t>
        </is>
      </c>
      <c r="H149" t="inlineStr">
        <is>
          <t>Bookshelf</t>
        </is>
      </c>
      <c r="I149" t="n">
        <v>3</v>
      </c>
      <c r="J149" s="12" t="n">
        <v>5436.12</v>
      </c>
      <c r="K149" s="13" t="n">
        <v>0.1</v>
      </c>
      <c r="L149" s="12" t="n">
        <v>14677.52</v>
      </c>
      <c r="M149" s="12" t="n">
        <v>12068.19</v>
      </c>
      <c r="N149" s="12" t="n">
        <v>2609.33</v>
      </c>
      <c r="O149" t="inlineStr">
        <is>
          <t>UPI</t>
        </is>
      </c>
      <c r="P149" t="inlineStr">
        <is>
          <t>Rohan Verma</t>
        </is>
      </c>
    </row>
    <row r="150">
      <c r="A150" t="inlineStr">
        <is>
          <t>ORD-2508-0149</t>
        </is>
      </c>
      <c r="B150" s="11" t="n">
        <v>45898</v>
      </c>
      <c r="C150" t="inlineStr">
        <is>
          <t>South</t>
        </is>
      </c>
      <c r="D150" t="inlineStr">
        <is>
          <t>Hyderabad</t>
        </is>
      </c>
      <c r="E150" t="inlineStr">
        <is>
          <t>Corporate</t>
        </is>
      </c>
      <c r="F150" t="inlineStr">
        <is>
          <t>Retail Store</t>
        </is>
      </c>
      <c r="G150" t="inlineStr">
        <is>
          <t>Office Supplies</t>
        </is>
      </c>
      <c r="H150" t="inlineStr">
        <is>
          <t>Pens Box</t>
        </is>
      </c>
      <c r="I150" t="n">
        <v>8</v>
      </c>
      <c r="J150" s="12" t="n">
        <v>178.9</v>
      </c>
      <c r="K150" s="13" t="n">
        <v>0.2</v>
      </c>
      <c r="L150" s="12" t="n">
        <v>1144.96</v>
      </c>
      <c r="M150" s="12" t="n">
        <v>930.28</v>
      </c>
      <c r="N150" s="12" t="n">
        <v>214.68</v>
      </c>
      <c r="O150" t="inlineStr">
        <is>
          <t>Cash</t>
        </is>
      </c>
      <c r="P150" t="inlineStr">
        <is>
          <t>Vivaan Gupta</t>
        </is>
      </c>
    </row>
    <row r="151">
      <c r="A151" t="inlineStr">
        <is>
          <t>ORD-2503-0150</t>
        </is>
      </c>
      <c r="B151" s="11" t="n">
        <v>45740</v>
      </c>
      <c r="C151" t="inlineStr">
        <is>
          <t>South</t>
        </is>
      </c>
      <c r="D151" t="inlineStr">
        <is>
          <t>Chennai</t>
        </is>
      </c>
      <c r="E151" t="inlineStr">
        <is>
          <t>Small Business</t>
        </is>
      </c>
      <c r="F151" t="inlineStr">
        <is>
          <t>Online</t>
        </is>
      </c>
      <c r="G151" t="inlineStr">
        <is>
          <t>Office Supplies</t>
        </is>
      </c>
      <c r="H151" t="inlineStr">
        <is>
          <t>Stapler</t>
        </is>
      </c>
      <c r="I151" t="n">
        <v>2</v>
      </c>
      <c r="J151" s="12" t="n">
        <v>275.56</v>
      </c>
      <c r="K151" s="13" t="n">
        <v>0.1</v>
      </c>
      <c r="L151" s="12" t="n">
        <v>496.01</v>
      </c>
      <c r="M151" s="12" t="n">
        <v>385.78</v>
      </c>
      <c r="N151" s="12" t="n">
        <v>110.23</v>
      </c>
      <c r="O151" t="inlineStr">
        <is>
          <t>Cash</t>
        </is>
      </c>
      <c r="P151" t="inlineStr">
        <is>
          <t>Diya Patel</t>
        </is>
      </c>
    </row>
    <row r="152">
      <c r="A152" t="inlineStr">
        <is>
          <t>ORD-2505-0151</t>
        </is>
      </c>
      <c r="B152" s="11" t="n">
        <v>45803</v>
      </c>
      <c r="C152" t="inlineStr">
        <is>
          <t>North</t>
        </is>
      </c>
      <c r="D152" t="inlineStr">
        <is>
          <t>Jaipur</t>
        </is>
      </c>
      <c r="E152" t="inlineStr">
        <is>
          <t>Consumer</t>
        </is>
      </c>
      <c r="F152" t="inlineStr">
        <is>
          <t>Online</t>
        </is>
      </c>
      <c r="G152" t="inlineStr">
        <is>
          <t>Technology</t>
        </is>
      </c>
      <c r="H152" t="inlineStr">
        <is>
          <t>Headphones</t>
        </is>
      </c>
      <c r="I152" t="n">
        <v>3</v>
      </c>
      <c r="J152" s="12" t="n">
        <v>2316.53</v>
      </c>
      <c r="K152" s="13" t="n">
        <v>0.1</v>
      </c>
      <c r="L152" s="12" t="n">
        <v>6254.63</v>
      </c>
      <c r="M152" s="12" t="n">
        <v>5420.68</v>
      </c>
      <c r="N152" s="12" t="n">
        <v>833.95</v>
      </c>
      <c r="O152" t="inlineStr">
        <is>
          <t>Debit Card</t>
        </is>
      </c>
      <c r="P152" t="inlineStr">
        <is>
          <t>Sara Khan</t>
        </is>
      </c>
    </row>
    <row r="153">
      <c r="A153" t="inlineStr">
        <is>
          <t>ORD-2501-0152</t>
        </is>
      </c>
      <c r="B153" s="11" t="n">
        <v>45671</v>
      </c>
      <c r="C153" t="inlineStr">
        <is>
          <t>West</t>
        </is>
      </c>
      <c r="D153" t="inlineStr">
        <is>
          <t>Mumbai</t>
        </is>
      </c>
      <c r="E153" t="inlineStr">
        <is>
          <t>Corporate</t>
        </is>
      </c>
      <c r="F153" t="inlineStr">
        <is>
          <t>Online</t>
        </is>
      </c>
      <c r="G153" t="inlineStr">
        <is>
          <t>Furniture</t>
        </is>
      </c>
      <c r="H153" t="inlineStr">
        <is>
          <t>Desk</t>
        </is>
      </c>
      <c r="I153" t="n">
        <v>3</v>
      </c>
      <c r="J153" s="12" t="n">
        <v>12409.93</v>
      </c>
      <c r="K153" s="13" t="n">
        <v>0</v>
      </c>
      <c r="L153" s="12" t="n">
        <v>37229.79</v>
      </c>
      <c r="M153" s="12" t="n">
        <v>28294.64</v>
      </c>
      <c r="N153" s="12" t="n">
        <v>8935.15</v>
      </c>
      <c r="O153" t="inlineStr">
        <is>
          <t>Credit Card</t>
        </is>
      </c>
      <c r="P153" t="inlineStr">
        <is>
          <t>Sara Khan</t>
        </is>
      </c>
    </row>
    <row r="154">
      <c r="A154" t="inlineStr">
        <is>
          <t>ORD-2502-0153</t>
        </is>
      </c>
      <c r="B154" s="11" t="n">
        <v>45708</v>
      </c>
      <c r="C154" t="inlineStr">
        <is>
          <t>East</t>
        </is>
      </c>
      <c r="D154" t="inlineStr">
        <is>
          <t>Patna</t>
        </is>
      </c>
      <c r="E154" t="inlineStr">
        <is>
          <t>Consumer</t>
        </is>
      </c>
      <c r="F154" t="inlineStr">
        <is>
          <t>Partner</t>
        </is>
      </c>
      <c r="G154" t="inlineStr">
        <is>
          <t>Technology</t>
        </is>
      </c>
      <c r="H154" t="inlineStr">
        <is>
          <t>Keyboard</t>
        </is>
      </c>
      <c r="I154" t="n">
        <v>1</v>
      </c>
      <c r="J154" s="12" t="n">
        <v>1393.83</v>
      </c>
      <c r="K154" s="13" t="n">
        <v>0.15</v>
      </c>
      <c r="L154" s="12" t="n">
        <v>1184.76</v>
      </c>
      <c r="M154" s="12" t="n">
        <v>1045.37</v>
      </c>
      <c r="N154" s="12" t="n">
        <v>139.39</v>
      </c>
      <c r="O154" t="inlineStr">
        <is>
          <t>Debit Card</t>
        </is>
      </c>
      <c r="P154" t="inlineStr">
        <is>
          <t>Anaya Rao</t>
        </is>
      </c>
    </row>
    <row r="155">
      <c r="A155" t="inlineStr">
        <is>
          <t>ORD-2511-0154</t>
        </is>
      </c>
      <c r="B155" s="11" t="n">
        <v>45973</v>
      </c>
      <c r="C155" t="inlineStr">
        <is>
          <t>North</t>
        </is>
      </c>
      <c r="D155" t="inlineStr">
        <is>
          <t>Delhi</t>
        </is>
      </c>
      <c r="E155" t="inlineStr">
        <is>
          <t>Small Business</t>
        </is>
      </c>
      <c r="F155" t="inlineStr">
        <is>
          <t>Partner</t>
        </is>
      </c>
      <c r="G155" t="inlineStr">
        <is>
          <t>Technology</t>
        </is>
      </c>
      <c r="H155" t="inlineStr">
        <is>
          <t>Laptop</t>
        </is>
      </c>
      <c r="I155" t="n">
        <v>2</v>
      </c>
      <c r="J155" s="12" t="n">
        <v>42327.96</v>
      </c>
      <c r="K155" s="13" t="n">
        <v>0.15</v>
      </c>
      <c r="L155" s="12" t="n">
        <v>71957.53</v>
      </c>
      <c r="M155" s="12" t="n">
        <v>74497.21000000001</v>
      </c>
      <c r="N155" s="12" t="n">
        <v>-2539.68</v>
      </c>
      <c r="O155" t="inlineStr">
        <is>
          <t>Cash</t>
        </is>
      </c>
      <c r="P155" t="inlineStr">
        <is>
          <t>Vivaan Gupta</t>
        </is>
      </c>
    </row>
    <row r="156">
      <c r="A156" t="inlineStr">
        <is>
          <t>ORD-2502-0155</t>
        </is>
      </c>
      <c r="B156" s="11" t="n">
        <v>45714</v>
      </c>
      <c r="C156" t="inlineStr">
        <is>
          <t>East</t>
        </is>
      </c>
      <c r="D156" t="inlineStr">
        <is>
          <t>Patna</t>
        </is>
      </c>
      <c r="E156" t="inlineStr">
        <is>
          <t>Small Business</t>
        </is>
      </c>
      <c r="F156" t="inlineStr">
        <is>
          <t>Retail Store</t>
        </is>
      </c>
      <c r="G156" t="inlineStr">
        <is>
          <t>Technology</t>
        </is>
      </c>
      <c r="H156" t="inlineStr">
        <is>
          <t>Headphones</t>
        </is>
      </c>
      <c r="I156" t="n">
        <v>1</v>
      </c>
      <c r="J156" s="12" t="n">
        <v>2248.91</v>
      </c>
      <c r="K156" s="13" t="n">
        <v>0</v>
      </c>
      <c r="L156" s="12" t="n">
        <v>2248.91</v>
      </c>
      <c r="M156" s="12" t="n">
        <v>1754.15</v>
      </c>
      <c r="N156" s="12" t="n">
        <v>494.76</v>
      </c>
      <c r="O156" t="inlineStr">
        <is>
          <t>Credit Card</t>
        </is>
      </c>
      <c r="P156" t="inlineStr">
        <is>
          <t>Diya Patel</t>
        </is>
      </c>
    </row>
    <row r="157">
      <c r="A157" t="inlineStr">
        <is>
          <t>ORD-2509-0156</t>
        </is>
      </c>
      <c r="B157" s="11" t="n">
        <v>45913</v>
      </c>
      <c r="C157" t="inlineStr">
        <is>
          <t>Central</t>
        </is>
      </c>
      <c r="D157" t="inlineStr">
        <is>
          <t>Bhopal</t>
        </is>
      </c>
      <c r="E157" t="inlineStr">
        <is>
          <t>Corporate</t>
        </is>
      </c>
      <c r="F157" t="inlineStr">
        <is>
          <t>Online</t>
        </is>
      </c>
      <c r="G157" t="inlineStr">
        <is>
          <t>Office Supplies</t>
        </is>
      </c>
      <c r="H157" t="inlineStr">
        <is>
          <t>Pens Box</t>
        </is>
      </c>
      <c r="I157" t="n">
        <v>3</v>
      </c>
      <c r="J157" s="12" t="n">
        <v>169.74</v>
      </c>
      <c r="K157" s="13" t="n">
        <v>0</v>
      </c>
      <c r="L157" s="12" t="n">
        <v>509.22</v>
      </c>
      <c r="M157" s="12" t="n">
        <v>330.99</v>
      </c>
      <c r="N157" s="12" t="n">
        <v>178.23</v>
      </c>
      <c r="O157" t="inlineStr">
        <is>
          <t>Cash</t>
        </is>
      </c>
      <c r="P157" t="inlineStr">
        <is>
          <t>Sara Khan</t>
        </is>
      </c>
    </row>
    <row r="158">
      <c r="A158" t="inlineStr">
        <is>
          <t>ORD-2505-0157</t>
        </is>
      </c>
      <c r="B158" s="11" t="n">
        <v>45781</v>
      </c>
      <c r="C158" t="inlineStr">
        <is>
          <t>Central</t>
        </is>
      </c>
      <c r="D158" t="inlineStr">
        <is>
          <t>Nagpur</t>
        </is>
      </c>
      <c r="E158" t="inlineStr">
        <is>
          <t>Consumer</t>
        </is>
      </c>
      <c r="F158" t="inlineStr">
        <is>
          <t>Partner</t>
        </is>
      </c>
      <c r="G158" t="inlineStr">
        <is>
          <t>Technology</t>
        </is>
      </c>
      <c r="H158" t="inlineStr">
        <is>
          <t>Keyboard</t>
        </is>
      </c>
      <c r="I158" t="n">
        <v>4</v>
      </c>
      <c r="J158" s="12" t="n">
        <v>1506.32</v>
      </c>
      <c r="K158" s="13" t="n">
        <v>0</v>
      </c>
      <c r="L158" s="12" t="n">
        <v>6025.28</v>
      </c>
      <c r="M158" s="12" t="n">
        <v>4518.96</v>
      </c>
      <c r="N158" s="12" t="n">
        <v>1506.32</v>
      </c>
      <c r="O158" t="inlineStr">
        <is>
          <t>Cash</t>
        </is>
      </c>
      <c r="P158" t="inlineStr">
        <is>
          <t>Aarav Sharma</t>
        </is>
      </c>
    </row>
    <row r="159">
      <c r="A159" t="inlineStr">
        <is>
          <t>ORD-2507-0158</t>
        </is>
      </c>
      <c r="B159" s="11" t="n">
        <v>45857</v>
      </c>
      <c r="C159" t="inlineStr">
        <is>
          <t>West</t>
        </is>
      </c>
      <c r="D159" t="inlineStr">
        <is>
          <t>Mumbai</t>
        </is>
      </c>
      <c r="E159" t="inlineStr">
        <is>
          <t>Corporate</t>
        </is>
      </c>
      <c r="F159" t="inlineStr">
        <is>
          <t>Online</t>
        </is>
      </c>
      <c r="G159" t="inlineStr">
        <is>
          <t>Office Supplies</t>
        </is>
      </c>
      <c r="H159" t="inlineStr">
        <is>
          <t>Pens Box</t>
        </is>
      </c>
      <c r="I159" t="n">
        <v>2</v>
      </c>
      <c r="J159" s="12" t="n">
        <v>187.12</v>
      </c>
      <c r="K159" s="13" t="n">
        <v>0.05</v>
      </c>
      <c r="L159" s="12" t="n">
        <v>355.53</v>
      </c>
      <c r="M159" s="12" t="n">
        <v>243.26</v>
      </c>
      <c r="N159" s="12" t="n">
        <v>112.27</v>
      </c>
      <c r="O159" t="inlineStr">
        <is>
          <t>Net Banking</t>
        </is>
      </c>
      <c r="P159" t="inlineStr">
        <is>
          <t>Meera Joshi</t>
        </is>
      </c>
    </row>
    <row r="160">
      <c r="A160" t="inlineStr">
        <is>
          <t>ORD-2512-0159</t>
        </is>
      </c>
      <c r="B160" s="11" t="n">
        <v>45994</v>
      </c>
      <c r="C160" t="inlineStr">
        <is>
          <t>North</t>
        </is>
      </c>
      <c r="D160" t="inlineStr">
        <is>
          <t>Chandigarh</t>
        </is>
      </c>
      <c r="E160" t="inlineStr">
        <is>
          <t>Consumer</t>
        </is>
      </c>
      <c r="F160" t="inlineStr">
        <is>
          <t>Partner</t>
        </is>
      </c>
      <c r="G160" t="inlineStr">
        <is>
          <t>Technology</t>
        </is>
      </c>
      <c r="H160" t="inlineStr">
        <is>
          <t>Keyboard</t>
        </is>
      </c>
      <c r="I160" t="n">
        <v>1</v>
      </c>
      <c r="J160" s="12" t="n">
        <v>1470.23</v>
      </c>
      <c r="K160" s="13" t="n">
        <v>0.1</v>
      </c>
      <c r="L160" s="12" t="n">
        <v>1323.21</v>
      </c>
      <c r="M160" s="12" t="n">
        <v>1102.67</v>
      </c>
      <c r="N160" s="12" t="n">
        <v>220.54</v>
      </c>
      <c r="O160" t="inlineStr">
        <is>
          <t>Debit Card</t>
        </is>
      </c>
      <c r="P160" t="inlineStr">
        <is>
          <t>Anaya Rao</t>
        </is>
      </c>
    </row>
    <row r="161">
      <c r="A161" t="inlineStr">
        <is>
          <t>ORD-2511-0160</t>
        </is>
      </c>
      <c r="B161" s="11" t="n">
        <v>45981</v>
      </c>
      <c r="C161" t="inlineStr">
        <is>
          <t>South</t>
        </is>
      </c>
      <c r="D161" t="inlineStr">
        <is>
          <t>Chennai</t>
        </is>
      </c>
      <c r="E161" t="inlineStr">
        <is>
          <t>Consumer</t>
        </is>
      </c>
      <c r="F161" t="inlineStr">
        <is>
          <t>Online</t>
        </is>
      </c>
      <c r="G161" t="inlineStr">
        <is>
          <t>Technology</t>
        </is>
      </c>
      <c r="H161" t="inlineStr">
        <is>
          <t>Monitor</t>
        </is>
      </c>
      <c r="I161" t="n">
        <v>4</v>
      </c>
      <c r="J161" s="12" t="n">
        <v>11573.97</v>
      </c>
      <c r="K161" s="13" t="n">
        <v>0.2</v>
      </c>
      <c r="L161" s="12" t="n">
        <v>37036.7</v>
      </c>
      <c r="M161" s="12" t="n">
        <v>37962.62</v>
      </c>
      <c r="N161" s="12" t="n">
        <v>-925.92</v>
      </c>
      <c r="O161" t="inlineStr">
        <is>
          <t>UPI</t>
        </is>
      </c>
      <c r="P161" t="inlineStr">
        <is>
          <t>Aarav Sharma</t>
        </is>
      </c>
    </row>
    <row r="162">
      <c r="A162" t="inlineStr">
        <is>
          <t>ORD-2506-0161</t>
        </is>
      </c>
      <c r="B162" s="11" t="n">
        <v>45819</v>
      </c>
      <c r="C162" t="inlineStr">
        <is>
          <t>East</t>
        </is>
      </c>
      <c r="D162" t="inlineStr">
        <is>
          <t>Guwahati</t>
        </is>
      </c>
      <c r="E162" t="inlineStr">
        <is>
          <t>Consumer</t>
        </is>
      </c>
      <c r="F162" t="inlineStr">
        <is>
          <t>Retail Store</t>
        </is>
      </c>
      <c r="G162" t="inlineStr">
        <is>
          <t>Office Supplies</t>
        </is>
      </c>
      <c r="H162" t="inlineStr">
        <is>
          <t>Stapler</t>
        </is>
      </c>
      <c r="I162" t="n">
        <v>3</v>
      </c>
      <c r="J162" s="12" t="n">
        <v>270.54</v>
      </c>
      <c r="K162" s="13" t="n">
        <v>0</v>
      </c>
      <c r="L162" s="12" t="n">
        <v>811.62</v>
      </c>
      <c r="M162" s="12" t="n">
        <v>568.13</v>
      </c>
      <c r="N162" s="12" t="n">
        <v>243.49</v>
      </c>
      <c r="O162" t="inlineStr">
        <is>
          <t>Net Banking</t>
        </is>
      </c>
      <c r="P162" t="inlineStr">
        <is>
          <t>Aarav Sharma</t>
        </is>
      </c>
    </row>
    <row r="163">
      <c r="A163" t="inlineStr">
        <is>
          <t>ORD-2512-0162</t>
        </is>
      </c>
      <c r="B163" s="11" t="n">
        <v>45993</v>
      </c>
      <c r="C163" t="inlineStr">
        <is>
          <t>East</t>
        </is>
      </c>
      <c r="D163" t="inlineStr">
        <is>
          <t>Bhubaneswar</t>
        </is>
      </c>
      <c r="E163" t="inlineStr">
        <is>
          <t>Corporate</t>
        </is>
      </c>
      <c r="F163" t="inlineStr">
        <is>
          <t>Retail Store</t>
        </is>
      </c>
      <c r="G163" t="inlineStr">
        <is>
          <t>Technology</t>
        </is>
      </c>
      <c r="H163" t="inlineStr">
        <is>
          <t>Monitor</t>
        </is>
      </c>
      <c r="I163" t="n">
        <v>5</v>
      </c>
      <c r="J163" s="12" t="n">
        <v>12300.04</v>
      </c>
      <c r="K163" s="13" t="n">
        <v>0.05</v>
      </c>
      <c r="L163" s="12" t="n">
        <v>58425.19</v>
      </c>
      <c r="M163" s="12" t="n">
        <v>50430.16</v>
      </c>
      <c r="N163" s="12" t="n">
        <v>7995.03</v>
      </c>
      <c r="O163" t="inlineStr">
        <is>
          <t>Net Banking</t>
        </is>
      </c>
      <c r="P163" t="inlineStr">
        <is>
          <t>Kabir Singh</t>
        </is>
      </c>
    </row>
    <row r="164">
      <c r="A164" t="inlineStr">
        <is>
          <t>ORD-2509-0163</t>
        </is>
      </c>
      <c r="B164" s="11" t="n">
        <v>45912</v>
      </c>
      <c r="C164" t="inlineStr">
        <is>
          <t>West</t>
        </is>
      </c>
      <c r="D164" t="inlineStr">
        <is>
          <t>Ahmedabad</t>
        </is>
      </c>
      <c r="E164" t="inlineStr">
        <is>
          <t>Consumer</t>
        </is>
      </c>
      <c r="F164" t="inlineStr">
        <is>
          <t>Retail Store</t>
        </is>
      </c>
      <c r="G164" t="inlineStr">
        <is>
          <t>Office Supplies</t>
        </is>
      </c>
      <c r="H164" t="inlineStr">
        <is>
          <t>File Folder</t>
        </is>
      </c>
      <c r="I164" t="n">
        <v>3</v>
      </c>
      <c r="J164" s="12" t="n">
        <v>93.27</v>
      </c>
      <c r="K164" s="13" t="n">
        <v>0.15</v>
      </c>
      <c r="L164" s="12" t="n">
        <v>237.84</v>
      </c>
      <c r="M164" s="12" t="n">
        <v>173.48</v>
      </c>
      <c r="N164" s="12" t="n">
        <v>64.36</v>
      </c>
      <c r="O164" t="inlineStr">
        <is>
          <t>Cash</t>
        </is>
      </c>
      <c r="P164" t="inlineStr">
        <is>
          <t>Kabir Singh</t>
        </is>
      </c>
    </row>
    <row r="165">
      <c r="A165" t="inlineStr">
        <is>
          <t>ORD-2510-0164</t>
        </is>
      </c>
      <c r="B165" s="11" t="n">
        <v>45937</v>
      </c>
      <c r="C165" t="inlineStr">
        <is>
          <t>East</t>
        </is>
      </c>
      <c r="D165" t="inlineStr">
        <is>
          <t>Bhubaneswar</t>
        </is>
      </c>
      <c r="E165" t="inlineStr">
        <is>
          <t>Small Business</t>
        </is>
      </c>
      <c r="F165" t="inlineStr">
        <is>
          <t>Partner</t>
        </is>
      </c>
      <c r="G165" t="inlineStr">
        <is>
          <t>Technology</t>
        </is>
      </c>
      <c r="H165" t="inlineStr">
        <is>
          <t>Monitor</t>
        </is>
      </c>
      <c r="I165" t="n">
        <v>1</v>
      </c>
      <c r="J165" s="12" t="n">
        <v>12112.99</v>
      </c>
      <c r="K165" s="13" t="n">
        <v>0.1</v>
      </c>
      <c r="L165" s="12" t="n">
        <v>10901.69</v>
      </c>
      <c r="M165" s="12" t="n">
        <v>9932.65</v>
      </c>
      <c r="N165" s="12" t="n">
        <v>969.04</v>
      </c>
      <c r="O165" t="inlineStr">
        <is>
          <t>Debit Card</t>
        </is>
      </c>
      <c r="P165" t="inlineStr">
        <is>
          <t>Kabir Singh</t>
        </is>
      </c>
    </row>
    <row r="166">
      <c r="A166" t="inlineStr">
        <is>
          <t>ORD-2512-0165</t>
        </is>
      </c>
      <c r="B166" s="11" t="n">
        <v>46011</v>
      </c>
      <c r="C166" t="inlineStr">
        <is>
          <t>West</t>
        </is>
      </c>
      <c r="D166" t="inlineStr">
        <is>
          <t>Ahmedabad</t>
        </is>
      </c>
      <c r="E166" t="inlineStr">
        <is>
          <t>Corporate</t>
        </is>
      </c>
      <c r="F166" t="inlineStr">
        <is>
          <t>Retail Store</t>
        </is>
      </c>
      <c r="G166" t="inlineStr">
        <is>
          <t>Furniture</t>
        </is>
      </c>
      <c r="H166" t="inlineStr">
        <is>
          <t>Bookshelf</t>
        </is>
      </c>
      <c r="I166" t="n">
        <v>1</v>
      </c>
      <c r="J166" s="12" t="n">
        <v>5077.33</v>
      </c>
      <c r="K166" s="13" t="n">
        <v>0.15</v>
      </c>
      <c r="L166" s="12" t="n">
        <v>4315.73</v>
      </c>
      <c r="M166" s="12" t="n">
        <v>3757.22</v>
      </c>
      <c r="N166" s="12" t="n">
        <v>558.51</v>
      </c>
      <c r="O166" t="inlineStr">
        <is>
          <t>Credit Card</t>
        </is>
      </c>
      <c r="P166" t="inlineStr">
        <is>
          <t>Diya Patel</t>
        </is>
      </c>
    </row>
    <row r="167">
      <c r="A167" t="inlineStr">
        <is>
          <t>ORD-2512-0166</t>
        </is>
      </c>
      <c r="B167" s="11" t="n">
        <v>46001</v>
      </c>
      <c r="C167" t="inlineStr">
        <is>
          <t>West</t>
        </is>
      </c>
      <c r="D167" t="inlineStr">
        <is>
          <t>Ahmedabad</t>
        </is>
      </c>
      <c r="E167" t="inlineStr">
        <is>
          <t>Consumer</t>
        </is>
      </c>
      <c r="F167" t="inlineStr">
        <is>
          <t>Partner</t>
        </is>
      </c>
      <c r="G167" t="inlineStr">
        <is>
          <t>Furniture</t>
        </is>
      </c>
      <c r="H167" t="inlineStr">
        <is>
          <t>Storage Cabinet</t>
        </is>
      </c>
      <c r="I167" t="n">
        <v>5</v>
      </c>
      <c r="J167" s="12" t="n">
        <v>9544.77</v>
      </c>
      <c r="K167" s="13" t="n">
        <v>0.1</v>
      </c>
      <c r="L167" s="12" t="n">
        <v>42951.47</v>
      </c>
      <c r="M167" s="12" t="n">
        <v>38179.08</v>
      </c>
      <c r="N167" s="12" t="n">
        <v>4772.39</v>
      </c>
      <c r="O167" t="inlineStr">
        <is>
          <t>Debit Card</t>
        </is>
      </c>
      <c r="P167" t="inlineStr">
        <is>
          <t>Aarav Sharma</t>
        </is>
      </c>
    </row>
    <row r="168">
      <c r="A168" t="inlineStr">
        <is>
          <t>ORD-2503-0167</t>
        </is>
      </c>
      <c r="B168" s="11" t="n">
        <v>45722</v>
      </c>
      <c r="C168" t="inlineStr">
        <is>
          <t>North</t>
        </is>
      </c>
      <c r="D168" t="inlineStr">
        <is>
          <t>Jaipur</t>
        </is>
      </c>
      <c r="E168" t="inlineStr">
        <is>
          <t>Consumer</t>
        </is>
      </c>
      <c r="F168" t="inlineStr">
        <is>
          <t>Partner</t>
        </is>
      </c>
      <c r="G168" t="inlineStr">
        <is>
          <t>Office Supplies</t>
        </is>
      </c>
      <c r="H168" t="inlineStr">
        <is>
          <t>File Folder</t>
        </is>
      </c>
      <c r="I168" t="n">
        <v>4</v>
      </c>
      <c r="J168" s="12" t="n">
        <v>96.47</v>
      </c>
      <c r="K168" s="13" t="n">
        <v>0.05</v>
      </c>
      <c r="L168" s="12" t="n">
        <v>366.59</v>
      </c>
      <c r="M168" s="12" t="n">
        <v>239.25</v>
      </c>
      <c r="N168" s="12" t="n">
        <v>127.34</v>
      </c>
      <c r="O168" t="inlineStr">
        <is>
          <t>UPI</t>
        </is>
      </c>
      <c r="P168" t="inlineStr">
        <is>
          <t>Anaya Rao</t>
        </is>
      </c>
    </row>
    <row r="169">
      <c r="A169" t="inlineStr">
        <is>
          <t>ORD-2507-0168</t>
        </is>
      </c>
      <c r="B169" s="11" t="n">
        <v>45847</v>
      </c>
      <c r="C169" t="inlineStr">
        <is>
          <t>East</t>
        </is>
      </c>
      <c r="D169" t="inlineStr">
        <is>
          <t>Guwahati</t>
        </is>
      </c>
      <c r="E169" t="inlineStr">
        <is>
          <t>Corporate</t>
        </is>
      </c>
      <c r="F169" t="inlineStr">
        <is>
          <t>Partner</t>
        </is>
      </c>
      <c r="G169" t="inlineStr">
        <is>
          <t>Office Supplies</t>
        </is>
      </c>
      <c r="H169" t="inlineStr">
        <is>
          <t>File Folder</t>
        </is>
      </c>
      <c r="I169" t="n">
        <v>1</v>
      </c>
      <c r="J169" s="12" t="n">
        <v>88.08</v>
      </c>
      <c r="K169" s="13" t="n">
        <v>0</v>
      </c>
      <c r="L169" s="12" t="n">
        <v>88.08</v>
      </c>
      <c r="M169" s="12" t="n">
        <v>54.61</v>
      </c>
      <c r="N169" s="12" t="n">
        <v>33.47</v>
      </c>
      <c r="O169" t="inlineStr">
        <is>
          <t>Net Banking</t>
        </is>
      </c>
      <c r="P169" t="inlineStr">
        <is>
          <t>Meera Joshi</t>
        </is>
      </c>
    </row>
    <row r="170">
      <c r="A170" t="inlineStr">
        <is>
          <t>ORD-2502-0169</t>
        </is>
      </c>
      <c r="B170" s="11" t="n">
        <v>45716</v>
      </c>
      <c r="C170" t="inlineStr">
        <is>
          <t>North</t>
        </is>
      </c>
      <c r="D170" t="inlineStr">
        <is>
          <t>Jaipur</t>
        </is>
      </c>
      <c r="E170" t="inlineStr">
        <is>
          <t>Corporate</t>
        </is>
      </c>
      <c r="F170" t="inlineStr">
        <is>
          <t>Partner</t>
        </is>
      </c>
      <c r="G170" t="inlineStr">
        <is>
          <t>Furniture</t>
        </is>
      </c>
      <c r="H170" t="inlineStr">
        <is>
          <t>Bookshelf</t>
        </is>
      </c>
      <c r="I170" t="n">
        <v>3</v>
      </c>
      <c r="J170" s="12" t="n">
        <v>4881.98</v>
      </c>
      <c r="K170" s="13" t="n">
        <v>0.15</v>
      </c>
      <c r="L170" s="12" t="n">
        <v>12449.05</v>
      </c>
      <c r="M170" s="12" t="n">
        <v>10838</v>
      </c>
      <c r="N170" s="12" t="n">
        <v>1611.05</v>
      </c>
      <c r="O170" t="inlineStr">
        <is>
          <t>Debit Card</t>
        </is>
      </c>
      <c r="P170" t="inlineStr">
        <is>
          <t>Meera Joshi</t>
        </is>
      </c>
    </row>
    <row r="171">
      <c r="A171" t="inlineStr">
        <is>
          <t>ORD-2511-0170</t>
        </is>
      </c>
      <c r="B171" s="11" t="n">
        <v>45971</v>
      </c>
      <c r="C171" t="inlineStr">
        <is>
          <t>East</t>
        </is>
      </c>
      <c r="D171" t="inlineStr">
        <is>
          <t>Guwahati</t>
        </is>
      </c>
      <c r="E171" t="inlineStr">
        <is>
          <t>Small Business</t>
        </is>
      </c>
      <c r="F171" t="inlineStr">
        <is>
          <t>Retail Store</t>
        </is>
      </c>
      <c r="G171" t="inlineStr">
        <is>
          <t>Technology</t>
        </is>
      </c>
      <c r="H171" t="inlineStr">
        <is>
          <t>Printer</t>
        </is>
      </c>
      <c r="I171" t="n">
        <v>1</v>
      </c>
      <c r="J171" s="12" t="n">
        <v>9427.1</v>
      </c>
      <c r="K171" s="13" t="n">
        <v>0.15</v>
      </c>
      <c r="L171" s="12" t="n">
        <v>8013.03</v>
      </c>
      <c r="M171" s="12" t="n">
        <v>7918.76</v>
      </c>
      <c r="N171" s="12" t="n">
        <v>94.27</v>
      </c>
      <c r="O171" t="inlineStr">
        <is>
          <t>Credit Card</t>
        </is>
      </c>
      <c r="P171" t="inlineStr">
        <is>
          <t>Sara Khan</t>
        </is>
      </c>
    </row>
    <row r="172">
      <c r="A172" t="inlineStr">
        <is>
          <t>ORD-2512-0171</t>
        </is>
      </c>
      <c r="B172" s="11" t="n">
        <v>45999</v>
      </c>
      <c r="C172" t="inlineStr">
        <is>
          <t>East</t>
        </is>
      </c>
      <c r="D172" t="inlineStr">
        <is>
          <t>Kolkata</t>
        </is>
      </c>
      <c r="E172" t="inlineStr">
        <is>
          <t>Small Business</t>
        </is>
      </c>
      <c r="F172" t="inlineStr">
        <is>
          <t>Partner</t>
        </is>
      </c>
      <c r="G172" t="inlineStr">
        <is>
          <t>Furniture</t>
        </is>
      </c>
      <c r="H172" t="inlineStr">
        <is>
          <t>Storage Cabinet</t>
        </is>
      </c>
      <c r="I172" t="n">
        <v>3</v>
      </c>
      <c r="J172" s="12" t="n">
        <v>9400.34</v>
      </c>
      <c r="K172" s="13" t="n">
        <v>0.15</v>
      </c>
      <c r="L172" s="12" t="n">
        <v>23970.87</v>
      </c>
      <c r="M172" s="12" t="n">
        <v>22560.82</v>
      </c>
      <c r="N172" s="12" t="n">
        <v>1410.05</v>
      </c>
      <c r="O172" t="inlineStr">
        <is>
          <t>UPI</t>
        </is>
      </c>
      <c r="P172" t="inlineStr">
        <is>
          <t>Sara Khan</t>
        </is>
      </c>
    </row>
    <row r="173">
      <c r="A173" t="inlineStr">
        <is>
          <t>ORD-2509-0172</t>
        </is>
      </c>
      <c r="B173" s="11" t="n">
        <v>45918</v>
      </c>
      <c r="C173" t="inlineStr">
        <is>
          <t>South</t>
        </is>
      </c>
      <c r="D173" t="inlineStr">
        <is>
          <t>Bengaluru</t>
        </is>
      </c>
      <c r="E173" t="inlineStr">
        <is>
          <t>Corporate</t>
        </is>
      </c>
      <c r="F173" t="inlineStr">
        <is>
          <t>Partner</t>
        </is>
      </c>
      <c r="G173" t="inlineStr">
        <is>
          <t>Technology</t>
        </is>
      </c>
      <c r="H173" t="inlineStr">
        <is>
          <t>Printer</t>
        </is>
      </c>
      <c r="I173" t="n">
        <v>5</v>
      </c>
      <c r="J173" s="12" t="n">
        <v>9490.91</v>
      </c>
      <c r="K173" s="13" t="n">
        <v>0</v>
      </c>
      <c r="L173" s="12" t="n">
        <v>47454.55</v>
      </c>
      <c r="M173" s="12" t="n">
        <v>39861.82</v>
      </c>
      <c r="N173" s="12" t="n">
        <v>7592.73</v>
      </c>
      <c r="O173" t="inlineStr">
        <is>
          <t>Cash</t>
        </is>
      </c>
      <c r="P173" t="inlineStr">
        <is>
          <t>Sara Khan</t>
        </is>
      </c>
    </row>
    <row r="174">
      <c r="A174" t="inlineStr">
        <is>
          <t>ORD-2508-0173</t>
        </is>
      </c>
      <c r="B174" s="11" t="n">
        <v>45897</v>
      </c>
      <c r="C174" t="inlineStr">
        <is>
          <t>Central</t>
        </is>
      </c>
      <c r="D174" t="inlineStr">
        <is>
          <t>Indore</t>
        </is>
      </c>
      <c r="E174" t="inlineStr">
        <is>
          <t>Small Business</t>
        </is>
      </c>
      <c r="F174" t="inlineStr">
        <is>
          <t>Partner</t>
        </is>
      </c>
      <c r="G174" t="inlineStr">
        <is>
          <t>Office Supplies</t>
        </is>
      </c>
      <c r="H174" t="inlineStr">
        <is>
          <t>Notebook Pack</t>
        </is>
      </c>
      <c r="I174" t="n">
        <v>6</v>
      </c>
      <c r="J174" s="12" t="n">
        <v>344.3</v>
      </c>
      <c r="K174" s="13" t="n">
        <v>0</v>
      </c>
      <c r="L174" s="12" t="n">
        <v>2065.8</v>
      </c>
      <c r="M174" s="12" t="n">
        <v>1404.74</v>
      </c>
      <c r="N174" s="12" t="n">
        <v>661.0599999999999</v>
      </c>
      <c r="O174" t="inlineStr">
        <is>
          <t>Debit Card</t>
        </is>
      </c>
      <c r="P174" t="inlineStr">
        <is>
          <t>Vivaan Gupta</t>
        </is>
      </c>
    </row>
    <row r="175">
      <c r="A175" t="inlineStr">
        <is>
          <t>ORD-2507-0174</t>
        </is>
      </c>
      <c r="B175" s="11" t="n">
        <v>45867</v>
      </c>
      <c r="C175" t="inlineStr">
        <is>
          <t>Central</t>
        </is>
      </c>
      <c r="D175" t="inlineStr">
        <is>
          <t>Bhopal</t>
        </is>
      </c>
      <c r="E175" t="inlineStr">
        <is>
          <t>Small Business</t>
        </is>
      </c>
      <c r="F175" t="inlineStr">
        <is>
          <t>Partner</t>
        </is>
      </c>
      <c r="G175" t="inlineStr">
        <is>
          <t>Technology</t>
        </is>
      </c>
      <c r="H175" t="inlineStr">
        <is>
          <t>Keyboard</t>
        </is>
      </c>
      <c r="I175" t="n">
        <v>10</v>
      </c>
      <c r="J175" s="12" t="n">
        <v>1388.79</v>
      </c>
      <c r="K175" s="13" t="n">
        <v>0.1</v>
      </c>
      <c r="L175" s="12" t="n">
        <v>12499.11</v>
      </c>
      <c r="M175" s="12" t="n">
        <v>10415.92</v>
      </c>
      <c r="N175" s="12" t="n">
        <v>2083.19</v>
      </c>
      <c r="O175" t="inlineStr">
        <is>
          <t>Net Banking</t>
        </is>
      </c>
      <c r="P175" t="inlineStr">
        <is>
          <t>Kabir Singh</t>
        </is>
      </c>
    </row>
    <row r="176">
      <c r="A176" t="inlineStr">
        <is>
          <t>ORD-2510-0175</t>
        </is>
      </c>
      <c r="B176" s="11" t="n">
        <v>45940</v>
      </c>
      <c r="C176" t="inlineStr">
        <is>
          <t>Central</t>
        </is>
      </c>
      <c r="D176" t="inlineStr">
        <is>
          <t>Indore</t>
        </is>
      </c>
      <c r="E176" t="inlineStr">
        <is>
          <t>Consumer</t>
        </is>
      </c>
      <c r="F176" t="inlineStr">
        <is>
          <t>Online</t>
        </is>
      </c>
      <c r="G176" t="inlineStr">
        <is>
          <t>Office Supplies</t>
        </is>
      </c>
      <c r="H176" t="inlineStr">
        <is>
          <t>File Folder</t>
        </is>
      </c>
      <c r="I176" t="n">
        <v>8</v>
      </c>
      <c r="J176" s="12" t="n">
        <v>95.91</v>
      </c>
      <c r="K176" s="13" t="n">
        <v>0.05</v>
      </c>
      <c r="L176" s="12" t="n">
        <v>728.92</v>
      </c>
      <c r="M176" s="12" t="n">
        <v>475.71</v>
      </c>
      <c r="N176" s="12" t="n">
        <v>253.21</v>
      </c>
      <c r="O176" t="inlineStr">
        <is>
          <t>Cash</t>
        </is>
      </c>
      <c r="P176" t="inlineStr">
        <is>
          <t>Kabir Singh</t>
        </is>
      </c>
    </row>
    <row r="177">
      <c r="A177" t="inlineStr">
        <is>
          <t>ORD-2506-0176</t>
        </is>
      </c>
      <c r="B177" s="11" t="n">
        <v>45813</v>
      </c>
      <c r="C177" t="inlineStr">
        <is>
          <t>South</t>
        </is>
      </c>
      <c r="D177" t="inlineStr">
        <is>
          <t>Chennai</t>
        </is>
      </c>
      <c r="E177" t="inlineStr">
        <is>
          <t>Small Business</t>
        </is>
      </c>
      <c r="F177" t="inlineStr">
        <is>
          <t>Retail Store</t>
        </is>
      </c>
      <c r="G177" t="inlineStr">
        <is>
          <t>Furniture</t>
        </is>
      </c>
      <c r="H177" t="inlineStr">
        <is>
          <t>Office Chair</t>
        </is>
      </c>
      <c r="I177" t="n">
        <v>8</v>
      </c>
      <c r="J177" s="12" t="n">
        <v>7286.86</v>
      </c>
      <c r="K177" s="13" t="n">
        <v>0</v>
      </c>
      <c r="L177" s="12" t="n">
        <v>58294.88</v>
      </c>
      <c r="M177" s="12" t="n">
        <v>41972.31</v>
      </c>
      <c r="N177" s="12" t="n">
        <v>16322.57</v>
      </c>
      <c r="O177" t="inlineStr">
        <is>
          <t>Credit Card</t>
        </is>
      </c>
      <c r="P177" t="inlineStr">
        <is>
          <t>Rohan Verma</t>
        </is>
      </c>
    </row>
    <row r="178">
      <c r="A178" t="inlineStr">
        <is>
          <t>ORD-2504-0177</t>
        </is>
      </c>
      <c r="B178" s="11" t="n">
        <v>45758</v>
      </c>
      <c r="C178" t="inlineStr">
        <is>
          <t>Central</t>
        </is>
      </c>
      <c r="D178" t="inlineStr">
        <is>
          <t>Raipur</t>
        </is>
      </c>
      <c r="E178" t="inlineStr">
        <is>
          <t>Small Business</t>
        </is>
      </c>
      <c r="F178" t="inlineStr">
        <is>
          <t>Online</t>
        </is>
      </c>
      <c r="G178" t="inlineStr">
        <is>
          <t>Technology</t>
        </is>
      </c>
      <c r="H178" t="inlineStr">
        <is>
          <t>Keyboard</t>
        </is>
      </c>
      <c r="I178" t="n">
        <v>3</v>
      </c>
      <c r="J178" s="12" t="n">
        <v>1308.93</v>
      </c>
      <c r="K178" s="13" t="n">
        <v>0.1</v>
      </c>
      <c r="L178" s="12" t="n">
        <v>3534.11</v>
      </c>
      <c r="M178" s="12" t="n">
        <v>2945.09</v>
      </c>
      <c r="N178" s="12" t="n">
        <v>589.02</v>
      </c>
      <c r="O178" t="inlineStr">
        <is>
          <t>Cash</t>
        </is>
      </c>
      <c r="P178" t="inlineStr">
        <is>
          <t>Kabir Singh</t>
        </is>
      </c>
    </row>
    <row r="179">
      <c r="A179" t="inlineStr">
        <is>
          <t>ORD-2503-0178</t>
        </is>
      </c>
      <c r="B179" s="11" t="n">
        <v>45745</v>
      </c>
      <c r="C179" t="inlineStr">
        <is>
          <t>Central</t>
        </is>
      </c>
      <c r="D179" t="inlineStr">
        <is>
          <t>Raipur</t>
        </is>
      </c>
      <c r="E179" t="inlineStr">
        <is>
          <t>Consumer</t>
        </is>
      </c>
      <c r="F179" t="inlineStr">
        <is>
          <t>Online</t>
        </is>
      </c>
      <c r="G179" t="inlineStr">
        <is>
          <t>Office Supplies</t>
        </is>
      </c>
      <c r="H179" t="inlineStr">
        <is>
          <t>Stapler</t>
        </is>
      </c>
      <c r="I179" t="n">
        <v>6</v>
      </c>
      <c r="J179" s="12" t="n">
        <v>275.13</v>
      </c>
      <c r="K179" s="13" t="n">
        <v>0</v>
      </c>
      <c r="L179" s="12" t="n">
        <v>1650.78</v>
      </c>
      <c r="M179" s="12" t="n">
        <v>1155.55</v>
      </c>
      <c r="N179" s="12" t="n">
        <v>495.23</v>
      </c>
      <c r="O179" t="inlineStr">
        <is>
          <t>Cash</t>
        </is>
      </c>
      <c r="P179" t="inlineStr">
        <is>
          <t>Rohan Verma</t>
        </is>
      </c>
    </row>
    <row r="180">
      <c r="A180" t="inlineStr">
        <is>
          <t>ORD-2511-0179</t>
        </is>
      </c>
      <c r="B180" s="11" t="n">
        <v>45991</v>
      </c>
      <c r="C180" t="inlineStr">
        <is>
          <t>South</t>
        </is>
      </c>
      <c r="D180" t="inlineStr">
        <is>
          <t>Kochi</t>
        </is>
      </c>
      <c r="E180" t="inlineStr">
        <is>
          <t>Corporate</t>
        </is>
      </c>
      <c r="F180" t="inlineStr">
        <is>
          <t>Partner</t>
        </is>
      </c>
      <c r="G180" t="inlineStr">
        <is>
          <t>Office Supplies</t>
        </is>
      </c>
      <c r="H180" t="inlineStr">
        <is>
          <t>Notebook Pack</t>
        </is>
      </c>
      <c r="I180" t="n">
        <v>3</v>
      </c>
      <c r="J180" s="12" t="n">
        <v>357.12</v>
      </c>
      <c r="K180" s="13" t="n">
        <v>0.05</v>
      </c>
      <c r="L180" s="12" t="n">
        <v>1017.79</v>
      </c>
      <c r="M180" s="12" t="n">
        <v>728.52</v>
      </c>
      <c r="N180" s="12" t="n">
        <v>289.27</v>
      </c>
      <c r="O180" t="inlineStr">
        <is>
          <t>Net Banking</t>
        </is>
      </c>
      <c r="P180" t="inlineStr">
        <is>
          <t>Anaya Rao</t>
        </is>
      </c>
    </row>
    <row r="181">
      <c r="A181" t="inlineStr">
        <is>
          <t>ORD-2505-0180</t>
        </is>
      </c>
      <c r="B181" s="11" t="n">
        <v>45783</v>
      </c>
      <c r="C181" t="inlineStr">
        <is>
          <t>West</t>
        </is>
      </c>
      <c r="D181" t="inlineStr">
        <is>
          <t>Ahmedabad</t>
        </is>
      </c>
      <c r="E181" t="inlineStr">
        <is>
          <t>Corporate</t>
        </is>
      </c>
      <c r="F181" t="inlineStr">
        <is>
          <t>Retail Store</t>
        </is>
      </c>
      <c r="G181" t="inlineStr">
        <is>
          <t>Furniture</t>
        </is>
      </c>
      <c r="H181" t="inlineStr">
        <is>
          <t>Bookshelf</t>
        </is>
      </c>
      <c r="I181" t="n">
        <v>1</v>
      </c>
      <c r="J181" s="12" t="n">
        <v>5149.75</v>
      </c>
      <c r="K181" s="13" t="n">
        <v>0</v>
      </c>
      <c r="L181" s="12" t="n">
        <v>5149.75</v>
      </c>
      <c r="M181" s="12" t="n">
        <v>3810.82</v>
      </c>
      <c r="N181" s="12" t="n">
        <v>1338.93</v>
      </c>
      <c r="O181" t="inlineStr">
        <is>
          <t>UPI</t>
        </is>
      </c>
      <c r="P181" t="inlineStr">
        <is>
          <t>Sara Khan</t>
        </is>
      </c>
    </row>
    <row r="182">
      <c r="A182" t="inlineStr">
        <is>
          <t>ORD-2511-0181</t>
        </is>
      </c>
      <c r="B182" s="11" t="n">
        <v>45968</v>
      </c>
      <c r="C182" t="inlineStr">
        <is>
          <t>South</t>
        </is>
      </c>
      <c r="D182" t="inlineStr">
        <is>
          <t>Hyderabad</t>
        </is>
      </c>
      <c r="E182" t="inlineStr">
        <is>
          <t>Corporate</t>
        </is>
      </c>
      <c r="F182" t="inlineStr">
        <is>
          <t>Online</t>
        </is>
      </c>
      <c r="G182" t="inlineStr">
        <is>
          <t>Office Supplies</t>
        </is>
      </c>
      <c r="H182" t="inlineStr">
        <is>
          <t>Stapler</t>
        </is>
      </c>
      <c r="I182" t="n">
        <v>4</v>
      </c>
      <c r="J182" s="12" t="n">
        <v>275.01</v>
      </c>
      <c r="K182" s="13" t="n">
        <v>0.1</v>
      </c>
      <c r="L182" s="12" t="n">
        <v>990.04</v>
      </c>
      <c r="M182" s="12" t="n">
        <v>770.03</v>
      </c>
      <c r="N182" s="12" t="n">
        <v>220.01</v>
      </c>
      <c r="O182" t="inlineStr">
        <is>
          <t>Net Banking</t>
        </is>
      </c>
      <c r="P182" t="inlineStr">
        <is>
          <t>Diya Patel</t>
        </is>
      </c>
    </row>
    <row r="183">
      <c r="A183" t="inlineStr">
        <is>
          <t>ORD-2506-0182</t>
        </is>
      </c>
      <c r="B183" s="11" t="n">
        <v>45821</v>
      </c>
      <c r="C183" t="inlineStr">
        <is>
          <t>South</t>
        </is>
      </c>
      <c r="D183" t="inlineStr">
        <is>
          <t>Kochi</t>
        </is>
      </c>
      <c r="E183" t="inlineStr">
        <is>
          <t>Corporate</t>
        </is>
      </c>
      <c r="F183" t="inlineStr">
        <is>
          <t>Retail Store</t>
        </is>
      </c>
      <c r="G183" t="inlineStr">
        <is>
          <t>Technology</t>
        </is>
      </c>
      <c r="H183" t="inlineStr">
        <is>
          <t>Monitor</t>
        </is>
      </c>
      <c r="I183" t="n">
        <v>2</v>
      </c>
      <c r="J183" s="12" t="n">
        <v>11693.62</v>
      </c>
      <c r="K183" s="13" t="n">
        <v>0</v>
      </c>
      <c r="L183" s="12" t="n">
        <v>23387.24</v>
      </c>
      <c r="M183" s="12" t="n">
        <v>19177.54</v>
      </c>
      <c r="N183" s="12" t="n">
        <v>4209.7</v>
      </c>
      <c r="O183" t="inlineStr">
        <is>
          <t>Cash</t>
        </is>
      </c>
      <c r="P183" t="inlineStr">
        <is>
          <t>Vivaan Gupta</t>
        </is>
      </c>
    </row>
    <row r="184">
      <c r="A184" t="inlineStr">
        <is>
          <t>ORD-2505-0183</t>
        </is>
      </c>
      <c r="B184" s="11" t="n">
        <v>45785</v>
      </c>
      <c r="C184" t="inlineStr">
        <is>
          <t>South</t>
        </is>
      </c>
      <c r="D184" t="inlineStr">
        <is>
          <t>Hyderabad</t>
        </is>
      </c>
      <c r="E184" t="inlineStr">
        <is>
          <t>Small Business</t>
        </is>
      </c>
      <c r="F184" t="inlineStr">
        <is>
          <t>Retail Store</t>
        </is>
      </c>
      <c r="G184" t="inlineStr">
        <is>
          <t>Office Supplies</t>
        </is>
      </c>
      <c r="H184" t="inlineStr">
        <is>
          <t>Notebook Pack</t>
        </is>
      </c>
      <c r="I184" t="n">
        <v>4</v>
      </c>
      <c r="J184" s="12" t="n">
        <v>330.92</v>
      </c>
      <c r="K184" s="13" t="n">
        <v>0</v>
      </c>
      <c r="L184" s="12" t="n">
        <v>1323.68</v>
      </c>
      <c r="M184" s="12" t="n">
        <v>900.1</v>
      </c>
      <c r="N184" s="12" t="n">
        <v>423.58</v>
      </c>
      <c r="O184" t="inlineStr">
        <is>
          <t>Debit Card</t>
        </is>
      </c>
      <c r="P184" t="inlineStr">
        <is>
          <t>Rohan Verma</t>
        </is>
      </c>
    </row>
    <row r="185">
      <c r="A185" t="inlineStr">
        <is>
          <t>ORD-2509-0184</t>
        </is>
      </c>
      <c r="B185" s="11" t="n">
        <v>45912</v>
      </c>
      <c r="C185" t="inlineStr">
        <is>
          <t>North</t>
        </is>
      </c>
      <c r="D185" t="inlineStr">
        <is>
          <t>Delhi</t>
        </is>
      </c>
      <c r="E185" t="inlineStr">
        <is>
          <t>Corporate</t>
        </is>
      </c>
      <c r="F185" t="inlineStr">
        <is>
          <t>Online</t>
        </is>
      </c>
      <c r="G185" t="inlineStr">
        <is>
          <t>Furniture</t>
        </is>
      </c>
      <c r="H185" t="inlineStr">
        <is>
          <t>Desk</t>
        </is>
      </c>
      <c r="I185" t="n">
        <v>3</v>
      </c>
      <c r="J185" s="12" t="n">
        <v>10975.87</v>
      </c>
      <c r="K185" s="13" t="n">
        <v>0.2</v>
      </c>
      <c r="L185" s="12" t="n">
        <v>26342.09</v>
      </c>
      <c r="M185" s="12" t="n">
        <v>25024.98</v>
      </c>
      <c r="N185" s="12" t="n">
        <v>1317.11</v>
      </c>
      <c r="O185" t="inlineStr">
        <is>
          <t>Credit Card</t>
        </is>
      </c>
      <c r="P185" t="inlineStr">
        <is>
          <t>Rohan Verma</t>
        </is>
      </c>
    </row>
    <row r="186">
      <c r="A186" t="inlineStr">
        <is>
          <t>ORD-2509-0185</t>
        </is>
      </c>
      <c r="B186" s="11" t="n">
        <v>45911</v>
      </c>
      <c r="C186" t="inlineStr">
        <is>
          <t>Central</t>
        </is>
      </c>
      <c r="D186" t="inlineStr">
        <is>
          <t>Nagpur</t>
        </is>
      </c>
      <c r="E186" t="inlineStr">
        <is>
          <t>Corporate</t>
        </is>
      </c>
      <c r="F186" t="inlineStr">
        <is>
          <t>Partner</t>
        </is>
      </c>
      <c r="G186" t="inlineStr">
        <is>
          <t>Technology</t>
        </is>
      </c>
      <c r="H186" t="inlineStr">
        <is>
          <t>Headphones</t>
        </is>
      </c>
      <c r="I186" t="n">
        <v>3</v>
      </c>
      <c r="J186" s="12" t="n">
        <v>2175.69</v>
      </c>
      <c r="K186" s="13" t="n">
        <v>0.15</v>
      </c>
      <c r="L186" s="12" t="n">
        <v>5548.01</v>
      </c>
      <c r="M186" s="12" t="n">
        <v>5091.11</v>
      </c>
      <c r="N186" s="12" t="n">
        <v>456.9</v>
      </c>
      <c r="O186" t="inlineStr">
        <is>
          <t>Net Banking</t>
        </is>
      </c>
      <c r="P186" t="inlineStr">
        <is>
          <t>Vivaan Gupta</t>
        </is>
      </c>
    </row>
    <row r="187">
      <c r="A187" t="inlineStr">
        <is>
          <t>ORD-2507-0186</t>
        </is>
      </c>
      <c r="B187" s="11" t="n">
        <v>45845</v>
      </c>
      <c r="C187" t="inlineStr">
        <is>
          <t>North</t>
        </is>
      </c>
      <c r="D187" t="inlineStr">
        <is>
          <t>Lucknow</t>
        </is>
      </c>
      <c r="E187" t="inlineStr">
        <is>
          <t>Consumer</t>
        </is>
      </c>
      <c r="F187" t="inlineStr">
        <is>
          <t>Retail Store</t>
        </is>
      </c>
      <c r="G187" t="inlineStr">
        <is>
          <t>Technology</t>
        </is>
      </c>
      <c r="H187" t="inlineStr">
        <is>
          <t>Laptop</t>
        </is>
      </c>
      <c r="I187" t="n">
        <v>3</v>
      </c>
      <c r="J187" s="12" t="n">
        <v>42357.66</v>
      </c>
      <c r="K187" s="13" t="n">
        <v>0</v>
      </c>
      <c r="L187" s="12" t="n">
        <v>127072.98</v>
      </c>
      <c r="M187" s="12" t="n">
        <v>111824.22</v>
      </c>
      <c r="N187" s="12" t="n">
        <v>15248.76</v>
      </c>
      <c r="O187" t="inlineStr">
        <is>
          <t>Cash</t>
        </is>
      </c>
      <c r="P187" t="inlineStr">
        <is>
          <t>Anaya Rao</t>
        </is>
      </c>
    </row>
    <row r="188">
      <c r="A188" t="inlineStr">
        <is>
          <t>ORD-2510-0187</t>
        </is>
      </c>
      <c r="B188" s="11" t="n">
        <v>45939</v>
      </c>
      <c r="C188" t="inlineStr">
        <is>
          <t>East</t>
        </is>
      </c>
      <c r="D188" t="inlineStr">
        <is>
          <t>Kolkata</t>
        </is>
      </c>
      <c r="E188" t="inlineStr">
        <is>
          <t>Corporate</t>
        </is>
      </c>
      <c r="F188" t="inlineStr">
        <is>
          <t>Partner</t>
        </is>
      </c>
      <c r="G188" t="inlineStr">
        <is>
          <t>Technology</t>
        </is>
      </c>
      <c r="H188" t="inlineStr">
        <is>
          <t>Keyboard</t>
        </is>
      </c>
      <c r="I188" t="n">
        <v>10</v>
      </c>
      <c r="J188" s="12" t="n">
        <v>1466.06</v>
      </c>
      <c r="K188" s="13" t="n">
        <v>0.05</v>
      </c>
      <c r="L188" s="12" t="n">
        <v>13927.57</v>
      </c>
      <c r="M188" s="12" t="n">
        <v>10995.45</v>
      </c>
      <c r="N188" s="12" t="n">
        <v>2932.12</v>
      </c>
      <c r="O188" t="inlineStr">
        <is>
          <t>Net Banking</t>
        </is>
      </c>
      <c r="P188" t="inlineStr">
        <is>
          <t>Kabir Singh</t>
        </is>
      </c>
    </row>
    <row r="189">
      <c r="A189" t="inlineStr">
        <is>
          <t>ORD-2504-0188</t>
        </is>
      </c>
      <c r="B189" s="11" t="n">
        <v>45759</v>
      </c>
      <c r="C189" t="inlineStr">
        <is>
          <t>Central</t>
        </is>
      </c>
      <c r="D189" t="inlineStr">
        <is>
          <t>Nagpur</t>
        </is>
      </c>
      <c r="E189" t="inlineStr">
        <is>
          <t>Corporate</t>
        </is>
      </c>
      <c r="F189" t="inlineStr">
        <is>
          <t>Partner</t>
        </is>
      </c>
      <c r="G189" t="inlineStr">
        <is>
          <t>Furniture</t>
        </is>
      </c>
      <c r="H189" t="inlineStr">
        <is>
          <t>Storage Cabinet</t>
        </is>
      </c>
      <c r="I189" t="n">
        <v>1</v>
      </c>
      <c r="J189" s="12" t="n">
        <v>9204.15</v>
      </c>
      <c r="K189" s="13" t="n">
        <v>0</v>
      </c>
      <c r="L189" s="12" t="n">
        <v>9204.15</v>
      </c>
      <c r="M189" s="12" t="n">
        <v>7363.32</v>
      </c>
      <c r="N189" s="12" t="n">
        <v>1840.83</v>
      </c>
      <c r="O189" t="inlineStr">
        <is>
          <t>Debit Card</t>
        </is>
      </c>
      <c r="P189" t="inlineStr">
        <is>
          <t>Kabir Singh</t>
        </is>
      </c>
    </row>
    <row r="190">
      <c r="A190" t="inlineStr">
        <is>
          <t>ORD-2511-0189</t>
        </is>
      </c>
      <c r="B190" s="11" t="n">
        <v>45968</v>
      </c>
      <c r="C190" t="inlineStr">
        <is>
          <t>Central</t>
        </is>
      </c>
      <c r="D190" t="inlineStr">
        <is>
          <t>Indore</t>
        </is>
      </c>
      <c r="E190" t="inlineStr">
        <is>
          <t>Small Business</t>
        </is>
      </c>
      <c r="F190" t="inlineStr">
        <is>
          <t>Partner</t>
        </is>
      </c>
      <c r="G190" t="inlineStr">
        <is>
          <t>Furniture</t>
        </is>
      </c>
      <c r="H190" t="inlineStr">
        <is>
          <t>Office Chair</t>
        </is>
      </c>
      <c r="I190" t="n">
        <v>8</v>
      </c>
      <c r="J190" s="12" t="n">
        <v>6683.53</v>
      </c>
      <c r="K190" s="13" t="n">
        <v>0.05</v>
      </c>
      <c r="L190" s="12" t="n">
        <v>50794.83</v>
      </c>
      <c r="M190" s="12" t="n">
        <v>38497.13</v>
      </c>
      <c r="N190" s="12" t="n">
        <v>12297.7</v>
      </c>
      <c r="O190" t="inlineStr">
        <is>
          <t>Net Banking</t>
        </is>
      </c>
      <c r="P190" t="inlineStr">
        <is>
          <t>Sara Khan</t>
        </is>
      </c>
    </row>
    <row r="191">
      <c r="A191" t="inlineStr">
        <is>
          <t>ORD-2509-0190</t>
        </is>
      </c>
      <c r="B191" s="11" t="n">
        <v>45917</v>
      </c>
      <c r="C191" t="inlineStr">
        <is>
          <t>Central</t>
        </is>
      </c>
      <c r="D191" t="inlineStr">
        <is>
          <t>Nagpur</t>
        </is>
      </c>
      <c r="E191" t="inlineStr">
        <is>
          <t>Corporate</t>
        </is>
      </c>
      <c r="F191" t="inlineStr">
        <is>
          <t>Partner</t>
        </is>
      </c>
      <c r="G191" t="inlineStr">
        <is>
          <t>Office Supplies</t>
        </is>
      </c>
      <c r="H191" t="inlineStr">
        <is>
          <t>Paper Ream</t>
        </is>
      </c>
      <c r="I191" t="n">
        <v>3</v>
      </c>
      <c r="J191" s="12" t="n">
        <v>387.52</v>
      </c>
      <c r="K191" s="13" t="n">
        <v>0.05</v>
      </c>
      <c r="L191" s="12" t="n">
        <v>1104.43</v>
      </c>
      <c r="M191" s="12" t="n">
        <v>895.17</v>
      </c>
      <c r="N191" s="12" t="n">
        <v>209.26</v>
      </c>
      <c r="O191" t="inlineStr">
        <is>
          <t>Credit Card</t>
        </is>
      </c>
      <c r="P191" t="inlineStr">
        <is>
          <t>Vivaan Gupta</t>
        </is>
      </c>
    </row>
    <row r="192">
      <c r="A192" t="inlineStr">
        <is>
          <t>ORD-2510-0191</t>
        </is>
      </c>
      <c r="B192" s="11" t="n">
        <v>45956</v>
      </c>
      <c r="C192" t="inlineStr">
        <is>
          <t>East</t>
        </is>
      </c>
      <c r="D192" t="inlineStr">
        <is>
          <t>Kolkata</t>
        </is>
      </c>
      <c r="E192" t="inlineStr">
        <is>
          <t>Small Business</t>
        </is>
      </c>
      <c r="F192" t="inlineStr">
        <is>
          <t>Partner</t>
        </is>
      </c>
      <c r="G192" t="inlineStr">
        <is>
          <t>Office Supplies</t>
        </is>
      </c>
      <c r="H192" t="inlineStr">
        <is>
          <t>Notebook Pack</t>
        </is>
      </c>
      <c r="I192" t="n">
        <v>3</v>
      </c>
      <c r="J192" s="12" t="n">
        <v>365.84</v>
      </c>
      <c r="K192" s="13" t="n">
        <v>0.2</v>
      </c>
      <c r="L192" s="12" t="n">
        <v>878.02</v>
      </c>
      <c r="M192" s="12" t="n">
        <v>746.3099999999999</v>
      </c>
      <c r="N192" s="12" t="n">
        <v>131.71</v>
      </c>
      <c r="O192" t="inlineStr">
        <is>
          <t>UPI</t>
        </is>
      </c>
      <c r="P192" t="inlineStr">
        <is>
          <t>Aarav Sharma</t>
        </is>
      </c>
    </row>
    <row r="193">
      <c r="A193" t="inlineStr">
        <is>
          <t>ORD-2510-0192</t>
        </is>
      </c>
      <c r="B193" s="11" t="n">
        <v>45956</v>
      </c>
      <c r="C193" t="inlineStr">
        <is>
          <t>West</t>
        </is>
      </c>
      <c r="D193" t="inlineStr">
        <is>
          <t>Pune</t>
        </is>
      </c>
      <c r="E193" t="inlineStr">
        <is>
          <t>Consumer</t>
        </is>
      </c>
      <c r="F193" t="inlineStr">
        <is>
          <t>Partner</t>
        </is>
      </c>
      <c r="G193" t="inlineStr">
        <is>
          <t>Furniture</t>
        </is>
      </c>
      <c r="H193" t="inlineStr">
        <is>
          <t>Storage Cabinet</t>
        </is>
      </c>
      <c r="I193" t="n">
        <v>3</v>
      </c>
      <c r="J193" s="12" t="n">
        <v>9385.82</v>
      </c>
      <c r="K193" s="13" t="n">
        <v>0.1</v>
      </c>
      <c r="L193" s="12" t="n">
        <v>25341.71</v>
      </c>
      <c r="M193" s="12" t="n">
        <v>22525.97</v>
      </c>
      <c r="N193" s="12" t="n">
        <v>2815.74</v>
      </c>
      <c r="O193" t="inlineStr">
        <is>
          <t>UPI</t>
        </is>
      </c>
      <c r="P193" t="inlineStr">
        <is>
          <t>Aarav Sharma</t>
        </is>
      </c>
    </row>
    <row r="194">
      <c r="A194" t="inlineStr">
        <is>
          <t>ORD-2510-0193</t>
        </is>
      </c>
      <c r="B194" s="11" t="n">
        <v>45951</v>
      </c>
      <c r="C194" t="inlineStr">
        <is>
          <t>North</t>
        </is>
      </c>
      <c r="D194" t="inlineStr">
        <is>
          <t>Jaipur</t>
        </is>
      </c>
      <c r="E194" t="inlineStr">
        <is>
          <t>Consumer</t>
        </is>
      </c>
      <c r="F194" t="inlineStr">
        <is>
          <t>Retail Store</t>
        </is>
      </c>
      <c r="G194" t="inlineStr">
        <is>
          <t>Technology</t>
        </is>
      </c>
      <c r="H194" t="inlineStr">
        <is>
          <t>Laptop</t>
        </is>
      </c>
      <c r="I194" t="n">
        <v>3</v>
      </c>
      <c r="J194" s="12" t="n">
        <v>41415.09</v>
      </c>
      <c r="K194" s="13" t="n">
        <v>0.05</v>
      </c>
      <c r="L194" s="12" t="n">
        <v>118033.01</v>
      </c>
      <c r="M194" s="12" t="n">
        <v>109335.84</v>
      </c>
      <c r="N194" s="12" t="n">
        <v>8697.17</v>
      </c>
      <c r="O194" t="inlineStr">
        <is>
          <t>Cash</t>
        </is>
      </c>
      <c r="P194" t="inlineStr">
        <is>
          <t>Anaya Rao</t>
        </is>
      </c>
    </row>
    <row r="195">
      <c r="A195" t="inlineStr">
        <is>
          <t>ORD-2502-0194</t>
        </is>
      </c>
      <c r="B195" s="11" t="n">
        <v>45689</v>
      </c>
      <c r="C195" t="inlineStr">
        <is>
          <t>South</t>
        </is>
      </c>
      <c r="D195" t="inlineStr">
        <is>
          <t>Chennai</t>
        </is>
      </c>
      <c r="E195" t="inlineStr">
        <is>
          <t>Corporate</t>
        </is>
      </c>
      <c r="F195" t="inlineStr">
        <is>
          <t>Online</t>
        </is>
      </c>
      <c r="G195" t="inlineStr">
        <is>
          <t>Furniture</t>
        </is>
      </c>
      <c r="H195" t="inlineStr">
        <is>
          <t>Storage Cabinet</t>
        </is>
      </c>
      <c r="I195" t="n">
        <v>2</v>
      </c>
      <c r="J195" s="12" t="n">
        <v>8936.280000000001</v>
      </c>
      <c r="K195" s="13" t="n">
        <v>0.1</v>
      </c>
      <c r="L195" s="12" t="n">
        <v>16085.3</v>
      </c>
      <c r="M195" s="12" t="n">
        <v>14298.05</v>
      </c>
      <c r="N195" s="12" t="n">
        <v>1787.25</v>
      </c>
      <c r="O195" t="inlineStr">
        <is>
          <t>Debit Card</t>
        </is>
      </c>
      <c r="P195" t="inlineStr">
        <is>
          <t>Sara Khan</t>
        </is>
      </c>
    </row>
    <row r="196">
      <c r="A196" t="inlineStr">
        <is>
          <t>ORD-2510-0195</t>
        </is>
      </c>
      <c r="B196" s="11" t="n">
        <v>45937</v>
      </c>
      <c r="C196" t="inlineStr">
        <is>
          <t>East</t>
        </is>
      </c>
      <c r="D196" t="inlineStr">
        <is>
          <t>Bhubaneswar</t>
        </is>
      </c>
      <c r="E196" t="inlineStr">
        <is>
          <t>Corporate</t>
        </is>
      </c>
      <c r="F196" t="inlineStr">
        <is>
          <t>Online</t>
        </is>
      </c>
      <c r="G196" t="inlineStr">
        <is>
          <t>Office Supplies</t>
        </is>
      </c>
      <c r="H196" t="inlineStr">
        <is>
          <t>Notebook Pack</t>
        </is>
      </c>
      <c r="I196" t="n">
        <v>3</v>
      </c>
      <c r="J196" s="12" t="n">
        <v>337.62</v>
      </c>
      <c r="K196" s="13" t="n">
        <v>0.2</v>
      </c>
      <c r="L196" s="12" t="n">
        <v>810.29</v>
      </c>
      <c r="M196" s="12" t="n">
        <v>688.74</v>
      </c>
      <c r="N196" s="12" t="n">
        <v>121.55</v>
      </c>
      <c r="O196" t="inlineStr">
        <is>
          <t>Net Banking</t>
        </is>
      </c>
      <c r="P196" t="inlineStr">
        <is>
          <t>Rohan Verma</t>
        </is>
      </c>
    </row>
    <row r="197">
      <c r="A197" t="inlineStr">
        <is>
          <t>ORD-2512-0196</t>
        </is>
      </c>
      <c r="B197" s="11" t="n">
        <v>46018</v>
      </c>
      <c r="C197" t="inlineStr">
        <is>
          <t>South</t>
        </is>
      </c>
      <c r="D197" t="inlineStr">
        <is>
          <t>Kochi</t>
        </is>
      </c>
      <c r="E197" t="inlineStr">
        <is>
          <t>Small Business</t>
        </is>
      </c>
      <c r="F197" t="inlineStr">
        <is>
          <t>Retail Store</t>
        </is>
      </c>
      <c r="G197" t="inlineStr">
        <is>
          <t>Furniture</t>
        </is>
      </c>
      <c r="H197" t="inlineStr">
        <is>
          <t>Office Chair</t>
        </is>
      </c>
      <c r="I197" t="n">
        <v>3</v>
      </c>
      <c r="J197" s="12" t="n">
        <v>7272.72</v>
      </c>
      <c r="K197" s="13" t="n">
        <v>0.1</v>
      </c>
      <c r="L197" s="12" t="n">
        <v>19636.34</v>
      </c>
      <c r="M197" s="12" t="n">
        <v>15709.08</v>
      </c>
      <c r="N197" s="12" t="n">
        <v>3927.26</v>
      </c>
      <c r="O197" t="inlineStr">
        <is>
          <t>Net Banking</t>
        </is>
      </c>
      <c r="P197" t="inlineStr">
        <is>
          <t>Diya Patel</t>
        </is>
      </c>
    </row>
    <row r="198">
      <c r="A198" t="inlineStr">
        <is>
          <t>ORD-2510-0197</t>
        </is>
      </c>
      <c r="B198" s="11" t="n">
        <v>45951</v>
      </c>
      <c r="C198" t="inlineStr">
        <is>
          <t>Central</t>
        </is>
      </c>
      <c r="D198" t="inlineStr">
        <is>
          <t>Nagpur</t>
        </is>
      </c>
      <c r="E198" t="inlineStr">
        <is>
          <t>Corporate</t>
        </is>
      </c>
      <c r="F198" t="inlineStr">
        <is>
          <t>Online</t>
        </is>
      </c>
      <c r="G198" t="inlineStr">
        <is>
          <t>Furniture</t>
        </is>
      </c>
      <c r="H198" t="inlineStr">
        <is>
          <t>Desk</t>
        </is>
      </c>
      <c r="I198" t="n">
        <v>5</v>
      </c>
      <c r="J198" s="12" t="n">
        <v>12060.49</v>
      </c>
      <c r="K198" s="13" t="n">
        <v>0.2</v>
      </c>
      <c r="L198" s="12" t="n">
        <v>48241.96</v>
      </c>
      <c r="M198" s="12" t="n">
        <v>45829.86</v>
      </c>
      <c r="N198" s="12" t="n">
        <v>2412.1</v>
      </c>
      <c r="O198" t="inlineStr">
        <is>
          <t>Net Banking</t>
        </is>
      </c>
      <c r="P198" t="inlineStr">
        <is>
          <t>Diya Patel</t>
        </is>
      </c>
    </row>
    <row r="199">
      <c r="A199" t="inlineStr">
        <is>
          <t>ORD-2506-0198</t>
        </is>
      </c>
      <c r="B199" s="11" t="n">
        <v>45835</v>
      </c>
      <c r="C199" t="inlineStr">
        <is>
          <t>West</t>
        </is>
      </c>
      <c r="D199" t="inlineStr">
        <is>
          <t>Ahmedabad</t>
        </is>
      </c>
      <c r="E199" t="inlineStr">
        <is>
          <t>Small Business</t>
        </is>
      </c>
      <c r="F199" t="inlineStr">
        <is>
          <t>Partner</t>
        </is>
      </c>
      <c r="G199" t="inlineStr">
        <is>
          <t>Office Supplies</t>
        </is>
      </c>
      <c r="H199" t="inlineStr">
        <is>
          <t>Paper Ream</t>
        </is>
      </c>
      <c r="I199" t="n">
        <v>3</v>
      </c>
      <c r="J199" s="12" t="n">
        <v>422.59</v>
      </c>
      <c r="K199" s="13" t="n">
        <v>0</v>
      </c>
      <c r="L199" s="12" t="n">
        <v>1267.77</v>
      </c>
      <c r="M199" s="12" t="n">
        <v>976.1799999999999</v>
      </c>
      <c r="N199" s="12" t="n">
        <v>291.59</v>
      </c>
      <c r="O199" t="inlineStr">
        <is>
          <t>Net Banking</t>
        </is>
      </c>
      <c r="P199" t="inlineStr">
        <is>
          <t>Kabir Singh</t>
        </is>
      </c>
    </row>
    <row r="200">
      <c r="A200" t="inlineStr">
        <is>
          <t>ORD-2502-0199</t>
        </is>
      </c>
      <c r="B200" s="11" t="n">
        <v>45713</v>
      </c>
      <c r="C200" t="inlineStr">
        <is>
          <t>Central</t>
        </is>
      </c>
      <c r="D200" t="inlineStr">
        <is>
          <t>Indore</t>
        </is>
      </c>
      <c r="E200" t="inlineStr">
        <is>
          <t>Consumer</t>
        </is>
      </c>
      <c r="F200" t="inlineStr">
        <is>
          <t>Online</t>
        </is>
      </c>
      <c r="G200" t="inlineStr">
        <is>
          <t>Technology</t>
        </is>
      </c>
      <c r="H200" t="inlineStr">
        <is>
          <t>Printer</t>
        </is>
      </c>
      <c r="I200" t="n">
        <v>1</v>
      </c>
      <c r="J200" s="12" t="n">
        <v>9083.02</v>
      </c>
      <c r="K200" s="13" t="n">
        <v>0.15</v>
      </c>
      <c r="L200" s="12" t="n">
        <v>7720.57</v>
      </c>
      <c r="M200" s="12" t="n">
        <v>7629.74</v>
      </c>
      <c r="N200" s="12" t="n">
        <v>90.83</v>
      </c>
      <c r="O200" t="inlineStr">
        <is>
          <t>Credit Card</t>
        </is>
      </c>
      <c r="P200" t="inlineStr">
        <is>
          <t>Vivaan Gupta</t>
        </is>
      </c>
    </row>
    <row r="201">
      <c r="A201" t="inlineStr">
        <is>
          <t>ORD-2506-0200</t>
        </is>
      </c>
      <c r="B201" s="11" t="n">
        <v>45827</v>
      </c>
      <c r="C201" t="inlineStr">
        <is>
          <t>West</t>
        </is>
      </c>
      <c r="D201" t="inlineStr">
        <is>
          <t>Mumbai</t>
        </is>
      </c>
      <c r="E201" t="inlineStr">
        <is>
          <t>Consumer</t>
        </is>
      </c>
      <c r="F201" t="inlineStr">
        <is>
          <t>Retail Store</t>
        </is>
      </c>
      <c r="G201" t="inlineStr">
        <is>
          <t>Office Supplies</t>
        </is>
      </c>
      <c r="H201" t="inlineStr">
        <is>
          <t>Pens Box</t>
        </is>
      </c>
      <c r="I201" t="n">
        <v>4</v>
      </c>
      <c r="J201" s="12" t="n">
        <v>181.45</v>
      </c>
      <c r="K201" s="13" t="n">
        <v>0</v>
      </c>
      <c r="L201" s="12" t="n">
        <v>725.8</v>
      </c>
      <c r="M201" s="12" t="n">
        <v>471.77</v>
      </c>
      <c r="N201" s="12" t="n">
        <v>254.03</v>
      </c>
      <c r="O201" t="inlineStr">
        <is>
          <t>Debit Card</t>
        </is>
      </c>
      <c r="P201" t="inlineStr">
        <is>
          <t>Anaya Rao</t>
        </is>
      </c>
    </row>
    <row r="202">
      <c r="A202" t="inlineStr">
        <is>
          <t>ORD-2511-0201</t>
        </is>
      </c>
      <c r="B202" s="11" t="n">
        <v>45991</v>
      </c>
      <c r="C202" t="inlineStr">
        <is>
          <t>South</t>
        </is>
      </c>
      <c r="D202" t="inlineStr">
        <is>
          <t>Hyderabad</t>
        </is>
      </c>
      <c r="E202" t="inlineStr">
        <is>
          <t>Small Business</t>
        </is>
      </c>
      <c r="F202" t="inlineStr">
        <is>
          <t>Partner</t>
        </is>
      </c>
      <c r="G202" t="inlineStr">
        <is>
          <t>Furniture</t>
        </is>
      </c>
      <c r="H202" t="inlineStr">
        <is>
          <t>Office Chair</t>
        </is>
      </c>
      <c r="I202" t="n">
        <v>2</v>
      </c>
      <c r="J202" s="12" t="n">
        <v>7092.37</v>
      </c>
      <c r="K202" s="13" t="n">
        <v>0</v>
      </c>
      <c r="L202" s="12" t="n">
        <v>14184.74</v>
      </c>
      <c r="M202" s="12" t="n">
        <v>10213.01</v>
      </c>
      <c r="N202" s="12" t="n">
        <v>3971.73</v>
      </c>
      <c r="O202" t="inlineStr">
        <is>
          <t>UPI</t>
        </is>
      </c>
      <c r="P202" t="inlineStr">
        <is>
          <t>Aarav Sharma</t>
        </is>
      </c>
    </row>
    <row r="203">
      <c r="A203" t="inlineStr">
        <is>
          <t>ORD-2503-0202</t>
        </is>
      </c>
      <c r="B203" s="11" t="n">
        <v>45747</v>
      </c>
      <c r="C203" t="inlineStr">
        <is>
          <t>West</t>
        </is>
      </c>
      <c r="D203" t="inlineStr">
        <is>
          <t>Pune</t>
        </is>
      </c>
      <c r="E203" t="inlineStr">
        <is>
          <t>Small Business</t>
        </is>
      </c>
      <c r="F203" t="inlineStr">
        <is>
          <t>Retail Store</t>
        </is>
      </c>
      <c r="G203" t="inlineStr">
        <is>
          <t>Technology</t>
        </is>
      </c>
      <c r="H203" t="inlineStr">
        <is>
          <t>Laptop</t>
        </is>
      </c>
      <c r="I203" t="n">
        <v>10</v>
      </c>
      <c r="J203" s="12" t="n">
        <v>41968.98</v>
      </c>
      <c r="K203" s="13" t="n">
        <v>0.05</v>
      </c>
      <c r="L203" s="12" t="n">
        <v>398705.31</v>
      </c>
      <c r="M203" s="12" t="n">
        <v>369327.02</v>
      </c>
      <c r="N203" s="12" t="n">
        <v>29378.29</v>
      </c>
      <c r="O203" t="inlineStr">
        <is>
          <t>Credit Card</t>
        </is>
      </c>
      <c r="P203" t="inlineStr">
        <is>
          <t>Aarav Sharma</t>
        </is>
      </c>
    </row>
    <row r="204">
      <c r="A204" t="inlineStr">
        <is>
          <t>ORD-2506-0203</t>
        </is>
      </c>
      <c r="B204" s="11" t="n">
        <v>45810</v>
      </c>
      <c r="C204" t="inlineStr">
        <is>
          <t>Central</t>
        </is>
      </c>
      <c r="D204" t="inlineStr">
        <is>
          <t>Bhopal</t>
        </is>
      </c>
      <c r="E204" t="inlineStr">
        <is>
          <t>Corporate</t>
        </is>
      </c>
      <c r="F204" t="inlineStr">
        <is>
          <t>Online</t>
        </is>
      </c>
      <c r="G204" t="inlineStr">
        <is>
          <t>Furniture</t>
        </is>
      </c>
      <c r="H204" t="inlineStr">
        <is>
          <t>Office Chair</t>
        </is>
      </c>
      <c r="I204" t="n">
        <v>2</v>
      </c>
      <c r="J204" s="12" t="n">
        <v>6847.11</v>
      </c>
      <c r="K204" s="13" t="n">
        <v>0.2</v>
      </c>
      <c r="L204" s="12" t="n">
        <v>10955.38</v>
      </c>
      <c r="M204" s="12" t="n">
        <v>9859.84</v>
      </c>
      <c r="N204" s="12" t="n">
        <v>1095.54</v>
      </c>
      <c r="O204" t="inlineStr">
        <is>
          <t>Cash</t>
        </is>
      </c>
      <c r="P204" t="inlineStr">
        <is>
          <t>Anaya Rao</t>
        </is>
      </c>
    </row>
    <row r="205">
      <c r="A205" t="inlineStr">
        <is>
          <t>ORD-2505-0204</t>
        </is>
      </c>
      <c r="B205" s="11" t="n">
        <v>45797</v>
      </c>
      <c r="C205" t="inlineStr">
        <is>
          <t>South</t>
        </is>
      </c>
      <c r="D205" t="inlineStr">
        <is>
          <t>Bengaluru</t>
        </is>
      </c>
      <c r="E205" t="inlineStr">
        <is>
          <t>Consumer</t>
        </is>
      </c>
      <c r="F205" t="inlineStr">
        <is>
          <t>Online</t>
        </is>
      </c>
      <c r="G205" t="inlineStr">
        <is>
          <t>Furniture</t>
        </is>
      </c>
      <c r="H205" t="inlineStr">
        <is>
          <t>Office Chair</t>
        </is>
      </c>
      <c r="I205" t="n">
        <v>1</v>
      </c>
      <c r="J205" s="12" t="n">
        <v>6535.9</v>
      </c>
      <c r="K205" s="13" t="n">
        <v>0.05</v>
      </c>
      <c r="L205" s="12" t="n">
        <v>6209.1</v>
      </c>
      <c r="M205" s="12" t="n">
        <v>4705.85</v>
      </c>
      <c r="N205" s="12" t="n">
        <v>1503.25</v>
      </c>
      <c r="O205" t="inlineStr">
        <is>
          <t>Net Banking</t>
        </is>
      </c>
      <c r="P205" t="inlineStr">
        <is>
          <t>Rohan Verma</t>
        </is>
      </c>
    </row>
    <row r="206">
      <c r="A206" t="inlineStr">
        <is>
          <t>ORD-2510-0205</t>
        </is>
      </c>
      <c r="B206" s="11" t="n">
        <v>45948</v>
      </c>
      <c r="C206" t="inlineStr">
        <is>
          <t>South</t>
        </is>
      </c>
      <c r="D206" t="inlineStr">
        <is>
          <t>Chennai</t>
        </is>
      </c>
      <c r="E206" t="inlineStr">
        <is>
          <t>Small Business</t>
        </is>
      </c>
      <c r="F206" t="inlineStr">
        <is>
          <t>Retail Store</t>
        </is>
      </c>
      <c r="G206" t="inlineStr">
        <is>
          <t>Office Supplies</t>
        </is>
      </c>
      <c r="H206" t="inlineStr">
        <is>
          <t>Notebook Pack</t>
        </is>
      </c>
      <c r="I206" t="n">
        <v>5</v>
      </c>
      <c r="J206" s="12" t="n">
        <v>368.31</v>
      </c>
      <c r="K206" s="13" t="n">
        <v>0.15</v>
      </c>
      <c r="L206" s="12" t="n">
        <v>1565.32</v>
      </c>
      <c r="M206" s="12" t="n">
        <v>1252.25</v>
      </c>
      <c r="N206" s="12" t="n">
        <v>313.07</v>
      </c>
      <c r="O206" t="inlineStr">
        <is>
          <t>Credit Card</t>
        </is>
      </c>
      <c r="P206" t="inlineStr">
        <is>
          <t>Vivaan Gupta</t>
        </is>
      </c>
    </row>
    <row r="207">
      <c r="A207" t="inlineStr">
        <is>
          <t>ORD-2512-0206</t>
        </is>
      </c>
      <c r="B207" s="11" t="n">
        <v>46000</v>
      </c>
      <c r="C207" t="inlineStr">
        <is>
          <t>North</t>
        </is>
      </c>
      <c r="D207" t="inlineStr">
        <is>
          <t>Jaipur</t>
        </is>
      </c>
      <c r="E207" t="inlineStr">
        <is>
          <t>Corporate</t>
        </is>
      </c>
      <c r="F207" t="inlineStr">
        <is>
          <t>Online</t>
        </is>
      </c>
      <c r="G207" t="inlineStr">
        <is>
          <t>Technology</t>
        </is>
      </c>
      <c r="H207" t="inlineStr">
        <is>
          <t>Keyboard</t>
        </is>
      </c>
      <c r="I207" t="n">
        <v>3</v>
      </c>
      <c r="J207" s="12" t="n">
        <v>1289.53</v>
      </c>
      <c r="K207" s="13" t="n">
        <v>0.15</v>
      </c>
      <c r="L207" s="12" t="n">
        <v>3288.3</v>
      </c>
      <c r="M207" s="12" t="n">
        <v>2901.44</v>
      </c>
      <c r="N207" s="12" t="n">
        <v>386.86</v>
      </c>
      <c r="O207" t="inlineStr">
        <is>
          <t>Debit Card</t>
        </is>
      </c>
      <c r="P207" t="inlineStr">
        <is>
          <t>Rohan Verma</t>
        </is>
      </c>
    </row>
    <row r="208">
      <c r="A208" t="inlineStr">
        <is>
          <t>ORD-2506-0207</t>
        </is>
      </c>
      <c r="B208" s="11" t="n">
        <v>45826</v>
      </c>
      <c r="C208" t="inlineStr">
        <is>
          <t>East</t>
        </is>
      </c>
      <c r="D208" t="inlineStr">
        <is>
          <t>Kolkata</t>
        </is>
      </c>
      <c r="E208" t="inlineStr">
        <is>
          <t>Consumer</t>
        </is>
      </c>
      <c r="F208" t="inlineStr">
        <is>
          <t>Retail Store</t>
        </is>
      </c>
      <c r="G208" t="inlineStr">
        <is>
          <t>Technology</t>
        </is>
      </c>
      <c r="H208" t="inlineStr">
        <is>
          <t>Headphones</t>
        </is>
      </c>
      <c r="I208" t="n">
        <v>4</v>
      </c>
      <c r="J208" s="12" t="n">
        <v>2045.87</v>
      </c>
      <c r="K208" s="13" t="n">
        <v>0.1</v>
      </c>
      <c r="L208" s="12" t="n">
        <v>7365.13</v>
      </c>
      <c r="M208" s="12" t="n">
        <v>6383.11</v>
      </c>
      <c r="N208" s="12" t="n">
        <v>982.02</v>
      </c>
      <c r="O208" t="inlineStr">
        <is>
          <t>Net Banking</t>
        </is>
      </c>
      <c r="P208" t="inlineStr">
        <is>
          <t>Kabir Singh</t>
        </is>
      </c>
    </row>
    <row r="209">
      <c r="A209" t="inlineStr">
        <is>
          <t>ORD-2507-0208</t>
        </is>
      </c>
      <c r="B209" s="11" t="n">
        <v>45865</v>
      </c>
      <c r="C209" t="inlineStr">
        <is>
          <t>Central</t>
        </is>
      </c>
      <c r="D209" t="inlineStr">
        <is>
          <t>Raipur</t>
        </is>
      </c>
      <c r="E209" t="inlineStr">
        <is>
          <t>Small Business</t>
        </is>
      </c>
      <c r="F209" t="inlineStr">
        <is>
          <t>Online</t>
        </is>
      </c>
      <c r="G209" t="inlineStr">
        <is>
          <t>Office Supplies</t>
        </is>
      </c>
      <c r="H209" t="inlineStr">
        <is>
          <t>Paper Ream</t>
        </is>
      </c>
      <c r="I209" t="n">
        <v>1</v>
      </c>
      <c r="J209" s="12" t="n">
        <v>406.23</v>
      </c>
      <c r="K209" s="13" t="n">
        <v>0.15</v>
      </c>
      <c r="L209" s="12" t="n">
        <v>345.3</v>
      </c>
      <c r="M209" s="12" t="n">
        <v>312.8</v>
      </c>
      <c r="N209" s="12" t="n">
        <v>32.5</v>
      </c>
      <c r="O209" t="inlineStr">
        <is>
          <t>UPI</t>
        </is>
      </c>
      <c r="P209" t="inlineStr">
        <is>
          <t>Kabir Singh</t>
        </is>
      </c>
    </row>
    <row r="210">
      <c r="A210" t="inlineStr">
        <is>
          <t>ORD-2509-0209</t>
        </is>
      </c>
      <c r="B210" s="11" t="n">
        <v>45902</v>
      </c>
      <c r="C210" t="inlineStr">
        <is>
          <t>South</t>
        </is>
      </c>
      <c r="D210" t="inlineStr">
        <is>
          <t>Kochi</t>
        </is>
      </c>
      <c r="E210" t="inlineStr">
        <is>
          <t>Corporate</t>
        </is>
      </c>
      <c r="F210" t="inlineStr">
        <is>
          <t>Partner</t>
        </is>
      </c>
      <c r="G210" t="inlineStr">
        <is>
          <t>Office Supplies</t>
        </is>
      </c>
      <c r="H210" t="inlineStr">
        <is>
          <t>Paper Ream</t>
        </is>
      </c>
      <c r="I210" t="n">
        <v>10</v>
      </c>
      <c r="J210" s="12" t="n">
        <v>433.57</v>
      </c>
      <c r="K210" s="13" t="n">
        <v>0.05</v>
      </c>
      <c r="L210" s="12" t="n">
        <v>4118.91</v>
      </c>
      <c r="M210" s="12" t="n">
        <v>3338.49</v>
      </c>
      <c r="N210" s="12" t="n">
        <v>780.42</v>
      </c>
      <c r="O210" t="inlineStr">
        <is>
          <t>UPI</t>
        </is>
      </c>
      <c r="P210" t="inlineStr">
        <is>
          <t>Meera Joshi</t>
        </is>
      </c>
    </row>
    <row r="211">
      <c r="A211" t="inlineStr">
        <is>
          <t>ORD-2512-0210</t>
        </is>
      </c>
      <c r="B211" s="11" t="n">
        <v>46006</v>
      </c>
      <c r="C211" t="inlineStr">
        <is>
          <t>Central</t>
        </is>
      </c>
      <c r="D211" t="inlineStr">
        <is>
          <t>Bhopal</t>
        </is>
      </c>
      <c r="E211" t="inlineStr">
        <is>
          <t>Small Business</t>
        </is>
      </c>
      <c r="F211" t="inlineStr">
        <is>
          <t>Online</t>
        </is>
      </c>
      <c r="G211" t="inlineStr">
        <is>
          <t>Furniture</t>
        </is>
      </c>
      <c r="H211" t="inlineStr">
        <is>
          <t>Storage Cabinet</t>
        </is>
      </c>
      <c r="I211" t="n">
        <v>3</v>
      </c>
      <c r="J211" s="12" t="n">
        <v>8299.219999999999</v>
      </c>
      <c r="K211" s="13" t="n">
        <v>0.1</v>
      </c>
      <c r="L211" s="12" t="n">
        <v>22407.89</v>
      </c>
      <c r="M211" s="12" t="n">
        <v>19918.13</v>
      </c>
      <c r="N211" s="12" t="n">
        <v>2489.76</v>
      </c>
      <c r="O211" t="inlineStr">
        <is>
          <t>Credit Card</t>
        </is>
      </c>
      <c r="P211" t="inlineStr">
        <is>
          <t>Meera Joshi</t>
        </is>
      </c>
    </row>
    <row r="212">
      <c r="A212" t="inlineStr">
        <is>
          <t>ORD-2510-0211</t>
        </is>
      </c>
      <c r="B212" s="11" t="n">
        <v>45951</v>
      </c>
      <c r="C212" t="inlineStr">
        <is>
          <t>Central</t>
        </is>
      </c>
      <c r="D212" t="inlineStr">
        <is>
          <t>Indore</t>
        </is>
      </c>
      <c r="E212" t="inlineStr">
        <is>
          <t>Consumer</t>
        </is>
      </c>
      <c r="F212" t="inlineStr">
        <is>
          <t>Partner</t>
        </is>
      </c>
      <c r="G212" t="inlineStr">
        <is>
          <t>Technology</t>
        </is>
      </c>
      <c r="H212" t="inlineStr">
        <is>
          <t>Keyboard</t>
        </is>
      </c>
      <c r="I212" t="n">
        <v>2</v>
      </c>
      <c r="J212" s="12" t="n">
        <v>1314.04</v>
      </c>
      <c r="K212" s="13" t="n">
        <v>0.1</v>
      </c>
      <c r="L212" s="12" t="n">
        <v>2365.27</v>
      </c>
      <c r="M212" s="12" t="n">
        <v>1971.06</v>
      </c>
      <c r="N212" s="12" t="n">
        <v>394.21</v>
      </c>
      <c r="O212" t="inlineStr">
        <is>
          <t>Cash</t>
        </is>
      </c>
      <c r="P212" t="inlineStr">
        <is>
          <t>Anaya Rao</t>
        </is>
      </c>
    </row>
    <row r="213">
      <c r="A213" t="inlineStr">
        <is>
          <t>ORD-2502-0212</t>
        </is>
      </c>
      <c r="B213" s="11" t="n">
        <v>45704</v>
      </c>
      <c r="C213" t="inlineStr">
        <is>
          <t>Central</t>
        </is>
      </c>
      <c r="D213" t="inlineStr">
        <is>
          <t>Nagpur</t>
        </is>
      </c>
      <c r="E213" t="inlineStr">
        <is>
          <t>Small Business</t>
        </is>
      </c>
      <c r="F213" t="inlineStr">
        <is>
          <t>Online</t>
        </is>
      </c>
      <c r="G213" t="inlineStr">
        <is>
          <t>Office Supplies</t>
        </is>
      </c>
      <c r="H213" t="inlineStr">
        <is>
          <t>File Folder</t>
        </is>
      </c>
      <c r="I213" t="n">
        <v>1</v>
      </c>
      <c r="J213" s="12" t="n">
        <v>88.78</v>
      </c>
      <c r="K213" s="13" t="n">
        <v>0</v>
      </c>
      <c r="L213" s="12" t="n">
        <v>88.78</v>
      </c>
      <c r="M213" s="12" t="n">
        <v>55.04</v>
      </c>
      <c r="N213" s="12" t="n">
        <v>33.74</v>
      </c>
      <c r="O213" t="inlineStr">
        <is>
          <t>Cash</t>
        </is>
      </c>
      <c r="P213" t="inlineStr">
        <is>
          <t>Anaya Rao</t>
        </is>
      </c>
    </row>
    <row r="214">
      <c r="A214" t="inlineStr">
        <is>
          <t>ORD-2512-0213</t>
        </is>
      </c>
      <c r="B214" s="11" t="n">
        <v>46002</v>
      </c>
      <c r="C214" t="inlineStr">
        <is>
          <t>East</t>
        </is>
      </c>
      <c r="D214" t="inlineStr">
        <is>
          <t>Kolkata</t>
        </is>
      </c>
      <c r="E214" t="inlineStr">
        <is>
          <t>Consumer</t>
        </is>
      </c>
      <c r="F214" t="inlineStr">
        <is>
          <t>Online</t>
        </is>
      </c>
      <c r="G214" t="inlineStr">
        <is>
          <t>Furniture</t>
        </is>
      </c>
      <c r="H214" t="inlineStr">
        <is>
          <t>Desk</t>
        </is>
      </c>
      <c r="I214" t="n">
        <v>2</v>
      </c>
      <c r="J214" s="12" t="n">
        <v>10980.94</v>
      </c>
      <c r="K214" s="13" t="n">
        <v>0</v>
      </c>
      <c r="L214" s="12" t="n">
        <v>21961.88</v>
      </c>
      <c r="M214" s="12" t="n">
        <v>16691.03</v>
      </c>
      <c r="N214" s="12" t="n">
        <v>5270.85</v>
      </c>
      <c r="O214" t="inlineStr">
        <is>
          <t>Debit Card</t>
        </is>
      </c>
      <c r="P214" t="inlineStr">
        <is>
          <t>Sara Khan</t>
        </is>
      </c>
    </row>
    <row r="215">
      <c r="A215" t="inlineStr">
        <is>
          <t>ORD-2512-0214</t>
        </is>
      </c>
      <c r="B215" s="11" t="n">
        <v>46016</v>
      </c>
      <c r="C215" t="inlineStr">
        <is>
          <t>North</t>
        </is>
      </c>
      <c r="D215" t="inlineStr">
        <is>
          <t>Delhi</t>
        </is>
      </c>
      <c r="E215" t="inlineStr">
        <is>
          <t>Consumer</t>
        </is>
      </c>
      <c r="F215" t="inlineStr">
        <is>
          <t>Online</t>
        </is>
      </c>
      <c r="G215" t="inlineStr">
        <is>
          <t>Technology</t>
        </is>
      </c>
      <c r="H215" t="inlineStr">
        <is>
          <t>Monitor</t>
        </is>
      </c>
      <c r="I215" t="n">
        <v>10</v>
      </c>
      <c r="J215" s="12" t="n">
        <v>12074.18</v>
      </c>
      <c r="K215" s="13" t="n">
        <v>0.05</v>
      </c>
      <c r="L215" s="12" t="n">
        <v>114704.71</v>
      </c>
      <c r="M215" s="12" t="n">
        <v>99008.28</v>
      </c>
      <c r="N215" s="12" t="n">
        <v>15696.43</v>
      </c>
      <c r="O215" t="inlineStr">
        <is>
          <t>Debit Card</t>
        </is>
      </c>
      <c r="P215" t="inlineStr">
        <is>
          <t>Sara Khan</t>
        </is>
      </c>
    </row>
    <row r="216">
      <c r="A216" t="inlineStr">
        <is>
          <t>ORD-2507-0215</t>
        </is>
      </c>
      <c r="B216" s="11" t="n">
        <v>45853</v>
      </c>
      <c r="C216" t="inlineStr">
        <is>
          <t>West</t>
        </is>
      </c>
      <c r="D216" t="inlineStr">
        <is>
          <t>Surat</t>
        </is>
      </c>
      <c r="E216" t="inlineStr">
        <is>
          <t>Consumer</t>
        </is>
      </c>
      <c r="F216" t="inlineStr">
        <is>
          <t>Partner</t>
        </is>
      </c>
      <c r="G216" t="inlineStr">
        <is>
          <t>Furniture</t>
        </is>
      </c>
      <c r="H216" t="inlineStr">
        <is>
          <t>Desk</t>
        </is>
      </c>
      <c r="I216" t="n">
        <v>1</v>
      </c>
      <c r="J216" s="12" t="n">
        <v>12189.18</v>
      </c>
      <c r="K216" s="13" t="n">
        <v>0.2</v>
      </c>
      <c r="L216" s="12" t="n">
        <v>9751.34</v>
      </c>
      <c r="M216" s="12" t="n">
        <v>9263.780000000001</v>
      </c>
      <c r="N216" s="12" t="n">
        <v>487.56</v>
      </c>
      <c r="O216" t="inlineStr">
        <is>
          <t>Net Banking</t>
        </is>
      </c>
      <c r="P216" t="inlineStr">
        <is>
          <t>Diya Patel</t>
        </is>
      </c>
    </row>
    <row r="217">
      <c r="A217" t="inlineStr">
        <is>
          <t>ORD-2504-0216</t>
        </is>
      </c>
      <c r="B217" s="11" t="n">
        <v>45749</v>
      </c>
      <c r="C217" t="inlineStr">
        <is>
          <t>Central</t>
        </is>
      </c>
      <c r="D217" t="inlineStr">
        <is>
          <t>Nagpur</t>
        </is>
      </c>
      <c r="E217" t="inlineStr">
        <is>
          <t>Consumer</t>
        </is>
      </c>
      <c r="F217" t="inlineStr">
        <is>
          <t>Retail Store</t>
        </is>
      </c>
      <c r="G217" t="inlineStr">
        <is>
          <t>Furniture</t>
        </is>
      </c>
      <c r="H217" t="inlineStr">
        <is>
          <t>Storage Cabinet</t>
        </is>
      </c>
      <c r="I217" t="n">
        <v>1</v>
      </c>
      <c r="J217" s="12" t="n">
        <v>9376.790000000001</v>
      </c>
      <c r="K217" s="13" t="n">
        <v>0.2</v>
      </c>
      <c r="L217" s="12" t="n">
        <v>7501.43</v>
      </c>
      <c r="M217" s="12" t="n">
        <v>7501.43</v>
      </c>
      <c r="N217" s="12" t="n">
        <v>0</v>
      </c>
      <c r="O217" t="inlineStr">
        <is>
          <t>Debit Card</t>
        </is>
      </c>
      <c r="P217" t="inlineStr">
        <is>
          <t>Vivaan Gupta</t>
        </is>
      </c>
    </row>
    <row r="218">
      <c r="A218" t="inlineStr">
        <is>
          <t>ORD-2509-0217</t>
        </is>
      </c>
      <c r="B218" s="11" t="n">
        <v>45930</v>
      </c>
      <c r="C218" t="inlineStr">
        <is>
          <t>West</t>
        </is>
      </c>
      <c r="D218" t="inlineStr">
        <is>
          <t>Pune</t>
        </is>
      </c>
      <c r="E218" t="inlineStr">
        <is>
          <t>Small Business</t>
        </is>
      </c>
      <c r="F218" t="inlineStr">
        <is>
          <t>Online</t>
        </is>
      </c>
      <c r="G218" t="inlineStr">
        <is>
          <t>Technology</t>
        </is>
      </c>
      <c r="H218" t="inlineStr">
        <is>
          <t>Printer</t>
        </is>
      </c>
      <c r="I218" t="n">
        <v>3</v>
      </c>
      <c r="J218" s="12" t="n">
        <v>9026.49</v>
      </c>
      <c r="K218" s="13" t="n">
        <v>0</v>
      </c>
      <c r="L218" s="12" t="n">
        <v>27079.47</v>
      </c>
      <c r="M218" s="12" t="n">
        <v>22746.75</v>
      </c>
      <c r="N218" s="12" t="n">
        <v>4332.72</v>
      </c>
      <c r="O218" t="inlineStr">
        <is>
          <t>Credit Card</t>
        </is>
      </c>
      <c r="P218" t="inlineStr">
        <is>
          <t>Vivaan Gupta</t>
        </is>
      </c>
    </row>
    <row r="219">
      <c r="A219" t="inlineStr">
        <is>
          <t>ORD-2511-0218</t>
        </is>
      </c>
      <c r="B219" s="11" t="n">
        <v>45972</v>
      </c>
      <c r="C219" t="inlineStr">
        <is>
          <t>North</t>
        </is>
      </c>
      <c r="D219" t="inlineStr">
        <is>
          <t>Jaipur</t>
        </is>
      </c>
      <c r="E219" t="inlineStr">
        <is>
          <t>Small Business</t>
        </is>
      </c>
      <c r="F219" t="inlineStr">
        <is>
          <t>Partner</t>
        </is>
      </c>
      <c r="G219" t="inlineStr">
        <is>
          <t>Technology</t>
        </is>
      </c>
      <c r="H219" t="inlineStr">
        <is>
          <t>Printer</t>
        </is>
      </c>
      <c r="I219" t="n">
        <v>1</v>
      </c>
      <c r="J219" s="12" t="n">
        <v>9418.59</v>
      </c>
      <c r="K219" s="13" t="n">
        <v>0.1</v>
      </c>
      <c r="L219" s="12" t="n">
        <v>8476.73</v>
      </c>
      <c r="M219" s="12" t="n">
        <v>7911.62</v>
      </c>
      <c r="N219" s="12" t="n">
        <v>565.11</v>
      </c>
      <c r="O219" t="inlineStr">
        <is>
          <t>Credit Card</t>
        </is>
      </c>
      <c r="P219" t="inlineStr">
        <is>
          <t>Meera Joshi</t>
        </is>
      </c>
    </row>
    <row r="220">
      <c r="A220" t="inlineStr">
        <is>
          <t>ORD-2501-0219</t>
        </is>
      </c>
      <c r="B220" s="11" t="n">
        <v>45680</v>
      </c>
      <c r="C220" t="inlineStr">
        <is>
          <t>West</t>
        </is>
      </c>
      <c r="D220" t="inlineStr">
        <is>
          <t>Surat</t>
        </is>
      </c>
      <c r="E220" t="inlineStr">
        <is>
          <t>Consumer</t>
        </is>
      </c>
      <c r="F220" t="inlineStr">
        <is>
          <t>Partner</t>
        </is>
      </c>
      <c r="G220" t="inlineStr">
        <is>
          <t>Technology</t>
        </is>
      </c>
      <c r="H220" t="inlineStr">
        <is>
          <t>Printer</t>
        </is>
      </c>
      <c r="I220" t="n">
        <v>3</v>
      </c>
      <c r="J220" s="12" t="n">
        <v>9919.620000000001</v>
      </c>
      <c r="K220" s="13" t="n">
        <v>0.1</v>
      </c>
      <c r="L220" s="12" t="n">
        <v>26782.97</v>
      </c>
      <c r="M220" s="12" t="n">
        <v>24997.44</v>
      </c>
      <c r="N220" s="12" t="n">
        <v>1785.53</v>
      </c>
      <c r="O220" t="inlineStr">
        <is>
          <t>Net Banking</t>
        </is>
      </c>
      <c r="P220" t="inlineStr">
        <is>
          <t>Meera Joshi</t>
        </is>
      </c>
    </row>
    <row r="221">
      <c r="A221" t="inlineStr">
        <is>
          <t>ORD-2510-0220</t>
        </is>
      </c>
      <c r="B221" s="11" t="n">
        <v>45952</v>
      </c>
      <c r="C221" t="inlineStr">
        <is>
          <t>East</t>
        </is>
      </c>
      <c r="D221" t="inlineStr">
        <is>
          <t>Bhubaneswar</t>
        </is>
      </c>
      <c r="E221" t="inlineStr">
        <is>
          <t>Consumer</t>
        </is>
      </c>
      <c r="F221" t="inlineStr">
        <is>
          <t>Retail Store</t>
        </is>
      </c>
      <c r="G221" t="inlineStr">
        <is>
          <t>Technology</t>
        </is>
      </c>
      <c r="H221" t="inlineStr">
        <is>
          <t>Printer</t>
        </is>
      </c>
      <c r="I221" t="n">
        <v>2</v>
      </c>
      <c r="J221" s="12" t="n">
        <v>9743.52</v>
      </c>
      <c r="K221" s="13" t="n">
        <v>0</v>
      </c>
      <c r="L221" s="12" t="n">
        <v>19487.04</v>
      </c>
      <c r="M221" s="12" t="n">
        <v>16369.11</v>
      </c>
      <c r="N221" s="12" t="n">
        <v>3117.93</v>
      </c>
      <c r="O221" t="inlineStr">
        <is>
          <t>Net Banking</t>
        </is>
      </c>
      <c r="P221" t="inlineStr">
        <is>
          <t>Rohan Verma</t>
        </is>
      </c>
    </row>
    <row r="222">
      <c r="A222" t="inlineStr">
        <is>
          <t>ORD-2502-0221</t>
        </is>
      </c>
      <c r="B222" s="11" t="n">
        <v>45689</v>
      </c>
      <c r="C222" t="inlineStr">
        <is>
          <t>Central</t>
        </is>
      </c>
      <c r="D222" t="inlineStr">
        <is>
          <t>Indore</t>
        </is>
      </c>
      <c r="E222" t="inlineStr">
        <is>
          <t>Corporate</t>
        </is>
      </c>
      <c r="F222" t="inlineStr">
        <is>
          <t>Partner</t>
        </is>
      </c>
      <c r="G222" t="inlineStr">
        <is>
          <t>Office Supplies</t>
        </is>
      </c>
      <c r="H222" t="inlineStr">
        <is>
          <t>Pens Box</t>
        </is>
      </c>
      <c r="I222" t="n">
        <v>4</v>
      </c>
      <c r="J222" s="12" t="n">
        <v>166.95</v>
      </c>
      <c r="K222" s="13" t="n">
        <v>0.1</v>
      </c>
      <c r="L222" s="12" t="n">
        <v>601.02</v>
      </c>
      <c r="M222" s="12" t="n">
        <v>434.07</v>
      </c>
      <c r="N222" s="12" t="n">
        <v>166.95</v>
      </c>
      <c r="O222" t="inlineStr">
        <is>
          <t>Debit Card</t>
        </is>
      </c>
      <c r="P222" t="inlineStr">
        <is>
          <t>Sara Khan</t>
        </is>
      </c>
    </row>
    <row r="223">
      <c r="A223" t="inlineStr">
        <is>
          <t>ORD-2512-0222</t>
        </is>
      </c>
      <c r="B223" s="11" t="n">
        <v>46014</v>
      </c>
      <c r="C223" t="inlineStr">
        <is>
          <t>West</t>
        </is>
      </c>
      <c r="D223" t="inlineStr">
        <is>
          <t>Surat</t>
        </is>
      </c>
      <c r="E223" t="inlineStr">
        <is>
          <t>Consumer</t>
        </is>
      </c>
      <c r="F223" t="inlineStr">
        <is>
          <t>Online</t>
        </is>
      </c>
      <c r="G223" t="inlineStr">
        <is>
          <t>Technology</t>
        </is>
      </c>
      <c r="H223" t="inlineStr">
        <is>
          <t>Keyboard</t>
        </is>
      </c>
      <c r="I223" t="n">
        <v>2</v>
      </c>
      <c r="J223" s="12" t="n">
        <v>1408.5</v>
      </c>
      <c r="K223" s="13" t="n">
        <v>0</v>
      </c>
      <c r="L223" s="12" t="n">
        <v>2817</v>
      </c>
      <c r="M223" s="12" t="n">
        <v>2112.75</v>
      </c>
      <c r="N223" s="12" t="n">
        <v>704.25</v>
      </c>
      <c r="O223" t="inlineStr">
        <is>
          <t>Net Banking</t>
        </is>
      </c>
      <c r="P223" t="inlineStr">
        <is>
          <t>Kabir Singh</t>
        </is>
      </c>
    </row>
    <row r="224">
      <c r="A224" t="inlineStr">
        <is>
          <t>ORD-2508-0223</t>
        </is>
      </c>
      <c r="B224" s="11" t="n">
        <v>45895</v>
      </c>
      <c r="C224" t="inlineStr">
        <is>
          <t>North</t>
        </is>
      </c>
      <c r="D224" t="inlineStr">
        <is>
          <t>Lucknow</t>
        </is>
      </c>
      <c r="E224" t="inlineStr">
        <is>
          <t>Consumer</t>
        </is>
      </c>
      <c r="F224" t="inlineStr">
        <is>
          <t>Retail Store</t>
        </is>
      </c>
      <c r="G224" t="inlineStr">
        <is>
          <t>Furniture</t>
        </is>
      </c>
      <c r="H224" t="inlineStr">
        <is>
          <t>Desk</t>
        </is>
      </c>
      <c r="I224" t="n">
        <v>3</v>
      </c>
      <c r="J224" s="12" t="n">
        <v>11026.86</v>
      </c>
      <c r="K224" s="13" t="n">
        <v>0</v>
      </c>
      <c r="L224" s="12" t="n">
        <v>33080.58</v>
      </c>
      <c r="M224" s="12" t="n">
        <v>25141.24</v>
      </c>
      <c r="N224" s="12" t="n">
        <v>7939.34</v>
      </c>
      <c r="O224" t="inlineStr">
        <is>
          <t>Credit Card</t>
        </is>
      </c>
      <c r="P224" t="inlineStr">
        <is>
          <t>Anaya Rao</t>
        </is>
      </c>
    </row>
    <row r="225">
      <c r="A225" t="inlineStr">
        <is>
          <t>ORD-2507-0224</t>
        </is>
      </c>
      <c r="B225" s="11" t="n">
        <v>45847</v>
      </c>
      <c r="C225" t="inlineStr">
        <is>
          <t>North</t>
        </is>
      </c>
      <c r="D225" t="inlineStr">
        <is>
          <t>Jaipur</t>
        </is>
      </c>
      <c r="E225" t="inlineStr">
        <is>
          <t>Consumer</t>
        </is>
      </c>
      <c r="F225" t="inlineStr">
        <is>
          <t>Online</t>
        </is>
      </c>
      <c r="G225" t="inlineStr">
        <is>
          <t>Technology</t>
        </is>
      </c>
      <c r="H225" t="inlineStr">
        <is>
          <t>Laptop</t>
        </is>
      </c>
      <c r="I225" t="n">
        <v>2</v>
      </c>
      <c r="J225" s="12" t="n">
        <v>42691.64</v>
      </c>
      <c r="K225" s="13" t="n">
        <v>0.1</v>
      </c>
      <c r="L225" s="12" t="n">
        <v>76844.95</v>
      </c>
      <c r="M225" s="12" t="n">
        <v>75137.28999999999</v>
      </c>
      <c r="N225" s="12" t="n">
        <v>1707.66</v>
      </c>
      <c r="O225" t="inlineStr">
        <is>
          <t>Cash</t>
        </is>
      </c>
      <c r="P225" t="inlineStr">
        <is>
          <t>Meera Joshi</t>
        </is>
      </c>
    </row>
    <row r="226">
      <c r="A226" t="inlineStr">
        <is>
          <t>ORD-2509-0225</t>
        </is>
      </c>
      <c r="B226" s="11" t="n">
        <v>45903</v>
      </c>
      <c r="C226" t="inlineStr">
        <is>
          <t>South</t>
        </is>
      </c>
      <c r="D226" t="inlineStr">
        <is>
          <t>Hyderabad</t>
        </is>
      </c>
      <c r="E226" t="inlineStr">
        <is>
          <t>Small Business</t>
        </is>
      </c>
      <c r="F226" t="inlineStr">
        <is>
          <t>Online</t>
        </is>
      </c>
      <c r="G226" t="inlineStr">
        <is>
          <t>Technology</t>
        </is>
      </c>
      <c r="H226" t="inlineStr">
        <is>
          <t>Headphones</t>
        </is>
      </c>
      <c r="I226" t="n">
        <v>8</v>
      </c>
      <c r="J226" s="12" t="n">
        <v>2353.88</v>
      </c>
      <c r="K226" s="13" t="n">
        <v>0</v>
      </c>
      <c r="L226" s="12" t="n">
        <v>18831.04</v>
      </c>
      <c r="M226" s="12" t="n">
        <v>14688.21</v>
      </c>
      <c r="N226" s="12" t="n">
        <v>4142.83</v>
      </c>
      <c r="O226" t="inlineStr">
        <is>
          <t>Debit Card</t>
        </is>
      </c>
      <c r="P226" t="inlineStr">
        <is>
          <t>Meera Joshi</t>
        </is>
      </c>
    </row>
    <row r="227">
      <c r="A227" t="inlineStr">
        <is>
          <t>ORD-2512-0226</t>
        </is>
      </c>
      <c r="B227" s="11" t="n">
        <v>46014</v>
      </c>
      <c r="C227" t="inlineStr">
        <is>
          <t>Central</t>
        </is>
      </c>
      <c r="D227" t="inlineStr">
        <is>
          <t>Indore</t>
        </is>
      </c>
      <c r="E227" t="inlineStr">
        <is>
          <t>Corporate</t>
        </is>
      </c>
      <c r="F227" t="inlineStr">
        <is>
          <t>Retail Store</t>
        </is>
      </c>
      <c r="G227" t="inlineStr">
        <is>
          <t>Furniture</t>
        </is>
      </c>
      <c r="H227" t="inlineStr">
        <is>
          <t>Desk</t>
        </is>
      </c>
      <c r="I227" t="n">
        <v>6</v>
      </c>
      <c r="J227" s="12" t="n">
        <v>12006.95</v>
      </c>
      <c r="K227" s="13" t="n">
        <v>0.1</v>
      </c>
      <c r="L227" s="12" t="n">
        <v>64837.53</v>
      </c>
      <c r="M227" s="12" t="n">
        <v>54751.69</v>
      </c>
      <c r="N227" s="12" t="n">
        <v>10085.84</v>
      </c>
      <c r="O227" t="inlineStr">
        <is>
          <t>Cash</t>
        </is>
      </c>
      <c r="P227" t="inlineStr">
        <is>
          <t>Sara Khan</t>
        </is>
      </c>
    </row>
    <row r="228">
      <c r="A228" t="inlineStr">
        <is>
          <t>ORD-2506-0227</t>
        </is>
      </c>
      <c r="B228" s="11" t="n">
        <v>45815</v>
      </c>
      <c r="C228" t="inlineStr">
        <is>
          <t>East</t>
        </is>
      </c>
      <c r="D228" t="inlineStr">
        <is>
          <t>Bhubaneswar</t>
        </is>
      </c>
      <c r="E228" t="inlineStr">
        <is>
          <t>Small Business</t>
        </is>
      </c>
      <c r="F228" t="inlineStr">
        <is>
          <t>Retail Store</t>
        </is>
      </c>
      <c r="G228" t="inlineStr">
        <is>
          <t>Furniture</t>
        </is>
      </c>
      <c r="H228" t="inlineStr">
        <is>
          <t>Storage Cabinet</t>
        </is>
      </c>
      <c r="I228" t="n">
        <v>6</v>
      </c>
      <c r="J228" s="12" t="n">
        <v>9331.209999999999</v>
      </c>
      <c r="K228" s="13" t="n">
        <v>0.05</v>
      </c>
      <c r="L228" s="12" t="n">
        <v>53187.9</v>
      </c>
      <c r="M228" s="12" t="n">
        <v>44789.81</v>
      </c>
      <c r="N228" s="12" t="n">
        <v>8398.09</v>
      </c>
      <c r="O228" t="inlineStr">
        <is>
          <t>Net Banking</t>
        </is>
      </c>
      <c r="P228" t="inlineStr">
        <is>
          <t>Meera Joshi</t>
        </is>
      </c>
    </row>
    <row r="229">
      <c r="A229" t="inlineStr">
        <is>
          <t>ORD-2507-0228</t>
        </is>
      </c>
      <c r="B229" s="11" t="n">
        <v>45847</v>
      </c>
      <c r="C229" t="inlineStr">
        <is>
          <t>East</t>
        </is>
      </c>
      <c r="D229" t="inlineStr">
        <is>
          <t>Guwahati</t>
        </is>
      </c>
      <c r="E229" t="inlineStr">
        <is>
          <t>Corporate</t>
        </is>
      </c>
      <c r="F229" t="inlineStr">
        <is>
          <t>Partner</t>
        </is>
      </c>
      <c r="G229" t="inlineStr">
        <is>
          <t>Technology</t>
        </is>
      </c>
      <c r="H229" t="inlineStr">
        <is>
          <t>Laptop</t>
        </is>
      </c>
      <c r="I229" t="n">
        <v>3</v>
      </c>
      <c r="J229" s="12" t="n">
        <v>39620.6</v>
      </c>
      <c r="K229" s="13" t="n">
        <v>0</v>
      </c>
      <c r="L229" s="12" t="n">
        <v>118861.8</v>
      </c>
      <c r="M229" s="12" t="n">
        <v>104598.38</v>
      </c>
      <c r="N229" s="12" t="n">
        <v>14263.42</v>
      </c>
      <c r="O229" t="inlineStr">
        <is>
          <t>Cash</t>
        </is>
      </c>
      <c r="P229" t="inlineStr">
        <is>
          <t>Vivaan Gupta</t>
        </is>
      </c>
    </row>
    <row r="230">
      <c r="A230" t="inlineStr">
        <is>
          <t>ORD-2506-0229</t>
        </is>
      </c>
      <c r="B230" s="11" t="n">
        <v>45809</v>
      </c>
      <c r="C230" t="inlineStr">
        <is>
          <t>South</t>
        </is>
      </c>
      <c r="D230" t="inlineStr">
        <is>
          <t>Chennai</t>
        </is>
      </c>
      <c r="E230" t="inlineStr">
        <is>
          <t>Small Business</t>
        </is>
      </c>
      <c r="F230" t="inlineStr">
        <is>
          <t>Partner</t>
        </is>
      </c>
      <c r="G230" t="inlineStr">
        <is>
          <t>Furniture</t>
        </is>
      </c>
      <c r="H230" t="inlineStr">
        <is>
          <t>Office Chair</t>
        </is>
      </c>
      <c r="I230" t="n">
        <v>2</v>
      </c>
      <c r="J230" s="12" t="n">
        <v>6523.35</v>
      </c>
      <c r="K230" s="13" t="n">
        <v>0.1</v>
      </c>
      <c r="L230" s="12" t="n">
        <v>11742.03</v>
      </c>
      <c r="M230" s="12" t="n">
        <v>9393.620000000001</v>
      </c>
      <c r="N230" s="12" t="n">
        <v>2348.41</v>
      </c>
      <c r="O230" t="inlineStr">
        <is>
          <t>Net Banking</t>
        </is>
      </c>
      <c r="P230" t="inlineStr">
        <is>
          <t>Rohan Verma</t>
        </is>
      </c>
    </row>
    <row r="231">
      <c r="A231" t="inlineStr">
        <is>
          <t>ORD-2509-0230</t>
        </is>
      </c>
      <c r="B231" s="11" t="n">
        <v>45908</v>
      </c>
      <c r="C231" t="inlineStr">
        <is>
          <t>West</t>
        </is>
      </c>
      <c r="D231" t="inlineStr">
        <is>
          <t>Surat</t>
        </is>
      </c>
      <c r="E231" t="inlineStr">
        <is>
          <t>Small Business</t>
        </is>
      </c>
      <c r="F231" t="inlineStr">
        <is>
          <t>Retail Store</t>
        </is>
      </c>
      <c r="G231" t="inlineStr">
        <is>
          <t>Technology</t>
        </is>
      </c>
      <c r="H231" t="inlineStr">
        <is>
          <t>Keyboard</t>
        </is>
      </c>
      <c r="I231" t="n">
        <v>4</v>
      </c>
      <c r="J231" s="12" t="n">
        <v>1319.35</v>
      </c>
      <c r="K231" s="13" t="n">
        <v>0.05</v>
      </c>
      <c r="L231" s="12" t="n">
        <v>5013.53</v>
      </c>
      <c r="M231" s="12" t="n">
        <v>3958.05</v>
      </c>
      <c r="N231" s="12" t="n">
        <v>1055.48</v>
      </c>
      <c r="O231" t="inlineStr">
        <is>
          <t>UPI</t>
        </is>
      </c>
      <c r="P231" t="inlineStr">
        <is>
          <t>Aarav Sharma</t>
        </is>
      </c>
    </row>
    <row r="232">
      <c r="A232" t="inlineStr">
        <is>
          <t>ORD-2509-0231</t>
        </is>
      </c>
      <c r="B232" s="11" t="n">
        <v>45926</v>
      </c>
      <c r="C232" t="inlineStr">
        <is>
          <t>North</t>
        </is>
      </c>
      <c r="D232" t="inlineStr">
        <is>
          <t>Delhi</t>
        </is>
      </c>
      <c r="E232" t="inlineStr">
        <is>
          <t>Small Business</t>
        </is>
      </c>
      <c r="F232" t="inlineStr">
        <is>
          <t>Online</t>
        </is>
      </c>
      <c r="G232" t="inlineStr">
        <is>
          <t>Office Supplies</t>
        </is>
      </c>
      <c r="H232" t="inlineStr">
        <is>
          <t>Stapler</t>
        </is>
      </c>
      <c r="I232" t="n">
        <v>4</v>
      </c>
      <c r="J232" s="12" t="n">
        <v>256.36</v>
      </c>
      <c r="K232" s="13" t="n">
        <v>0.1</v>
      </c>
      <c r="L232" s="12" t="n">
        <v>922.9</v>
      </c>
      <c r="M232" s="12" t="n">
        <v>717.8099999999999</v>
      </c>
      <c r="N232" s="12" t="n">
        <v>205.09</v>
      </c>
      <c r="O232" t="inlineStr">
        <is>
          <t>Credit Card</t>
        </is>
      </c>
      <c r="P232" t="inlineStr">
        <is>
          <t>Kabir Singh</t>
        </is>
      </c>
    </row>
    <row r="233">
      <c r="A233" t="inlineStr">
        <is>
          <t>ORD-2501-0232</t>
        </is>
      </c>
      <c r="B233" s="11" t="n">
        <v>45662</v>
      </c>
      <c r="C233" t="inlineStr">
        <is>
          <t>South</t>
        </is>
      </c>
      <c r="D233" t="inlineStr">
        <is>
          <t>Kochi</t>
        </is>
      </c>
      <c r="E233" t="inlineStr">
        <is>
          <t>Corporate</t>
        </is>
      </c>
      <c r="F233" t="inlineStr">
        <is>
          <t>Partner</t>
        </is>
      </c>
      <c r="G233" t="inlineStr">
        <is>
          <t>Furniture</t>
        </is>
      </c>
      <c r="H233" t="inlineStr">
        <is>
          <t>Office Chair</t>
        </is>
      </c>
      <c r="I233" t="n">
        <v>1</v>
      </c>
      <c r="J233" s="12" t="n">
        <v>7272.09</v>
      </c>
      <c r="K233" s="13" t="n">
        <v>0.1</v>
      </c>
      <c r="L233" s="12" t="n">
        <v>6544.88</v>
      </c>
      <c r="M233" s="12" t="n">
        <v>5235.9</v>
      </c>
      <c r="N233" s="12" t="n">
        <v>1308.98</v>
      </c>
      <c r="O233" t="inlineStr">
        <is>
          <t>Debit Card</t>
        </is>
      </c>
      <c r="P233" t="inlineStr">
        <is>
          <t>Aarav Sharma</t>
        </is>
      </c>
    </row>
    <row r="234">
      <c r="A234" t="inlineStr">
        <is>
          <t>ORD-2501-0233</t>
        </is>
      </c>
      <c r="B234" s="11" t="n">
        <v>45661</v>
      </c>
      <c r="C234" t="inlineStr">
        <is>
          <t>Central</t>
        </is>
      </c>
      <c r="D234" t="inlineStr">
        <is>
          <t>Nagpur</t>
        </is>
      </c>
      <c r="E234" t="inlineStr">
        <is>
          <t>Corporate</t>
        </is>
      </c>
      <c r="F234" t="inlineStr">
        <is>
          <t>Online</t>
        </is>
      </c>
      <c r="G234" t="inlineStr">
        <is>
          <t>Technology</t>
        </is>
      </c>
      <c r="H234" t="inlineStr">
        <is>
          <t>Laptop</t>
        </is>
      </c>
      <c r="I234" t="n">
        <v>1</v>
      </c>
      <c r="J234" s="12" t="n">
        <v>42240.16</v>
      </c>
      <c r="K234" s="13" t="n">
        <v>0.1</v>
      </c>
      <c r="L234" s="12" t="n">
        <v>38016.14</v>
      </c>
      <c r="M234" s="12" t="n">
        <v>37171.34</v>
      </c>
      <c r="N234" s="12" t="n">
        <v>844.8</v>
      </c>
      <c r="O234" t="inlineStr">
        <is>
          <t>Cash</t>
        </is>
      </c>
      <c r="P234" t="inlineStr">
        <is>
          <t>Vivaan Gupta</t>
        </is>
      </c>
    </row>
    <row r="235">
      <c r="A235" t="inlineStr">
        <is>
          <t>ORD-2504-0234</t>
        </is>
      </c>
      <c r="B235" s="11" t="n">
        <v>45749</v>
      </c>
      <c r="C235" t="inlineStr">
        <is>
          <t>North</t>
        </is>
      </c>
      <c r="D235" t="inlineStr">
        <is>
          <t>Delhi</t>
        </is>
      </c>
      <c r="E235" t="inlineStr">
        <is>
          <t>Corporate</t>
        </is>
      </c>
      <c r="F235" t="inlineStr">
        <is>
          <t>Retail Store</t>
        </is>
      </c>
      <c r="G235" t="inlineStr">
        <is>
          <t>Furniture</t>
        </is>
      </c>
      <c r="H235" t="inlineStr">
        <is>
          <t>Storage Cabinet</t>
        </is>
      </c>
      <c r="I235" t="n">
        <v>1</v>
      </c>
      <c r="J235" s="12" t="n">
        <v>8937.67</v>
      </c>
      <c r="K235" s="13" t="n">
        <v>0</v>
      </c>
      <c r="L235" s="12" t="n">
        <v>8937.67</v>
      </c>
      <c r="M235" s="12" t="n">
        <v>7150.14</v>
      </c>
      <c r="N235" s="12" t="n">
        <v>1787.53</v>
      </c>
      <c r="O235" t="inlineStr">
        <is>
          <t>Debit Card</t>
        </is>
      </c>
      <c r="P235" t="inlineStr">
        <is>
          <t>Diya Patel</t>
        </is>
      </c>
    </row>
    <row r="236">
      <c r="A236" t="inlineStr">
        <is>
          <t>ORD-2507-0235</t>
        </is>
      </c>
      <c r="B236" s="11" t="n">
        <v>45849</v>
      </c>
      <c r="C236" t="inlineStr">
        <is>
          <t>West</t>
        </is>
      </c>
      <c r="D236" t="inlineStr">
        <is>
          <t>Surat</t>
        </is>
      </c>
      <c r="E236" t="inlineStr">
        <is>
          <t>Consumer</t>
        </is>
      </c>
      <c r="F236" t="inlineStr">
        <is>
          <t>Partner</t>
        </is>
      </c>
      <c r="G236" t="inlineStr">
        <is>
          <t>Office Supplies</t>
        </is>
      </c>
      <c r="H236" t="inlineStr">
        <is>
          <t>Notebook Pack</t>
        </is>
      </c>
      <c r="I236" t="n">
        <v>2</v>
      </c>
      <c r="J236" s="12" t="n">
        <v>338.8</v>
      </c>
      <c r="K236" s="13" t="n">
        <v>0.1</v>
      </c>
      <c r="L236" s="12" t="n">
        <v>609.84</v>
      </c>
      <c r="M236" s="12" t="n">
        <v>460.77</v>
      </c>
      <c r="N236" s="12" t="n">
        <v>149.07</v>
      </c>
      <c r="O236" t="inlineStr">
        <is>
          <t>Credit Card</t>
        </is>
      </c>
      <c r="P236" t="inlineStr">
        <is>
          <t>Diya Patel</t>
        </is>
      </c>
    </row>
    <row r="237">
      <c r="A237" t="inlineStr">
        <is>
          <t>ORD-2507-0236</t>
        </is>
      </c>
      <c r="B237" s="11" t="n">
        <v>45865</v>
      </c>
      <c r="C237" t="inlineStr">
        <is>
          <t>West</t>
        </is>
      </c>
      <c r="D237" t="inlineStr">
        <is>
          <t>Surat</t>
        </is>
      </c>
      <c r="E237" t="inlineStr">
        <is>
          <t>Consumer</t>
        </is>
      </c>
      <c r="F237" t="inlineStr">
        <is>
          <t>Retail Store</t>
        </is>
      </c>
      <c r="G237" t="inlineStr">
        <is>
          <t>Furniture</t>
        </is>
      </c>
      <c r="H237" t="inlineStr">
        <is>
          <t>Storage Cabinet</t>
        </is>
      </c>
      <c r="I237" t="n">
        <v>3</v>
      </c>
      <c r="J237" s="12" t="n">
        <v>9188.85</v>
      </c>
      <c r="K237" s="13" t="n">
        <v>0.1</v>
      </c>
      <c r="L237" s="12" t="n">
        <v>24809.9</v>
      </c>
      <c r="M237" s="12" t="n">
        <v>22053.24</v>
      </c>
      <c r="N237" s="12" t="n">
        <v>2756.66</v>
      </c>
      <c r="O237" t="inlineStr">
        <is>
          <t>Debit Card</t>
        </is>
      </c>
      <c r="P237" t="inlineStr">
        <is>
          <t>Sara Khan</t>
        </is>
      </c>
    </row>
    <row r="238">
      <c r="A238" t="inlineStr">
        <is>
          <t>ORD-2510-0237</t>
        </is>
      </c>
      <c r="B238" s="11" t="n">
        <v>45947</v>
      </c>
      <c r="C238" t="inlineStr">
        <is>
          <t>North</t>
        </is>
      </c>
      <c r="D238" t="inlineStr">
        <is>
          <t>Delhi</t>
        </is>
      </c>
      <c r="E238" t="inlineStr">
        <is>
          <t>Corporate</t>
        </is>
      </c>
      <c r="F238" t="inlineStr">
        <is>
          <t>Retail Store</t>
        </is>
      </c>
      <c r="G238" t="inlineStr">
        <is>
          <t>Technology</t>
        </is>
      </c>
      <c r="H238" t="inlineStr">
        <is>
          <t>Printer</t>
        </is>
      </c>
      <c r="I238" t="n">
        <v>2</v>
      </c>
      <c r="J238" s="12" t="n">
        <v>10089.08</v>
      </c>
      <c r="K238" s="13" t="n">
        <v>0.15</v>
      </c>
      <c r="L238" s="12" t="n">
        <v>17151.44</v>
      </c>
      <c r="M238" s="12" t="n">
        <v>16949.65</v>
      </c>
      <c r="N238" s="12" t="n">
        <v>201.79</v>
      </c>
      <c r="O238" t="inlineStr">
        <is>
          <t>Credit Card</t>
        </is>
      </c>
      <c r="P238" t="inlineStr">
        <is>
          <t>Diya Patel</t>
        </is>
      </c>
    </row>
    <row r="239">
      <c r="A239" t="inlineStr">
        <is>
          <t>ORD-2512-0238</t>
        </is>
      </c>
      <c r="B239" s="11" t="n">
        <v>46008</v>
      </c>
      <c r="C239" t="inlineStr">
        <is>
          <t>East</t>
        </is>
      </c>
      <c r="D239" t="inlineStr">
        <is>
          <t>Kolkata</t>
        </is>
      </c>
      <c r="E239" t="inlineStr">
        <is>
          <t>Small Business</t>
        </is>
      </c>
      <c r="F239" t="inlineStr">
        <is>
          <t>Online</t>
        </is>
      </c>
      <c r="G239" t="inlineStr">
        <is>
          <t>Technology</t>
        </is>
      </c>
      <c r="H239" t="inlineStr">
        <is>
          <t>Keyboard</t>
        </is>
      </c>
      <c r="I239" t="n">
        <v>6</v>
      </c>
      <c r="J239" s="12" t="n">
        <v>1503.37</v>
      </c>
      <c r="K239" s="13" t="n">
        <v>0.05</v>
      </c>
      <c r="L239" s="12" t="n">
        <v>8569.209999999999</v>
      </c>
      <c r="M239" s="12" t="n">
        <v>6765.16</v>
      </c>
      <c r="N239" s="12" t="n">
        <v>1804.05</v>
      </c>
      <c r="O239" t="inlineStr">
        <is>
          <t>Debit Card</t>
        </is>
      </c>
      <c r="P239" t="inlineStr">
        <is>
          <t>Diya Patel</t>
        </is>
      </c>
    </row>
    <row r="240">
      <c r="A240" t="inlineStr">
        <is>
          <t>ORD-2506-0239</t>
        </is>
      </c>
      <c r="B240" s="11" t="n">
        <v>45811</v>
      </c>
      <c r="C240" t="inlineStr">
        <is>
          <t>South</t>
        </is>
      </c>
      <c r="D240" t="inlineStr">
        <is>
          <t>Chennai</t>
        </is>
      </c>
      <c r="E240" t="inlineStr">
        <is>
          <t>Corporate</t>
        </is>
      </c>
      <c r="F240" t="inlineStr">
        <is>
          <t>Retail Store</t>
        </is>
      </c>
      <c r="G240" t="inlineStr">
        <is>
          <t>Office Supplies</t>
        </is>
      </c>
      <c r="H240" t="inlineStr">
        <is>
          <t>Notebook Pack</t>
        </is>
      </c>
      <c r="I240" t="n">
        <v>5</v>
      </c>
      <c r="J240" s="12" t="n">
        <v>372.21</v>
      </c>
      <c r="K240" s="13" t="n">
        <v>0.05</v>
      </c>
      <c r="L240" s="12" t="n">
        <v>1768</v>
      </c>
      <c r="M240" s="12" t="n">
        <v>1265.51</v>
      </c>
      <c r="N240" s="12" t="n">
        <v>502.49</v>
      </c>
      <c r="O240" t="inlineStr">
        <is>
          <t>UPI</t>
        </is>
      </c>
      <c r="P240" t="inlineStr">
        <is>
          <t>Diya Patel</t>
        </is>
      </c>
    </row>
    <row r="241">
      <c r="A241" t="inlineStr">
        <is>
          <t>ORD-2509-0240</t>
        </is>
      </c>
      <c r="B241" s="11" t="n">
        <v>45914</v>
      </c>
      <c r="C241" t="inlineStr">
        <is>
          <t>East</t>
        </is>
      </c>
      <c r="D241" t="inlineStr">
        <is>
          <t>Kolkata</t>
        </is>
      </c>
      <c r="E241" t="inlineStr">
        <is>
          <t>Small Business</t>
        </is>
      </c>
      <c r="F241" t="inlineStr">
        <is>
          <t>Partner</t>
        </is>
      </c>
      <c r="G241" t="inlineStr">
        <is>
          <t>Technology</t>
        </is>
      </c>
      <c r="H241" t="inlineStr">
        <is>
          <t>Monitor</t>
        </is>
      </c>
      <c r="I241" t="n">
        <v>2</v>
      </c>
      <c r="J241" s="12" t="n">
        <v>12181.19</v>
      </c>
      <c r="K241" s="13" t="n">
        <v>0.15</v>
      </c>
      <c r="L241" s="12" t="n">
        <v>20708.02</v>
      </c>
      <c r="M241" s="12" t="n">
        <v>19977.15</v>
      </c>
      <c r="N241" s="12" t="n">
        <v>730.87</v>
      </c>
      <c r="O241" t="inlineStr">
        <is>
          <t>Debit Card</t>
        </is>
      </c>
      <c r="P241" t="inlineStr">
        <is>
          <t>Sara Khan</t>
        </is>
      </c>
    </row>
    <row r="242">
      <c r="A242" t="inlineStr">
        <is>
          <t>ORD-2501-0241</t>
        </is>
      </c>
      <c r="B242" s="11" t="n">
        <v>45673</v>
      </c>
      <c r="C242" t="inlineStr">
        <is>
          <t>East</t>
        </is>
      </c>
      <c r="D242" t="inlineStr">
        <is>
          <t>Guwahati</t>
        </is>
      </c>
      <c r="E242" t="inlineStr">
        <is>
          <t>Consumer</t>
        </is>
      </c>
      <c r="F242" t="inlineStr">
        <is>
          <t>Partner</t>
        </is>
      </c>
      <c r="G242" t="inlineStr">
        <is>
          <t>Furniture</t>
        </is>
      </c>
      <c r="H242" t="inlineStr">
        <is>
          <t>Bookshelf</t>
        </is>
      </c>
      <c r="I242" t="n">
        <v>2</v>
      </c>
      <c r="J242" s="12" t="n">
        <v>5096.36</v>
      </c>
      <c r="K242" s="13" t="n">
        <v>0.1</v>
      </c>
      <c r="L242" s="12" t="n">
        <v>9173.450000000001</v>
      </c>
      <c r="M242" s="12" t="n">
        <v>7542.61</v>
      </c>
      <c r="N242" s="12" t="n">
        <v>1630.84</v>
      </c>
      <c r="O242" t="inlineStr">
        <is>
          <t>Cash</t>
        </is>
      </c>
      <c r="P242" t="inlineStr">
        <is>
          <t>Vivaan Gupta</t>
        </is>
      </c>
    </row>
    <row r="243">
      <c r="A243" t="inlineStr">
        <is>
          <t>ORD-2502-0242</t>
        </is>
      </c>
      <c r="B243" s="11" t="n">
        <v>45701</v>
      </c>
      <c r="C243" t="inlineStr">
        <is>
          <t>Central</t>
        </is>
      </c>
      <c r="D243" t="inlineStr">
        <is>
          <t>Raipur</t>
        </is>
      </c>
      <c r="E243" t="inlineStr">
        <is>
          <t>Corporate</t>
        </is>
      </c>
      <c r="F243" t="inlineStr">
        <is>
          <t>Partner</t>
        </is>
      </c>
      <c r="G243" t="inlineStr">
        <is>
          <t>Office Supplies</t>
        </is>
      </c>
      <c r="H243" t="inlineStr">
        <is>
          <t>File Folder</t>
        </is>
      </c>
      <c r="I243" t="n">
        <v>2</v>
      </c>
      <c r="J243" s="12" t="n">
        <v>86.66</v>
      </c>
      <c r="K243" s="13" t="n">
        <v>0</v>
      </c>
      <c r="L243" s="12" t="n">
        <v>173.32</v>
      </c>
      <c r="M243" s="12" t="n">
        <v>107.46</v>
      </c>
      <c r="N243" s="12" t="n">
        <v>65.86</v>
      </c>
      <c r="O243" t="inlineStr">
        <is>
          <t>UPI</t>
        </is>
      </c>
      <c r="P243" t="inlineStr">
        <is>
          <t>Vivaan Gupta</t>
        </is>
      </c>
    </row>
    <row r="244">
      <c r="A244" t="inlineStr">
        <is>
          <t>ORD-2506-0243</t>
        </is>
      </c>
      <c r="B244" s="11" t="n">
        <v>45820</v>
      </c>
      <c r="C244" t="inlineStr">
        <is>
          <t>East</t>
        </is>
      </c>
      <c r="D244" t="inlineStr">
        <is>
          <t>Kolkata</t>
        </is>
      </c>
      <c r="E244" t="inlineStr">
        <is>
          <t>Corporate</t>
        </is>
      </c>
      <c r="F244" t="inlineStr">
        <is>
          <t>Online</t>
        </is>
      </c>
      <c r="G244" t="inlineStr">
        <is>
          <t>Technology</t>
        </is>
      </c>
      <c r="H244" t="inlineStr">
        <is>
          <t>Monitor</t>
        </is>
      </c>
      <c r="I244" t="n">
        <v>1</v>
      </c>
      <c r="J244" s="12" t="n">
        <v>12219.83</v>
      </c>
      <c r="K244" s="13" t="n">
        <v>0.05</v>
      </c>
      <c r="L244" s="12" t="n">
        <v>11608.84</v>
      </c>
      <c r="M244" s="12" t="n">
        <v>10020.26</v>
      </c>
      <c r="N244" s="12" t="n">
        <v>1588.58</v>
      </c>
      <c r="O244" t="inlineStr">
        <is>
          <t>UPI</t>
        </is>
      </c>
      <c r="P244" t="inlineStr">
        <is>
          <t>Diya Patel</t>
        </is>
      </c>
    </row>
    <row r="245">
      <c r="A245" t="inlineStr">
        <is>
          <t>ORD-2504-0244</t>
        </is>
      </c>
      <c r="B245" s="11" t="n">
        <v>45753</v>
      </c>
      <c r="C245" t="inlineStr">
        <is>
          <t>West</t>
        </is>
      </c>
      <c r="D245" t="inlineStr">
        <is>
          <t>Surat</t>
        </is>
      </c>
      <c r="E245" t="inlineStr">
        <is>
          <t>Corporate</t>
        </is>
      </c>
      <c r="F245" t="inlineStr">
        <is>
          <t>Partner</t>
        </is>
      </c>
      <c r="G245" t="inlineStr">
        <is>
          <t>Furniture</t>
        </is>
      </c>
      <c r="H245" t="inlineStr">
        <is>
          <t>Storage Cabinet</t>
        </is>
      </c>
      <c r="I245" t="n">
        <v>3</v>
      </c>
      <c r="J245" s="12" t="n">
        <v>8225.4</v>
      </c>
      <c r="K245" s="13" t="n">
        <v>0.05</v>
      </c>
      <c r="L245" s="12" t="n">
        <v>23442.39</v>
      </c>
      <c r="M245" s="12" t="n">
        <v>19740.96</v>
      </c>
      <c r="N245" s="12" t="n">
        <v>3701.43</v>
      </c>
      <c r="O245" t="inlineStr">
        <is>
          <t>Credit Card</t>
        </is>
      </c>
      <c r="P245" t="inlineStr">
        <is>
          <t>Sara Khan</t>
        </is>
      </c>
    </row>
    <row r="246">
      <c r="A246" t="inlineStr">
        <is>
          <t>ORD-2507-0245</t>
        </is>
      </c>
      <c r="B246" s="11" t="n">
        <v>45855</v>
      </c>
      <c r="C246" t="inlineStr">
        <is>
          <t>North</t>
        </is>
      </c>
      <c r="D246" t="inlineStr">
        <is>
          <t>Chandigarh</t>
        </is>
      </c>
      <c r="E246" t="inlineStr">
        <is>
          <t>Consumer</t>
        </is>
      </c>
      <c r="F246" t="inlineStr">
        <is>
          <t>Partner</t>
        </is>
      </c>
      <c r="G246" t="inlineStr">
        <is>
          <t>Furniture</t>
        </is>
      </c>
      <c r="H246" t="inlineStr">
        <is>
          <t>Desk</t>
        </is>
      </c>
      <c r="I246" t="n">
        <v>2</v>
      </c>
      <c r="J246" s="12" t="n">
        <v>12238.09</v>
      </c>
      <c r="K246" s="13" t="n">
        <v>0</v>
      </c>
      <c r="L246" s="12" t="n">
        <v>24476.18</v>
      </c>
      <c r="M246" s="12" t="n">
        <v>18601.9</v>
      </c>
      <c r="N246" s="12" t="n">
        <v>5874.28</v>
      </c>
      <c r="O246" t="inlineStr">
        <is>
          <t>Cash</t>
        </is>
      </c>
      <c r="P246" t="inlineStr">
        <is>
          <t>Kabir Singh</t>
        </is>
      </c>
    </row>
    <row r="247">
      <c r="A247" t="inlineStr">
        <is>
          <t>ORD-2512-0246</t>
        </is>
      </c>
      <c r="B247" s="11" t="n">
        <v>46008</v>
      </c>
      <c r="C247" t="inlineStr">
        <is>
          <t>West</t>
        </is>
      </c>
      <c r="D247" t="inlineStr">
        <is>
          <t>Pune</t>
        </is>
      </c>
      <c r="E247" t="inlineStr">
        <is>
          <t>Consumer</t>
        </is>
      </c>
      <c r="F247" t="inlineStr">
        <is>
          <t>Retail Store</t>
        </is>
      </c>
      <c r="G247" t="inlineStr">
        <is>
          <t>Technology</t>
        </is>
      </c>
      <c r="H247" t="inlineStr">
        <is>
          <t>Keyboard</t>
        </is>
      </c>
      <c r="I247" t="n">
        <v>2</v>
      </c>
      <c r="J247" s="12" t="n">
        <v>1320.69</v>
      </c>
      <c r="K247" s="13" t="n">
        <v>0</v>
      </c>
      <c r="L247" s="12" t="n">
        <v>2641.38</v>
      </c>
      <c r="M247" s="12" t="n">
        <v>1981.04</v>
      </c>
      <c r="N247" s="12" t="n">
        <v>660.34</v>
      </c>
      <c r="O247" t="inlineStr">
        <is>
          <t>Net Banking</t>
        </is>
      </c>
      <c r="P247" t="inlineStr">
        <is>
          <t>Vivaan Gupta</t>
        </is>
      </c>
    </row>
    <row r="248">
      <c r="A248" t="inlineStr">
        <is>
          <t>ORD-2506-0247</t>
        </is>
      </c>
      <c r="B248" s="11" t="n">
        <v>45811</v>
      </c>
      <c r="C248" t="inlineStr">
        <is>
          <t>West</t>
        </is>
      </c>
      <c r="D248" t="inlineStr">
        <is>
          <t>Mumbai</t>
        </is>
      </c>
      <c r="E248" t="inlineStr">
        <is>
          <t>Small Business</t>
        </is>
      </c>
      <c r="F248" t="inlineStr">
        <is>
          <t>Partner</t>
        </is>
      </c>
      <c r="G248" t="inlineStr">
        <is>
          <t>Furniture</t>
        </is>
      </c>
      <c r="H248" t="inlineStr">
        <is>
          <t>Office Chair</t>
        </is>
      </c>
      <c r="I248" t="n">
        <v>2</v>
      </c>
      <c r="J248" s="12" t="n">
        <v>6936.04</v>
      </c>
      <c r="K248" s="13" t="n">
        <v>0</v>
      </c>
      <c r="L248" s="12" t="n">
        <v>13872.08</v>
      </c>
      <c r="M248" s="12" t="n">
        <v>9987.9</v>
      </c>
      <c r="N248" s="12" t="n">
        <v>3884.18</v>
      </c>
      <c r="O248" t="inlineStr">
        <is>
          <t>UPI</t>
        </is>
      </c>
      <c r="P248" t="inlineStr">
        <is>
          <t>Anaya Rao</t>
        </is>
      </c>
    </row>
    <row r="249">
      <c r="A249" t="inlineStr">
        <is>
          <t>ORD-2502-0248</t>
        </is>
      </c>
      <c r="B249" s="11" t="n">
        <v>45712</v>
      </c>
      <c r="C249" t="inlineStr">
        <is>
          <t>South</t>
        </is>
      </c>
      <c r="D249" t="inlineStr">
        <is>
          <t>Hyderabad</t>
        </is>
      </c>
      <c r="E249" t="inlineStr">
        <is>
          <t>Corporate</t>
        </is>
      </c>
      <c r="F249" t="inlineStr">
        <is>
          <t>Retail Store</t>
        </is>
      </c>
      <c r="G249" t="inlineStr">
        <is>
          <t>Technology</t>
        </is>
      </c>
      <c r="H249" t="inlineStr">
        <is>
          <t>Laptop</t>
        </is>
      </c>
      <c r="I249" t="n">
        <v>8</v>
      </c>
      <c r="J249" s="12" t="n">
        <v>42807.69</v>
      </c>
      <c r="K249" s="13" t="n">
        <v>0.05</v>
      </c>
      <c r="L249" s="12" t="n">
        <v>325338.44</v>
      </c>
      <c r="M249" s="12" t="n">
        <v>301366.14</v>
      </c>
      <c r="N249" s="12" t="n">
        <v>23972.3</v>
      </c>
      <c r="O249" t="inlineStr">
        <is>
          <t>Net Banking</t>
        </is>
      </c>
      <c r="P249" t="inlineStr">
        <is>
          <t>Vivaan Gupta</t>
        </is>
      </c>
    </row>
    <row r="250">
      <c r="A250" t="inlineStr">
        <is>
          <t>ORD-2511-0249</t>
        </is>
      </c>
      <c r="B250" s="11" t="n">
        <v>45991</v>
      </c>
      <c r="C250" t="inlineStr">
        <is>
          <t>Central</t>
        </is>
      </c>
      <c r="D250" t="inlineStr">
        <is>
          <t>Indore</t>
        </is>
      </c>
      <c r="E250" t="inlineStr">
        <is>
          <t>Corporate</t>
        </is>
      </c>
      <c r="F250" t="inlineStr">
        <is>
          <t>Online</t>
        </is>
      </c>
      <c r="G250" t="inlineStr">
        <is>
          <t>Technology</t>
        </is>
      </c>
      <c r="H250" t="inlineStr">
        <is>
          <t>Headphones</t>
        </is>
      </c>
      <c r="I250" t="n">
        <v>2</v>
      </c>
      <c r="J250" s="12" t="n">
        <v>2094.7</v>
      </c>
      <c r="K250" s="13" t="n">
        <v>0.2</v>
      </c>
      <c r="L250" s="12" t="n">
        <v>3351.52</v>
      </c>
      <c r="M250" s="12" t="n">
        <v>3267.73</v>
      </c>
      <c r="N250" s="12" t="n">
        <v>83.79000000000001</v>
      </c>
      <c r="O250" t="inlineStr">
        <is>
          <t>Debit Card</t>
        </is>
      </c>
      <c r="P250" t="inlineStr">
        <is>
          <t>Sara Khan</t>
        </is>
      </c>
    </row>
    <row r="251">
      <c r="A251" t="inlineStr">
        <is>
          <t>ORD-2505-0250</t>
        </is>
      </c>
      <c r="B251" s="11" t="n">
        <v>45807</v>
      </c>
      <c r="C251" t="inlineStr">
        <is>
          <t>West</t>
        </is>
      </c>
      <c r="D251" t="inlineStr">
        <is>
          <t>Pune</t>
        </is>
      </c>
      <c r="E251" t="inlineStr">
        <is>
          <t>Consumer</t>
        </is>
      </c>
      <c r="F251" t="inlineStr">
        <is>
          <t>Partner</t>
        </is>
      </c>
      <c r="G251" t="inlineStr">
        <is>
          <t>Furniture</t>
        </is>
      </c>
      <c r="H251" t="inlineStr">
        <is>
          <t>Office Chair</t>
        </is>
      </c>
      <c r="I251" t="n">
        <v>2</v>
      </c>
      <c r="J251" s="12" t="n">
        <v>6683.51</v>
      </c>
      <c r="K251" s="13" t="n">
        <v>0.15</v>
      </c>
      <c r="L251" s="12" t="n">
        <v>11361.97</v>
      </c>
      <c r="M251" s="12" t="n">
        <v>9624.25</v>
      </c>
      <c r="N251" s="12" t="n">
        <v>1737.72</v>
      </c>
      <c r="O251" t="inlineStr">
        <is>
          <t>UPI</t>
        </is>
      </c>
      <c r="P251" t="inlineStr">
        <is>
          <t>Kabir Singh</t>
        </is>
      </c>
    </row>
    <row r="252">
      <c r="A252" t="inlineStr">
        <is>
          <t>ORD-2512-0251</t>
        </is>
      </c>
      <c r="B252" s="11" t="n">
        <v>46007</v>
      </c>
      <c r="C252" t="inlineStr">
        <is>
          <t>Central</t>
        </is>
      </c>
      <c r="D252" t="inlineStr">
        <is>
          <t>Bhopal</t>
        </is>
      </c>
      <c r="E252" t="inlineStr">
        <is>
          <t>Corporate</t>
        </is>
      </c>
      <c r="F252" t="inlineStr">
        <is>
          <t>Partner</t>
        </is>
      </c>
      <c r="G252" t="inlineStr">
        <is>
          <t>Office Supplies</t>
        </is>
      </c>
      <c r="H252" t="inlineStr">
        <is>
          <t>Paper Ream</t>
        </is>
      </c>
      <c r="I252" t="n">
        <v>3</v>
      </c>
      <c r="J252" s="12" t="n">
        <v>415.86</v>
      </c>
      <c r="K252" s="13" t="n">
        <v>0.1</v>
      </c>
      <c r="L252" s="12" t="n">
        <v>1122.82</v>
      </c>
      <c r="M252" s="12" t="n">
        <v>960.64</v>
      </c>
      <c r="N252" s="12" t="n">
        <v>162.18</v>
      </c>
      <c r="O252" t="inlineStr">
        <is>
          <t>Credit Card</t>
        </is>
      </c>
      <c r="P252" t="inlineStr">
        <is>
          <t>Vivaan Gupta</t>
        </is>
      </c>
    </row>
    <row r="253">
      <c r="A253" t="inlineStr">
        <is>
          <t>ORD-2512-0252</t>
        </is>
      </c>
      <c r="B253" s="11" t="n">
        <v>46002</v>
      </c>
      <c r="C253" t="inlineStr">
        <is>
          <t>West</t>
        </is>
      </c>
      <c r="D253" t="inlineStr">
        <is>
          <t>Pune</t>
        </is>
      </c>
      <c r="E253" t="inlineStr">
        <is>
          <t>Corporate</t>
        </is>
      </c>
      <c r="F253" t="inlineStr">
        <is>
          <t>Retail Store</t>
        </is>
      </c>
      <c r="G253" t="inlineStr">
        <is>
          <t>Office Supplies</t>
        </is>
      </c>
      <c r="H253" t="inlineStr">
        <is>
          <t>Pens Box</t>
        </is>
      </c>
      <c r="I253" t="n">
        <v>2</v>
      </c>
      <c r="J253" s="12" t="n">
        <v>170.04</v>
      </c>
      <c r="K253" s="13" t="n">
        <v>0</v>
      </c>
      <c r="L253" s="12" t="n">
        <v>340.08</v>
      </c>
      <c r="M253" s="12" t="n">
        <v>221.05</v>
      </c>
      <c r="N253" s="12" t="n">
        <v>119.03</v>
      </c>
      <c r="O253" t="inlineStr">
        <is>
          <t>Credit Card</t>
        </is>
      </c>
      <c r="P253" t="inlineStr">
        <is>
          <t>Anaya Rao</t>
        </is>
      </c>
    </row>
    <row r="254">
      <c r="A254" t="inlineStr">
        <is>
          <t>ORD-2511-0253</t>
        </is>
      </c>
      <c r="B254" s="11" t="n">
        <v>45964</v>
      </c>
      <c r="C254" t="inlineStr">
        <is>
          <t>West</t>
        </is>
      </c>
      <c r="D254" t="inlineStr">
        <is>
          <t>Surat</t>
        </is>
      </c>
      <c r="E254" t="inlineStr">
        <is>
          <t>Small Business</t>
        </is>
      </c>
      <c r="F254" t="inlineStr">
        <is>
          <t>Online</t>
        </is>
      </c>
      <c r="G254" t="inlineStr">
        <is>
          <t>Furniture</t>
        </is>
      </c>
      <c r="H254" t="inlineStr">
        <is>
          <t>Storage Cabinet</t>
        </is>
      </c>
      <c r="I254" t="n">
        <v>3</v>
      </c>
      <c r="J254" s="12" t="n">
        <v>9172.99</v>
      </c>
      <c r="K254" s="13" t="n">
        <v>0.15</v>
      </c>
      <c r="L254" s="12" t="n">
        <v>23391.12</v>
      </c>
      <c r="M254" s="12" t="n">
        <v>22015.18</v>
      </c>
      <c r="N254" s="12" t="n">
        <v>1375.94</v>
      </c>
      <c r="O254" t="inlineStr">
        <is>
          <t>Net Banking</t>
        </is>
      </c>
      <c r="P254" t="inlineStr">
        <is>
          <t>Diya Patel</t>
        </is>
      </c>
    </row>
    <row r="255">
      <c r="A255" t="inlineStr">
        <is>
          <t>ORD-2502-0254</t>
        </is>
      </c>
      <c r="B255" s="11" t="n">
        <v>45713</v>
      </c>
      <c r="C255" t="inlineStr">
        <is>
          <t>South</t>
        </is>
      </c>
      <c r="D255" t="inlineStr">
        <is>
          <t>Hyderabad</t>
        </is>
      </c>
      <c r="E255" t="inlineStr">
        <is>
          <t>Small Business</t>
        </is>
      </c>
      <c r="F255" t="inlineStr">
        <is>
          <t>Partner</t>
        </is>
      </c>
      <c r="G255" t="inlineStr">
        <is>
          <t>Technology</t>
        </is>
      </c>
      <c r="H255" t="inlineStr">
        <is>
          <t>Keyboard</t>
        </is>
      </c>
      <c r="I255" t="n">
        <v>4</v>
      </c>
      <c r="J255" s="12" t="n">
        <v>1508.33</v>
      </c>
      <c r="K255" s="13" t="n">
        <v>0</v>
      </c>
      <c r="L255" s="12" t="n">
        <v>6033.32</v>
      </c>
      <c r="M255" s="12" t="n">
        <v>4524.99</v>
      </c>
      <c r="N255" s="12" t="n">
        <v>1508.33</v>
      </c>
      <c r="O255" t="inlineStr">
        <is>
          <t>Debit Card</t>
        </is>
      </c>
      <c r="P255" t="inlineStr">
        <is>
          <t>Sara Khan</t>
        </is>
      </c>
    </row>
    <row r="256">
      <c r="A256" t="inlineStr">
        <is>
          <t>ORD-2508-0255</t>
        </is>
      </c>
      <c r="B256" s="11" t="n">
        <v>45878</v>
      </c>
      <c r="C256" t="inlineStr">
        <is>
          <t>North</t>
        </is>
      </c>
      <c r="D256" t="inlineStr">
        <is>
          <t>Delhi</t>
        </is>
      </c>
      <c r="E256" t="inlineStr">
        <is>
          <t>Small Business</t>
        </is>
      </c>
      <c r="F256" t="inlineStr">
        <is>
          <t>Partner</t>
        </is>
      </c>
      <c r="G256" t="inlineStr">
        <is>
          <t>Technology</t>
        </is>
      </c>
      <c r="H256" t="inlineStr">
        <is>
          <t>Monitor</t>
        </is>
      </c>
      <c r="I256" t="n">
        <v>2</v>
      </c>
      <c r="J256" s="12" t="n">
        <v>12537.6</v>
      </c>
      <c r="K256" s="13" t="n">
        <v>0.1</v>
      </c>
      <c r="L256" s="12" t="n">
        <v>22567.68</v>
      </c>
      <c r="M256" s="12" t="n">
        <v>20561.66</v>
      </c>
      <c r="N256" s="12" t="n">
        <v>2006.02</v>
      </c>
      <c r="O256" t="inlineStr">
        <is>
          <t>Cash</t>
        </is>
      </c>
      <c r="P256" t="inlineStr">
        <is>
          <t>Meera Joshi</t>
        </is>
      </c>
    </row>
    <row r="257">
      <c r="A257" t="inlineStr">
        <is>
          <t>ORD-2508-0256</t>
        </is>
      </c>
      <c r="B257" s="11" t="n">
        <v>45886</v>
      </c>
      <c r="C257" t="inlineStr">
        <is>
          <t>East</t>
        </is>
      </c>
      <c r="D257" t="inlineStr">
        <is>
          <t>Guwahati</t>
        </is>
      </c>
      <c r="E257" t="inlineStr">
        <is>
          <t>Corporate</t>
        </is>
      </c>
      <c r="F257" t="inlineStr">
        <is>
          <t>Online</t>
        </is>
      </c>
      <c r="G257" t="inlineStr">
        <is>
          <t>Furniture</t>
        </is>
      </c>
      <c r="H257" t="inlineStr">
        <is>
          <t>Bookshelf</t>
        </is>
      </c>
      <c r="I257" t="n">
        <v>4</v>
      </c>
      <c r="J257" s="12" t="n">
        <v>5200.39</v>
      </c>
      <c r="K257" s="13" t="n">
        <v>0.1</v>
      </c>
      <c r="L257" s="12" t="n">
        <v>18721.4</v>
      </c>
      <c r="M257" s="12" t="n">
        <v>15393.15</v>
      </c>
      <c r="N257" s="12" t="n">
        <v>3328.25</v>
      </c>
      <c r="O257" t="inlineStr">
        <is>
          <t>Debit Card</t>
        </is>
      </c>
      <c r="P257" t="inlineStr">
        <is>
          <t>Diya Patel</t>
        </is>
      </c>
    </row>
    <row r="258">
      <c r="A258" t="inlineStr">
        <is>
          <t>ORD-2506-0257</t>
        </is>
      </c>
      <c r="B258" s="11" t="n">
        <v>45809</v>
      </c>
      <c r="C258" t="inlineStr">
        <is>
          <t>West</t>
        </is>
      </c>
      <c r="D258" t="inlineStr">
        <is>
          <t>Mumbai</t>
        </is>
      </c>
      <c r="E258" t="inlineStr">
        <is>
          <t>Corporate</t>
        </is>
      </c>
      <c r="F258" t="inlineStr">
        <is>
          <t>Retail Store</t>
        </is>
      </c>
      <c r="G258" t="inlineStr">
        <is>
          <t>Technology</t>
        </is>
      </c>
      <c r="H258" t="inlineStr">
        <is>
          <t>Monitor</t>
        </is>
      </c>
      <c r="I258" t="n">
        <v>5</v>
      </c>
      <c r="J258" s="12" t="n">
        <v>12196.66</v>
      </c>
      <c r="K258" s="13" t="n">
        <v>0.1</v>
      </c>
      <c r="L258" s="12" t="n">
        <v>54884.97</v>
      </c>
      <c r="M258" s="12" t="n">
        <v>50006.31</v>
      </c>
      <c r="N258" s="12" t="n">
        <v>4878.66</v>
      </c>
      <c r="O258" t="inlineStr">
        <is>
          <t>UPI</t>
        </is>
      </c>
      <c r="P258" t="inlineStr">
        <is>
          <t>Anaya Rao</t>
        </is>
      </c>
    </row>
    <row r="259">
      <c r="A259" t="inlineStr">
        <is>
          <t>ORD-2506-0258</t>
        </is>
      </c>
      <c r="B259" s="11" t="n">
        <v>45836</v>
      </c>
      <c r="C259" t="inlineStr">
        <is>
          <t>West</t>
        </is>
      </c>
      <c r="D259" t="inlineStr">
        <is>
          <t>Mumbai</t>
        </is>
      </c>
      <c r="E259" t="inlineStr">
        <is>
          <t>Consumer</t>
        </is>
      </c>
      <c r="F259" t="inlineStr">
        <is>
          <t>Partner</t>
        </is>
      </c>
      <c r="G259" t="inlineStr">
        <is>
          <t>Furniture</t>
        </is>
      </c>
      <c r="H259" t="inlineStr">
        <is>
          <t>Bookshelf</t>
        </is>
      </c>
      <c r="I259" t="n">
        <v>4</v>
      </c>
      <c r="J259" s="12" t="n">
        <v>4839.89</v>
      </c>
      <c r="K259" s="13" t="n">
        <v>0.05</v>
      </c>
      <c r="L259" s="12" t="n">
        <v>18391.58</v>
      </c>
      <c r="M259" s="12" t="n">
        <v>14326.07</v>
      </c>
      <c r="N259" s="12" t="n">
        <v>4065.51</v>
      </c>
      <c r="O259" t="inlineStr">
        <is>
          <t>Credit Card</t>
        </is>
      </c>
      <c r="P259" t="inlineStr">
        <is>
          <t>Aarav Sharma</t>
        </is>
      </c>
    </row>
    <row r="260">
      <c r="A260" t="inlineStr">
        <is>
          <t>ORD-2506-0259</t>
        </is>
      </c>
      <c r="B260" s="11" t="n">
        <v>45833</v>
      </c>
      <c r="C260" t="inlineStr">
        <is>
          <t>North</t>
        </is>
      </c>
      <c r="D260" t="inlineStr">
        <is>
          <t>Jaipur</t>
        </is>
      </c>
      <c r="E260" t="inlineStr">
        <is>
          <t>Small Business</t>
        </is>
      </c>
      <c r="F260" t="inlineStr">
        <is>
          <t>Retail Store</t>
        </is>
      </c>
      <c r="G260" t="inlineStr">
        <is>
          <t>Office Supplies</t>
        </is>
      </c>
      <c r="H260" t="inlineStr">
        <is>
          <t>Paper Ream</t>
        </is>
      </c>
      <c r="I260" t="n">
        <v>2</v>
      </c>
      <c r="J260" s="12" t="n">
        <v>397.16</v>
      </c>
      <c r="K260" s="13" t="n">
        <v>0</v>
      </c>
      <c r="L260" s="12" t="n">
        <v>794.3200000000001</v>
      </c>
      <c r="M260" s="12" t="n">
        <v>611.63</v>
      </c>
      <c r="N260" s="12" t="n">
        <v>182.69</v>
      </c>
      <c r="O260" t="inlineStr">
        <is>
          <t>Debit Card</t>
        </is>
      </c>
      <c r="P260" t="inlineStr">
        <is>
          <t>Meera Joshi</t>
        </is>
      </c>
    </row>
    <row r="261">
      <c r="A261" t="inlineStr">
        <is>
          <t>ORD-2507-0260</t>
        </is>
      </c>
      <c r="B261" s="11" t="n">
        <v>45865</v>
      </c>
      <c r="C261" t="inlineStr">
        <is>
          <t>South</t>
        </is>
      </c>
      <c r="D261" t="inlineStr">
        <is>
          <t>Chennai</t>
        </is>
      </c>
      <c r="E261" t="inlineStr">
        <is>
          <t>Consumer</t>
        </is>
      </c>
      <c r="F261" t="inlineStr">
        <is>
          <t>Retail Store</t>
        </is>
      </c>
      <c r="G261" t="inlineStr">
        <is>
          <t>Office Supplies</t>
        </is>
      </c>
      <c r="H261" t="inlineStr">
        <is>
          <t>Pens Box</t>
        </is>
      </c>
      <c r="I261" t="n">
        <v>4</v>
      </c>
      <c r="J261" s="12" t="n">
        <v>186.84</v>
      </c>
      <c r="K261" s="13" t="n">
        <v>0.05</v>
      </c>
      <c r="L261" s="12" t="n">
        <v>709.99</v>
      </c>
      <c r="M261" s="12" t="n">
        <v>485.78</v>
      </c>
      <c r="N261" s="12" t="n">
        <v>224.21</v>
      </c>
      <c r="O261" t="inlineStr">
        <is>
          <t>Cash</t>
        </is>
      </c>
      <c r="P261" t="inlineStr">
        <is>
          <t>Vivaan Gupta</t>
        </is>
      </c>
    </row>
    <row r="262">
      <c r="A262" t="inlineStr">
        <is>
          <t>ORD-2507-0261</t>
        </is>
      </c>
      <c r="B262" s="11" t="n">
        <v>45857</v>
      </c>
      <c r="C262" t="inlineStr">
        <is>
          <t>North</t>
        </is>
      </c>
      <c r="D262" t="inlineStr">
        <is>
          <t>Jaipur</t>
        </is>
      </c>
      <c r="E262" t="inlineStr">
        <is>
          <t>Small Business</t>
        </is>
      </c>
      <c r="F262" t="inlineStr">
        <is>
          <t>Online</t>
        </is>
      </c>
      <c r="G262" t="inlineStr">
        <is>
          <t>Technology</t>
        </is>
      </c>
      <c r="H262" t="inlineStr">
        <is>
          <t>Printer</t>
        </is>
      </c>
      <c r="I262" t="n">
        <v>2</v>
      </c>
      <c r="J262" s="12" t="n">
        <v>9949.93</v>
      </c>
      <c r="K262" s="13" t="n">
        <v>0.1</v>
      </c>
      <c r="L262" s="12" t="n">
        <v>17909.87</v>
      </c>
      <c r="M262" s="12" t="n">
        <v>16715.88</v>
      </c>
      <c r="N262" s="12" t="n">
        <v>1193.99</v>
      </c>
      <c r="O262" t="inlineStr">
        <is>
          <t>Cash</t>
        </is>
      </c>
      <c r="P262" t="inlineStr">
        <is>
          <t>Kabir Singh</t>
        </is>
      </c>
    </row>
    <row r="263">
      <c r="A263" t="inlineStr">
        <is>
          <t>ORD-2507-0262</t>
        </is>
      </c>
      <c r="B263" s="11" t="n">
        <v>45845</v>
      </c>
      <c r="C263" t="inlineStr">
        <is>
          <t>East</t>
        </is>
      </c>
      <c r="D263" t="inlineStr">
        <is>
          <t>Patna</t>
        </is>
      </c>
      <c r="E263" t="inlineStr">
        <is>
          <t>Small Business</t>
        </is>
      </c>
      <c r="F263" t="inlineStr">
        <is>
          <t>Retail Store</t>
        </is>
      </c>
      <c r="G263" t="inlineStr">
        <is>
          <t>Furniture</t>
        </is>
      </c>
      <c r="H263" t="inlineStr">
        <is>
          <t>Bookshelf</t>
        </is>
      </c>
      <c r="I263" t="n">
        <v>1</v>
      </c>
      <c r="J263" s="12" t="n">
        <v>5191.25</v>
      </c>
      <c r="K263" s="13" t="n">
        <v>0.1</v>
      </c>
      <c r="L263" s="12" t="n">
        <v>4672.12</v>
      </c>
      <c r="M263" s="12" t="n">
        <v>3841.53</v>
      </c>
      <c r="N263" s="12" t="n">
        <v>830.59</v>
      </c>
      <c r="O263" t="inlineStr">
        <is>
          <t>Cash</t>
        </is>
      </c>
      <c r="P263" t="inlineStr">
        <is>
          <t>Vivaan Gupta</t>
        </is>
      </c>
    </row>
    <row r="264">
      <c r="A264" t="inlineStr">
        <is>
          <t>ORD-2511-0263</t>
        </is>
      </c>
      <c r="B264" s="11" t="n">
        <v>45970</v>
      </c>
      <c r="C264" t="inlineStr">
        <is>
          <t>West</t>
        </is>
      </c>
      <c r="D264" t="inlineStr">
        <is>
          <t>Mumbai</t>
        </is>
      </c>
      <c r="E264" t="inlineStr">
        <is>
          <t>Small Business</t>
        </is>
      </c>
      <c r="F264" t="inlineStr">
        <is>
          <t>Partner</t>
        </is>
      </c>
      <c r="G264" t="inlineStr">
        <is>
          <t>Furniture</t>
        </is>
      </c>
      <c r="H264" t="inlineStr">
        <is>
          <t>Office Chair</t>
        </is>
      </c>
      <c r="I264" t="n">
        <v>2</v>
      </c>
      <c r="J264" s="12" t="n">
        <v>6443.71</v>
      </c>
      <c r="K264" s="13" t="n">
        <v>0.05</v>
      </c>
      <c r="L264" s="12" t="n">
        <v>12243.05</v>
      </c>
      <c r="M264" s="12" t="n">
        <v>9278.940000000001</v>
      </c>
      <c r="N264" s="12" t="n">
        <v>2964.11</v>
      </c>
      <c r="O264" t="inlineStr">
        <is>
          <t>Net Banking</t>
        </is>
      </c>
      <c r="P264" t="inlineStr">
        <is>
          <t>Diya Patel</t>
        </is>
      </c>
    </row>
    <row r="265">
      <c r="A265" t="inlineStr">
        <is>
          <t>ORD-2512-0264</t>
        </is>
      </c>
      <c r="B265" s="11" t="n">
        <v>46002</v>
      </c>
      <c r="C265" t="inlineStr">
        <is>
          <t>South</t>
        </is>
      </c>
      <c r="D265" t="inlineStr">
        <is>
          <t>Hyderabad</t>
        </is>
      </c>
      <c r="E265" t="inlineStr">
        <is>
          <t>Consumer</t>
        </is>
      </c>
      <c r="F265" t="inlineStr">
        <is>
          <t>Partner</t>
        </is>
      </c>
      <c r="G265" t="inlineStr">
        <is>
          <t>Technology</t>
        </is>
      </c>
      <c r="H265" t="inlineStr">
        <is>
          <t>Monitor</t>
        </is>
      </c>
      <c r="I265" t="n">
        <v>2</v>
      </c>
      <c r="J265" s="12" t="n">
        <v>12246.61</v>
      </c>
      <c r="K265" s="13" t="n">
        <v>0</v>
      </c>
      <c r="L265" s="12" t="n">
        <v>24493.22</v>
      </c>
      <c r="M265" s="12" t="n">
        <v>20084.44</v>
      </c>
      <c r="N265" s="12" t="n">
        <v>4408.78</v>
      </c>
      <c r="O265" t="inlineStr">
        <is>
          <t>Debit Card</t>
        </is>
      </c>
      <c r="P265" t="inlineStr">
        <is>
          <t>Vivaan Gupta</t>
        </is>
      </c>
    </row>
    <row r="266">
      <c r="A266" t="inlineStr">
        <is>
          <t>ORD-2511-0265</t>
        </is>
      </c>
      <c r="B266" s="11" t="n">
        <v>45963</v>
      </c>
      <c r="C266" t="inlineStr">
        <is>
          <t>South</t>
        </is>
      </c>
      <c r="D266" t="inlineStr">
        <is>
          <t>Kochi</t>
        </is>
      </c>
      <c r="E266" t="inlineStr">
        <is>
          <t>Small Business</t>
        </is>
      </c>
      <c r="F266" t="inlineStr">
        <is>
          <t>Online</t>
        </is>
      </c>
      <c r="G266" t="inlineStr">
        <is>
          <t>Furniture</t>
        </is>
      </c>
      <c r="H266" t="inlineStr">
        <is>
          <t>Desk</t>
        </is>
      </c>
      <c r="I266" t="n">
        <v>1</v>
      </c>
      <c r="J266" s="12" t="n">
        <v>11855.92</v>
      </c>
      <c r="K266" s="13" t="n">
        <v>0.1</v>
      </c>
      <c r="L266" s="12" t="n">
        <v>10670.33</v>
      </c>
      <c r="M266" s="12" t="n">
        <v>9010.5</v>
      </c>
      <c r="N266" s="12" t="n">
        <v>1659.83</v>
      </c>
      <c r="O266" t="inlineStr">
        <is>
          <t>Cash</t>
        </is>
      </c>
      <c r="P266" t="inlineStr">
        <is>
          <t>Kabir Singh</t>
        </is>
      </c>
    </row>
    <row r="267">
      <c r="A267" t="inlineStr">
        <is>
          <t>ORD-2509-0266</t>
        </is>
      </c>
      <c r="B267" s="11" t="n">
        <v>45908</v>
      </c>
      <c r="C267" t="inlineStr">
        <is>
          <t>East</t>
        </is>
      </c>
      <c r="D267" t="inlineStr">
        <is>
          <t>Patna</t>
        </is>
      </c>
      <c r="E267" t="inlineStr">
        <is>
          <t>Corporate</t>
        </is>
      </c>
      <c r="F267" t="inlineStr">
        <is>
          <t>Online</t>
        </is>
      </c>
      <c r="G267" t="inlineStr">
        <is>
          <t>Technology</t>
        </is>
      </c>
      <c r="H267" t="inlineStr">
        <is>
          <t>Keyboard</t>
        </is>
      </c>
      <c r="I267" t="n">
        <v>2</v>
      </c>
      <c r="J267" s="12" t="n">
        <v>1300.01</v>
      </c>
      <c r="K267" s="13" t="n">
        <v>0.05</v>
      </c>
      <c r="L267" s="12" t="n">
        <v>2470.02</v>
      </c>
      <c r="M267" s="12" t="n">
        <v>1950.01</v>
      </c>
      <c r="N267" s="12" t="n">
        <v>520.01</v>
      </c>
      <c r="O267" t="inlineStr">
        <is>
          <t>Debit Card</t>
        </is>
      </c>
      <c r="P267" t="inlineStr">
        <is>
          <t>Kabir Singh</t>
        </is>
      </c>
    </row>
    <row r="268">
      <c r="A268" t="inlineStr">
        <is>
          <t>ORD-2504-0267</t>
        </is>
      </c>
      <c r="B268" s="11" t="n">
        <v>45757</v>
      </c>
      <c r="C268" t="inlineStr">
        <is>
          <t>West</t>
        </is>
      </c>
      <c r="D268" t="inlineStr">
        <is>
          <t>Surat</t>
        </is>
      </c>
      <c r="E268" t="inlineStr">
        <is>
          <t>Corporate</t>
        </is>
      </c>
      <c r="F268" t="inlineStr">
        <is>
          <t>Online</t>
        </is>
      </c>
      <c r="G268" t="inlineStr">
        <is>
          <t>Furniture</t>
        </is>
      </c>
      <c r="H268" t="inlineStr">
        <is>
          <t>Desk</t>
        </is>
      </c>
      <c r="I268" t="n">
        <v>4</v>
      </c>
      <c r="J268" s="12" t="n">
        <v>12125.4</v>
      </c>
      <c r="K268" s="13" t="n">
        <v>0.05</v>
      </c>
      <c r="L268" s="12" t="n">
        <v>46076.52</v>
      </c>
      <c r="M268" s="12" t="n">
        <v>36861.22</v>
      </c>
      <c r="N268" s="12" t="n">
        <v>9215.299999999999</v>
      </c>
      <c r="O268" t="inlineStr">
        <is>
          <t>Credit Card</t>
        </is>
      </c>
      <c r="P268" t="inlineStr">
        <is>
          <t>Aarav Sharma</t>
        </is>
      </c>
    </row>
    <row r="269">
      <c r="A269" t="inlineStr">
        <is>
          <t>ORD-2504-0268</t>
        </is>
      </c>
      <c r="B269" s="11" t="n">
        <v>45770</v>
      </c>
      <c r="C269" t="inlineStr">
        <is>
          <t>East</t>
        </is>
      </c>
      <c r="D269" t="inlineStr">
        <is>
          <t>Kolkata</t>
        </is>
      </c>
      <c r="E269" t="inlineStr">
        <is>
          <t>Small Business</t>
        </is>
      </c>
      <c r="F269" t="inlineStr">
        <is>
          <t>Partner</t>
        </is>
      </c>
      <c r="G269" t="inlineStr">
        <is>
          <t>Technology</t>
        </is>
      </c>
      <c r="H269" t="inlineStr">
        <is>
          <t>Headphones</t>
        </is>
      </c>
      <c r="I269" t="n">
        <v>2</v>
      </c>
      <c r="J269" s="12" t="n">
        <v>2298.82</v>
      </c>
      <c r="K269" s="13" t="n">
        <v>0.05</v>
      </c>
      <c r="L269" s="12" t="n">
        <v>4367.76</v>
      </c>
      <c r="M269" s="12" t="n">
        <v>3586.16</v>
      </c>
      <c r="N269" s="12" t="n">
        <v>781.6</v>
      </c>
      <c r="O269" t="inlineStr">
        <is>
          <t>Debit Card</t>
        </is>
      </c>
      <c r="P269" t="inlineStr">
        <is>
          <t>Diya Patel</t>
        </is>
      </c>
    </row>
    <row r="270">
      <c r="A270" t="inlineStr">
        <is>
          <t>ORD-2510-0269</t>
        </is>
      </c>
      <c r="B270" s="11" t="n">
        <v>45951</v>
      </c>
      <c r="C270" t="inlineStr">
        <is>
          <t>North</t>
        </is>
      </c>
      <c r="D270" t="inlineStr">
        <is>
          <t>Chandigarh</t>
        </is>
      </c>
      <c r="E270" t="inlineStr">
        <is>
          <t>Consumer</t>
        </is>
      </c>
      <c r="F270" t="inlineStr">
        <is>
          <t>Partner</t>
        </is>
      </c>
      <c r="G270" t="inlineStr">
        <is>
          <t>Office Supplies</t>
        </is>
      </c>
      <c r="H270" t="inlineStr">
        <is>
          <t>File Folder</t>
        </is>
      </c>
      <c r="I270" t="n">
        <v>3</v>
      </c>
      <c r="J270" s="12" t="n">
        <v>90.61</v>
      </c>
      <c r="K270" s="13" t="n">
        <v>0.2</v>
      </c>
      <c r="L270" s="12" t="n">
        <v>217.46</v>
      </c>
      <c r="M270" s="12" t="n">
        <v>168.53</v>
      </c>
      <c r="N270" s="12" t="n">
        <v>48.93</v>
      </c>
      <c r="O270" t="inlineStr">
        <is>
          <t>Debit Card</t>
        </is>
      </c>
      <c r="P270" t="inlineStr">
        <is>
          <t>Meera Joshi</t>
        </is>
      </c>
    </row>
    <row r="271">
      <c r="A271" t="inlineStr">
        <is>
          <t>ORD-2508-0270</t>
        </is>
      </c>
      <c r="B271" s="11" t="n">
        <v>45875</v>
      </c>
      <c r="C271" t="inlineStr">
        <is>
          <t>North</t>
        </is>
      </c>
      <c r="D271" t="inlineStr">
        <is>
          <t>Jaipur</t>
        </is>
      </c>
      <c r="E271" t="inlineStr">
        <is>
          <t>Consumer</t>
        </is>
      </c>
      <c r="F271" t="inlineStr">
        <is>
          <t>Retail Store</t>
        </is>
      </c>
      <c r="G271" t="inlineStr">
        <is>
          <t>Technology</t>
        </is>
      </c>
      <c r="H271" t="inlineStr">
        <is>
          <t>Headphones</t>
        </is>
      </c>
      <c r="I271" t="n">
        <v>6</v>
      </c>
      <c r="J271" s="12" t="n">
        <v>2116.51</v>
      </c>
      <c r="K271" s="13" t="n">
        <v>0</v>
      </c>
      <c r="L271" s="12" t="n">
        <v>12699.06</v>
      </c>
      <c r="M271" s="12" t="n">
        <v>9905.27</v>
      </c>
      <c r="N271" s="12" t="n">
        <v>2793.79</v>
      </c>
      <c r="O271" t="inlineStr">
        <is>
          <t>Credit Card</t>
        </is>
      </c>
      <c r="P271" t="inlineStr">
        <is>
          <t>Meera Joshi</t>
        </is>
      </c>
    </row>
    <row r="272">
      <c r="A272" t="inlineStr">
        <is>
          <t>ORD-2504-0271</t>
        </is>
      </c>
      <c r="B272" s="11" t="n">
        <v>45765</v>
      </c>
      <c r="C272" t="inlineStr">
        <is>
          <t>Central</t>
        </is>
      </c>
      <c r="D272" t="inlineStr">
        <is>
          <t>Raipur</t>
        </is>
      </c>
      <c r="E272" t="inlineStr">
        <is>
          <t>Consumer</t>
        </is>
      </c>
      <c r="F272" t="inlineStr">
        <is>
          <t>Online</t>
        </is>
      </c>
      <c r="G272" t="inlineStr">
        <is>
          <t>Office Supplies</t>
        </is>
      </c>
      <c r="H272" t="inlineStr">
        <is>
          <t>Stapler</t>
        </is>
      </c>
      <c r="I272" t="n">
        <v>4</v>
      </c>
      <c r="J272" s="12" t="n">
        <v>246.1</v>
      </c>
      <c r="K272" s="13" t="n">
        <v>0.1</v>
      </c>
      <c r="L272" s="12" t="n">
        <v>885.96</v>
      </c>
      <c r="M272" s="12" t="n">
        <v>689.08</v>
      </c>
      <c r="N272" s="12" t="n">
        <v>196.88</v>
      </c>
      <c r="O272" t="inlineStr">
        <is>
          <t>UPI</t>
        </is>
      </c>
      <c r="P272" t="inlineStr">
        <is>
          <t>Aarav Sharma</t>
        </is>
      </c>
    </row>
    <row r="273">
      <c r="A273" t="inlineStr">
        <is>
          <t>ORD-2510-0272</t>
        </is>
      </c>
      <c r="B273" s="11" t="n">
        <v>45949</v>
      </c>
      <c r="C273" t="inlineStr">
        <is>
          <t>East</t>
        </is>
      </c>
      <c r="D273" t="inlineStr">
        <is>
          <t>Bhubaneswar</t>
        </is>
      </c>
      <c r="E273" t="inlineStr">
        <is>
          <t>Corporate</t>
        </is>
      </c>
      <c r="F273" t="inlineStr">
        <is>
          <t>Partner</t>
        </is>
      </c>
      <c r="G273" t="inlineStr">
        <is>
          <t>Office Supplies</t>
        </is>
      </c>
      <c r="H273" t="inlineStr">
        <is>
          <t>Notebook Pack</t>
        </is>
      </c>
      <c r="I273" t="n">
        <v>3</v>
      </c>
      <c r="J273" s="12" t="n">
        <v>361.43</v>
      </c>
      <c r="K273" s="13" t="n">
        <v>0.05</v>
      </c>
      <c r="L273" s="12" t="n">
        <v>1030.08</v>
      </c>
      <c r="M273" s="12" t="n">
        <v>737.3200000000001</v>
      </c>
      <c r="N273" s="12" t="n">
        <v>292.76</v>
      </c>
      <c r="O273" t="inlineStr">
        <is>
          <t>Net Banking</t>
        </is>
      </c>
      <c r="P273" t="inlineStr">
        <is>
          <t>Diya Patel</t>
        </is>
      </c>
    </row>
    <row r="274">
      <c r="A274" t="inlineStr">
        <is>
          <t>ORD-2503-0273</t>
        </is>
      </c>
      <c r="B274" s="11" t="n">
        <v>45727</v>
      </c>
      <c r="C274" t="inlineStr">
        <is>
          <t>West</t>
        </is>
      </c>
      <c r="D274" t="inlineStr">
        <is>
          <t>Mumbai</t>
        </is>
      </c>
      <c r="E274" t="inlineStr">
        <is>
          <t>Consumer</t>
        </is>
      </c>
      <c r="F274" t="inlineStr">
        <is>
          <t>Online</t>
        </is>
      </c>
      <c r="G274" t="inlineStr">
        <is>
          <t>Technology</t>
        </is>
      </c>
      <c r="H274" t="inlineStr">
        <is>
          <t>Headphones</t>
        </is>
      </c>
      <c r="I274" t="n">
        <v>5</v>
      </c>
      <c r="J274" s="12" t="n">
        <v>2328.86</v>
      </c>
      <c r="K274" s="13" t="n">
        <v>0</v>
      </c>
      <c r="L274" s="12" t="n">
        <v>11644.3</v>
      </c>
      <c r="M274" s="12" t="n">
        <v>9082.549999999999</v>
      </c>
      <c r="N274" s="12" t="n">
        <v>2561.75</v>
      </c>
      <c r="O274" t="inlineStr">
        <is>
          <t>Net Banking</t>
        </is>
      </c>
      <c r="P274" t="inlineStr">
        <is>
          <t>Meera Joshi</t>
        </is>
      </c>
    </row>
    <row r="275">
      <c r="A275" t="inlineStr">
        <is>
          <t>ORD-2512-0274</t>
        </is>
      </c>
      <c r="B275" s="11" t="n">
        <v>46004</v>
      </c>
      <c r="C275" t="inlineStr">
        <is>
          <t>West</t>
        </is>
      </c>
      <c r="D275" t="inlineStr">
        <is>
          <t>Surat</t>
        </is>
      </c>
      <c r="E275" t="inlineStr">
        <is>
          <t>Corporate</t>
        </is>
      </c>
      <c r="F275" t="inlineStr">
        <is>
          <t>Online</t>
        </is>
      </c>
      <c r="G275" t="inlineStr">
        <is>
          <t>Technology</t>
        </is>
      </c>
      <c r="H275" t="inlineStr">
        <is>
          <t>Keyboard</t>
        </is>
      </c>
      <c r="I275" t="n">
        <v>3</v>
      </c>
      <c r="J275" s="12" t="n">
        <v>1380.79</v>
      </c>
      <c r="K275" s="13" t="n">
        <v>0</v>
      </c>
      <c r="L275" s="12" t="n">
        <v>4142.37</v>
      </c>
      <c r="M275" s="12" t="n">
        <v>3106.78</v>
      </c>
      <c r="N275" s="12" t="n">
        <v>1035.59</v>
      </c>
      <c r="O275" t="inlineStr">
        <is>
          <t>Credit Card</t>
        </is>
      </c>
      <c r="P275" t="inlineStr">
        <is>
          <t>Vivaan Gupta</t>
        </is>
      </c>
    </row>
    <row r="276">
      <c r="A276" t="inlineStr">
        <is>
          <t>ORD-2509-0275</t>
        </is>
      </c>
      <c r="B276" s="11" t="n">
        <v>45921</v>
      </c>
      <c r="C276" t="inlineStr">
        <is>
          <t>East</t>
        </is>
      </c>
      <c r="D276" t="inlineStr">
        <is>
          <t>Bhubaneswar</t>
        </is>
      </c>
      <c r="E276" t="inlineStr">
        <is>
          <t>Small Business</t>
        </is>
      </c>
      <c r="F276" t="inlineStr">
        <is>
          <t>Online</t>
        </is>
      </c>
      <c r="G276" t="inlineStr">
        <is>
          <t>Furniture</t>
        </is>
      </c>
      <c r="H276" t="inlineStr">
        <is>
          <t>Bookshelf</t>
        </is>
      </c>
      <c r="I276" t="n">
        <v>8</v>
      </c>
      <c r="J276" s="12" t="n">
        <v>4786.06</v>
      </c>
      <c r="K276" s="13" t="n">
        <v>0.05</v>
      </c>
      <c r="L276" s="12" t="n">
        <v>36374.06</v>
      </c>
      <c r="M276" s="12" t="n">
        <v>28333.48</v>
      </c>
      <c r="N276" s="12" t="n">
        <v>8040.58</v>
      </c>
      <c r="O276" t="inlineStr">
        <is>
          <t>Debit Card</t>
        </is>
      </c>
      <c r="P276" t="inlineStr">
        <is>
          <t>Sara Khan</t>
        </is>
      </c>
    </row>
    <row r="277">
      <c r="A277" t="inlineStr">
        <is>
          <t>ORD-2502-0276</t>
        </is>
      </c>
      <c r="B277" s="11" t="n">
        <v>45690</v>
      </c>
      <c r="C277" t="inlineStr">
        <is>
          <t>Central</t>
        </is>
      </c>
      <c r="D277" t="inlineStr">
        <is>
          <t>Nagpur</t>
        </is>
      </c>
      <c r="E277" t="inlineStr">
        <is>
          <t>Corporate</t>
        </is>
      </c>
      <c r="F277" t="inlineStr">
        <is>
          <t>Retail Store</t>
        </is>
      </c>
      <c r="G277" t="inlineStr">
        <is>
          <t>Technology</t>
        </is>
      </c>
      <c r="H277" t="inlineStr">
        <is>
          <t>Printer</t>
        </is>
      </c>
      <c r="I277" t="n">
        <v>8</v>
      </c>
      <c r="J277" s="12" t="n">
        <v>9491.969999999999</v>
      </c>
      <c r="K277" s="13" t="n">
        <v>0.15</v>
      </c>
      <c r="L277" s="12" t="n">
        <v>64545.4</v>
      </c>
      <c r="M277" s="12" t="n">
        <v>63786.04</v>
      </c>
      <c r="N277" s="12" t="n">
        <v>759.36</v>
      </c>
      <c r="O277" t="inlineStr">
        <is>
          <t>Net Banking</t>
        </is>
      </c>
      <c r="P277" t="inlineStr">
        <is>
          <t>Kabir Singh</t>
        </is>
      </c>
    </row>
    <row r="278">
      <c r="A278" t="inlineStr">
        <is>
          <t>ORD-2510-0277</t>
        </is>
      </c>
      <c r="B278" s="11" t="n">
        <v>45947</v>
      </c>
      <c r="C278" t="inlineStr">
        <is>
          <t>West</t>
        </is>
      </c>
      <c r="D278" t="inlineStr">
        <is>
          <t>Ahmedabad</t>
        </is>
      </c>
      <c r="E278" t="inlineStr">
        <is>
          <t>Corporate</t>
        </is>
      </c>
      <c r="F278" t="inlineStr">
        <is>
          <t>Online</t>
        </is>
      </c>
      <c r="G278" t="inlineStr">
        <is>
          <t>Office Supplies</t>
        </is>
      </c>
      <c r="H278" t="inlineStr">
        <is>
          <t>Pens Box</t>
        </is>
      </c>
      <c r="I278" t="n">
        <v>4</v>
      </c>
      <c r="J278" s="12" t="n">
        <v>183.63</v>
      </c>
      <c r="K278" s="13" t="n">
        <v>0</v>
      </c>
      <c r="L278" s="12" t="n">
        <v>734.52</v>
      </c>
      <c r="M278" s="12" t="n">
        <v>477.44</v>
      </c>
      <c r="N278" s="12" t="n">
        <v>257.08</v>
      </c>
      <c r="O278" t="inlineStr">
        <is>
          <t>Credit Card</t>
        </is>
      </c>
      <c r="P278" t="inlineStr">
        <is>
          <t>Kabir Singh</t>
        </is>
      </c>
    </row>
    <row r="279">
      <c r="A279" t="inlineStr">
        <is>
          <t>ORD-2508-0278</t>
        </is>
      </c>
      <c r="B279" s="11" t="n">
        <v>45883</v>
      </c>
      <c r="C279" t="inlineStr">
        <is>
          <t>West</t>
        </is>
      </c>
      <c r="D279" t="inlineStr">
        <is>
          <t>Mumbai</t>
        </is>
      </c>
      <c r="E279" t="inlineStr">
        <is>
          <t>Small Business</t>
        </is>
      </c>
      <c r="F279" t="inlineStr">
        <is>
          <t>Retail Store</t>
        </is>
      </c>
      <c r="G279" t="inlineStr">
        <is>
          <t>Furniture</t>
        </is>
      </c>
      <c r="H279" t="inlineStr">
        <is>
          <t>Desk</t>
        </is>
      </c>
      <c r="I279" t="n">
        <v>2</v>
      </c>
      <c r="J279" s="12" t="n">
        <v>10822.72</v>
      </c>
      <c r="K279" s="13" t="n">
        <v>0.1</v>
      </c>
      <c r="L279" s="12" t="n">
        <v>19480.9</v>
      </c>
      <c r="M279" s="12" t="n">
        <v>16450.53</v>
      </c>
      <c r="N279" s="12" t="n">
        <v>3030.37</v>
      </c>
      <c r="O279" t="inlineStr">
        <is>
          <t>UPI</t>
        </is>
      </c>
      <c r="P279" t="inlineStr">
        <is>
          <t>Rohan Verma</t>
        </is>
      </c>
    </row>
    <row r="280">
      <c r="A280" t="inlineStr">
        <is>
          <t>ORD-2502-0279</t>
        </is>
      </c>
      <c r="B280" s="11" t="n">
        <v>45705</v>
      </c>
      <c r="C280" t="inlineStr">
        <is>
          <t>East</t>
        </is>
      </c>
      <c r="D280" t="inlineStr">
        <is>
          <t>Bhubaneswar</t>
        </is>
      </c>
      <c r="E280" t="inlineStr">
        <is>
          <t>Corporate</t>
        </is>
      </c>
      <c r="F280" t="inlineStr">
        <is>
          <t>Partner</t>
        </is>
      </c>
      <c r="G280" t="inlineStr">
        <is>
          <t>Technology</t>
        </is>
      </c>
      <c r="H280" t="inlineStr">
        <is>
          <t>Monitor</t>
        </is>
      </c>
      <c r="I280" t="n">
        <v>2</v>
      </c>
      <c r="J280" s="12" t="n">
        <v>11831.05</v>
      </c>
      <c r="K280" s="13" t="n">
        <v>0.15</v>
      </c>
      <c r="L280" s="12" t="n">
        <v>20112.78</v>
      </c>
      <c r="M280" s="12" t="n">
        <v>19402.92</v>
      </c>
      <c r="N280" s="12" t="n">
        <v>709.86</v>
      </c>
      <c r="O280" t="inlineStr">
        <is>
          <t>Net Banking</t>
        </is>
      </c>
      <c r="P280" t="inlineStr">
        <is>
          <t>Meera Joshi</t>
        </is>
      </c>
    </row>
    <row r="281">
      <c r="A281" t="inlineStr">
        <is>
          <t>ORD-2508-0280</t>
        </is>
      </c>
      <c r="B281" s="11" t="n">
        <v>45877</v>
      </c>
      <c r="C281" t="inlineStr">
        <is>
          <t>North</t>
        </is>
      </c>
      <c r="D281" t="inlineStr">
        <is>
          <t>Delhi</t>
        </is>
      </c>
      <c r="E281" t="inlineStr">
        <is>
          <t>Small Business</t>
        </is>
      </c>
      <c r="F281" t="inlineStr">
        <is>
          <t>Partner</t>
        </is>
      </c>
      <c r="G281" t="inlineStr">
        <is>
          <t>Technology</t>
        </is>
      </c>
      <c r="H281" t="inlineStr">
        <is>
          <t>Laptop</t>
        </is>
      </c>
      <c r="I281" t="n">
        <v>2</v>
      </c>
      <c r="J281" s="12" t="n">
        <v>42629.53</v>
      </c>
      <c r="K281" s="13" t="n">
        <v>0</v>
      </c>
      <c r="L281" s="12" t="n">
        <v>85259.06</v>
      </c>
      <c r="M281" s="12" t="n">
        <v>75027.97</v>
      </c>
      <c r="N281" s="12" t="n">
        <v>10231.09</v>
      </c>
      <c r="O281" t="inlineStr">
        <is>
          <t>Debit Card</t>
        </is>
      </c>
      <c r="P281" t="inlineStr">
        <is>
          <t>Aarav Sharma</t>
        </is>
      </c>
    </row>
    <row r="282">
      <c r="A282" t="inlineStr">
        <is>
          <t>ORD-2501-0281</t>
        </is>
      </c>
      <c r="B282" s="11" t="n">
        <v>45662</v>
      </c>
      <c r="C282" t="inlineStr">
        <is>
          <t>East</t>
        </is>
      </c>
      <c r="D282" t="inlineStr">
        <is>
          <t>Kolkata</t>
        </is>
      </c>
      <c r="E282" t="inlineStr">
        <is>
          <t>Corporate</t>
        </is>
      </c>
      <c r="F282" t="inlineStr">
        <is>
          <t>Online</t>
        </is>
      </c>
      <c r="G282" t="inlineStr">
        <is>
          <t>Office Supplies</t>
        </is>
      </c>
      <c r="H282" t="inlineStr">
        <is>
          <t>Stapler</t>
        </is>
      </c>
      <c r="I282" t="n">
        <v>2</v>
      </c>
      <c r="J282" s="12" t="n">
        <v>242.15</v>
      </c>
      <c r="K282" s="13" t="n">
        <v>0</v>
      </c>
      <c r="L282" s="12" t="n">
        <v>484.3</v>
      </c>
      <c r="M282" s="12" t="n">
        <v>339.01</v>
      </c>
      <c r="N282" s="12" t="n">
        <v>145.29</v>
      </c>
      <c r="O282" t="inlineStr">
        <is>
          <t>Credit Card</t>
        </is>
      </c>
      <c r="P282" t="inlineStr">
        <is>
          <t>Diya Patel</t>
        </is>
      </c>
    </row>
    <row r="283">
      <c r="A283" t="inlineStr">
        <is>
          <t>ORD-2506-0282</t>
        </is>
      </c>
      <c r="B283" s="11" t="n">
        <v>45818</v>
      </c>
      <c r="C283" t="inlineStr">
        <is>
          <t>East</t>
        </is>
      </c>
      <c r="D283" t="inlineStr">
        <is>
          <t>Bhubaneswar</t>
        </is>
      </c>
      <c r="E283" t="inlineStr">
        <is>
          <t>Small Business</t>
        </is>
      </c>
      <c r="F283" t="inlineStr">
        <is>
          <t>Partner</t>
        </is>
      </c>
      <c r="G283" t="inlineStr">
        <is>
          <t>Technology</t>
        </is>
      </c>
      <c r="H283" t="inlineStr">
        <is>
          <t>Keyboard</t>
        </is>
      </c>
      <c r="I283" t="n">
        <v>2</v>
      </c>
      <c r="J283" s="12" t="n">
        <v>1483.89</v>
      </c>
      <c r="K283" s="13" t="n">
        <v>0.15</v>
      </c>
      <c r="L283" s="12" t="n">
        <v>2522.61</v>
      </c>
      <c r="M283" s="12" t="n">
        <v>2225.84</v>
      </c>
      <c r="N283" s="12" t="n">
        <v>296.77</v>
      </c>
      <c r="O283" t="inlineStr">
        <is>
          <t>UPI</t>
        </is>
      </c>
      <c r="P283" t="inlineStr">
        <is>
          <t>Diya Patel</t>
        </is>
      </c>
    </row>
    <row r="284">
      <c r="A284" t="inlineStr">
        <is>
          <t>ORD-2509-0283</t>
        </is>
      </c>
      <c r="B284" s="11" t="n">
        <v>45929</v>
      </c>
      <c r="C284" t="inlineStr">
        <is>
          <t>Central</t>
        </is>
      </c>
      <c r="D284" t="inlineStr">
        <is>
          <t>Bhopal</t>
        </is>
      </c>
      <c r="E284" t="inlineStr">
        <is>
          <t>Small Business</t>
        </is>
      </c>
      <c r="F284" t="inlineStr">
        <is>
          <t>Partner</t>
        </is>
      </c>
      <c r="G284" t="inlineStr">
        <is>
          <t>Office Supplies</t>
        </is>
      </c>
      <c r="H284" t="inlineStr">
        <is>
          <t>Notebook Pack</t>
        </is>
      </c>
      <c r="I284" t="n">
        <v>4</v>
      </c>
      <c r="J284" s="12" t="n">
        <v>362.46</v>
      </c>
      <c r="K284" s="13" t="n">
        <v>0.05</v>
      </c>
      <c r="L284" s="12" t="n">
        <v>1377.35</v>
      </c>
      <c r="M284" s="12" t="n">
        <v>985.89</v>
      </c>
      <c r="N284" s="12" t="n">
        <v>391.46</v>
      </c>
      <c r="O284" t="inlineStr">
        <is>
          <t>UPI</t>
        </is>
      </c>
      <c r="P284" t="inlineStr">
        <is>
          <t>Vivaan Gupta</t>
        </is>
      </c>
    </row>
    <row r="285">
      <c r="A285" t="inlineStr">
        <is>
          <t>ORD-2511-0284</t>
        </is>
      </c>
      <c r="B285" s="11" t="n">
        <v>45973</v>
      </c>
      <c r="C285" t="inlineStr">
        <is>
          <t>West</t>
        </is>
      </c>
      <c r="D285" t="inlineStr">
        <is>
          <t>Pune</t>
        </is>
      </c>
      <c r="E285" t="inlineStr">
        <is>
          <t>Small Business</t>
        </is>
      </c>
      <c r="F285" t="inlineStr">
        <is>
          <t>Retail Store</t>
        </is>
      </c>
      <c r="G285" t="inlineStr">
        <is>
          <t>Technology</t>
        </is>
      </c>
      <c r="H285" t="inlineStr">
        <is>
          <t>Monitor</t>
        </is>
      </c>
      <c r="I285" t="n">
        <v>6</v>
      </c>
      <c r="J285" s="12" t="n">
        <v>11746.31</v>
      </c>
      <c r="K285" s="13" t="n">
        <v>0</v>
      </c>
      <c r="L285" s="12" t="n">
        <v>70477.86</v>
      </c>
      <c r="M285" s="12" t="n">
        <v>57791.85</v>
      </c>
      <c r="N285" s="12" t="n">
        <v>12686.01</v>
      </c>
      <c r="O285" t="inlineStr">
        <is>
          <t>Net Banking</t>
        </is>
      </c>
      <c r="P285" t="inlineStr">
        <is>
          <t>Vivaan Gupta</t>
        </is>
      </c>
    </row>
    <row r="286">
      <c r="A286" t="inlineStr">
        <is>
          <t>ORD-2506-0285</t>
        </is>
      </c>
      <c r="B286" s="11" t="n">
        <v>45819</v>
      </c>
      <c r="C286" t="inlineStr">
        <is>
          <t>South</t>
        </is>
      </c>
      <c r="D286" t="inlineStr">
        <is>
          <t>Chennai</t>
        </is>
      </c>
      <c r="E286" t="inlineStr">
        <is>
          <t>Small Business</t>
        </is>
      </c>
      <c r="F286" t="inlineStr">
        <is>
          <t>Partner</t>
        </is>
      </c>
      <c r="G286" t="inlineStr">
        <is>
          <t>Technology</t>
        </is>
      </c>
      <c r="H286" t="inlineStr">
        <is>
          <t>Headphones</t>
        </is>
      </c>
      <c r="I286" t="n">
        <v>4</v>
      </c>
      <c r="J286" s="12" t="n">
        <v>2235.55</v>
      </c>
      <c r="K286" s="13" t="n">
        <v>0</v>
      </c>
      <c r="L286" s="12" t="n">
        <v>8942.200000000001</v>
      </c>
      <c r="M286" s="12" t="n">
        <v>6974.92</v>
      </c>
      <c r="N286" s="12" t="n">
        <v>1967.28</v>
      </c>
      <c r="O286" t="inlineStr">
        <is>
          <t>Net Banking</t>
        </is>
      </c>
      <c r="P286" t="inlineStr">
        <is>
          <t>Aarav Sharma</t>
        </is>
      </c>
    </row>
    <row r="287">
      <c r="A287" t="inlineStr">
        <is>
          <t>ORD-2512-0286</t>
        </is>
      </c>
      <c r="B287" s="11" t="n">
        <v>45995</v>
      </c>
      <c r="C287" t="inlineStr">
        <is>
          <t>East</t>
        </is>
      </c>
      <c r="D287" t="inlineStr">
        <is>
          <t>Patna</t>
        </is>
      </c>
      <c r="E287" t="inlineStr">
        <is>
          <t>Small Business</t>
        </is>
      </c>
      <c r="F287" t="inlineStr">
        <is>
          <t>Online</t>
        </is>
      </c>
      <c r="G287" t="inlineStr">
        <is>
          <t>Furniture</t>
        </is>
      </c>
      <c r="H287" t="inlineStr">
        <is>
          <t>Storage Cabinet</t>
        </is>
      </c>
      <c r="I287" t="n">
        <v>3</v>
      </c>
      <c r="J287" s="12" t="n">
        <v>8745.85</v>
      </c>
      <c r="K287" s="13" t="n">
        <v>0</v>
      </c>
      <c r="L287" s="12" t="n">
        <v>26237.55</v>
      </c>
      <c r="M287" s="12" t="n">
        <v>20990.04</v>
      </c>
      <c r="N287" s="12" t="n">
        <v>5247.51</v>
      </c>
      <c r="O287" t="inlineStr">
        <is>
          <t>UPI</t>
        </is>
      </c>
      <c r="P287" t="inlineStr">
        <is>
          <t>Anaya Rao</t>
        </is>
      </c>
    </row>
    <row r="288">
      <c r="A288" t="inlineStr">
        <is>
          <t>ORD-2507-0287</t>
        </is>
      </c>
      <c r="B288" s="11" t="n">
        <v>45855</v>
      </c>
      <c r="C288" t="inlineStr">
        <is>
          <t>North</t>
        </is>
      </c>
      <c r="D288" t="inlineStr">
        <is>
          <t>Jaipur</t>
        </is>
      </c>
      <c r="E288" t="inlineStr">
        <is>
          <t>Consumer</t>
        </is>
      </c>
      <c r="F288" t="inlineStr">
        <is>
          <t>Retail Store</t>
        </is>
      </c>
      <c r="G288" t="inlineStr">
        <is>
          <t>Furniture</t>
        </is>
      </c>
      <c r="H288" t="inlineStr">
        <is>
          <t>Bookshelf</t>
        </is>
      </c>
      <c r="I288" t="n">
        <v>3</v>
      </c>
      <c r="J288" s="12" t="n">
        <v>5523.42</v>
      </c>
      <c r="K288" s="13" t="n">
        <v>0</v>
      </c>
      <c r="L288" s="12" t="n">
        <v>16570.26</v>
      </c>
      <c r="M288" s="12" t="n">
        <v>12261.99</v>
      </c>
      <c r="N288" s="12" t="n">
        <v>4308.27</v>
      </c>
      <c r="O288" t="inlineStr">
        <is>
          <t>Net Banking</t>
        </is>
      </c>
      <c r="P288" t="inlineStr">
        <is>
          <t>Kabir Singh</t>
        </is>
      </c>
    </row>
    <row r="289">
      <c r="A289" t="inlineStr">
        <is>
          <t>ORD-2507-0288</t>
        </is>
      </c>
      <c r="B289" s="11" t="n">
        <v>45856</v>
      </c>
      <c r="C289" t="inlineStr">
        <is>
          <t>Central</t>
        </is>
      </c>
      <c r="D289" t="inlineStr">
        <is>
          <t>Nagpur</t>
        </is>
      </c>
      <c r="E289" t="inlineStr">
        <is>
          <t>Consumer</t>
        </is>
      </c>
      <c r="F289" t="inlineStr">
        <is>
          <t>Online</t>
        </is>
      </c>
      <c r="G289" t="inlineStr">
        <is>
          <t>Furniture</t>
        </is>
      </c>
      <c r="H289" t="inlineStr">
        <is>
          <t>Office Chair</t>
        </is>
      </c>
      <c r="I289" t="n">
        <v>3</v>
      </c>
      <c r="J289" s="12" t="n">
        <v>6768.46</v>
      </c>
      <c r="K289" s="13" t="n">
        <v>0</v>
      </c>
      <c r="L289" s="12" t="n">
        <v>20305.38</v>
      </c>
      <c r="M289" s="12" t="n">
        <v>14619.87</v>
      </c>
      <c r="N289" s="12" t="n">
        <v>5685.51</v>
      </c>
      <c r="O289" t="inlineStr">
        <is>
          <t>Cash</t>
        </is>
      </c>
      <c r="P289" t="inlineStr">
        <is>
          <t>Diya Patel</t>
        </is>
      </c>
    </row>
    <row r="290">
      <c r="A290" t="inlineStr">
        <is>
          <t>ORD-2501-0289</t>
        </is>
      </c>
      <c r="B290" s="11" t="n">
        <v>45665</v>
      </c>
      <c r="C290" t="inlineStr">
        <is>
          <t>East</t>
        </is>
      </c>
      <c r="D290" t="inlineStr">
        <is>
          <t>Patna</t>
        </is>
      </c>
      <c r="E290" t="inlineStr">
        <is>
          <t>Corporate</t>
        </is>
      </c>
      <c r="F290" t="inlineStr">
        <is>
          <t>Partner</t>
        </is>
      </c>
      <c r="G290" t="inlineStr">
        <is>
          <t>Technology</t>
        </is>
      </c>
      <c r="H290" t="inlineStr">
        <is>
          <t>Laptop</t>
        </is>
      </c>
      <c r="I290" t="n">
        <v>6</v>
      </c>
      <c r="J290" s="12" t="n">
        <v>41314.39</v>
      </c>
      <c r="K290" s="13" t="n">
        <v>0.2</v>
      </c>
      <c r="L290" s="12" t="n">
        <v>198309.07</v>
      </c>
      <c r="M290" s="12" t="n">
        <v>218139.98</v>
      </c>
      <c r="N290" s="12" t="n">
        <v>-19830.91</v>
      </c>
      <c r="O290" t="inlineStr">
        <is>
          <t>Cash</t>
        </is>
      </c>
      <c r="P290" t="inlineStr">
        <is>
          <t>Vivaan Gupta</t>
        </is>
      </c>
    </row>
    <row r="291">
      <c r="A291" t="inlineStr">
        <is>
          <t>ORD-2508-0290</t>
        </is>
      </c>
      <c r="B291" s="11" t="n">
        <v>45874</v>
      </c>
      <c r="C291" t="inlineStr">
        <is>
          <t>West</t>
        </is>
      </c>
      <c r="D291" t="inlineStr">
        <is>
          <t>Mumbai</t>
        </is>
      </c>
      <c r="E291" t="inlineStr">
        <is>
          <t>Corporate</t>
        </is>
      </c>
      <c r="F291" t="inlineStr">
        <is>
          <t>Online</t>
        </is>
      </c>
      <c r="G291" t="inlineStr">
        <is>
          <t>Office Supplies</t>
        </is>
      </c>
      <c r="H291" t="inlineStr">
        <is>
          <t>Pens Box</t>
        </is>
      </c>
      <c r="I291" t="n">
        <v>3</v>
      </c>
      <c r="J291" s="12" t="n">
        <v>173.59</v>
      </c>
      <c r="K291" s="13" t="n">
        <v>0.1</v>
      </c>
      <c r="L291" s="12" t="n">
        <v>468.69</v>
      </c>
      <c r="M291" s="12" t="n">
        <v>338.5</v>
      </c>
      <c r="N291" s="12" t="n">
        <v>130.19</v>
      </c>
      <c r="O291" t="inlineStr">
        <is>
          <t>Cash</t>
        </is>
      </c>
      <c r="P291" t="inlineStr">
        <is>
          <t>Meera Joshi</t>
        </is>
      </c>
    </row>
    <row r="292">
      <c r="A292" t="inlineStr">
        <is>
          <t>ORD-2503-0291</t>
        </is>
      </c>
      <c r="B292" s="11" t="n">
        <v>45737</v>
      </c>
      <c r="C292" t="inlineStr">
        <is>
          <t>Central</t>
        </is>
      </c>
      <c r="D292" t="inlineStr">
        <is>
          <t>Raipur</t>
        </is>
      </c>
      <c r="E292" t="inlineStr">
        <is>
          <t>Small Business</t>
        </is>
      </c>
      <c r="F292" t="inlineStr">
        <is>
          <t>Online</t>
        </is>
      </c>
      <c r="G292" t="inlineStr">
        <is>
          <t>Furniture</t>
        </is>
      </c>
      <c r="H292" t="inlineStr">
        <is>
          <t>Desk</t>
        </is>
      </c>
      <c r="I292" t="n">
        <v>3</v>
      </c>
      <c r="J292" s="12" t="n">
        <v>11775.7</v>
      </c>
      <c r="K292" s="13" t="n">
        <v>0.1</v>
      </c>
      <c r="L292" s="12" t="n">
        <v>31794.39</v>
      </c>
      <c r="M292" s="12" t="n">
        <v>26848.6</v>
      </c>
      <c r="N292" s="12" t="n">
        <v>4945.79</v>
      </c>
      <c r="O292" t="inlineStr">
        <is>
          <t>Net Banking</t>
        </is>
      </c>
      <c r="P292" t="inlineStr">
        <is>
          <t>Vivaan Gupta</t>
        </is>
      </c>
    </row>
    <row r="293">
      <c r="A293" t="inlineStr">
        <is>
          <t>ORD-2505-0292</t>
        </is>
      </c>
      <c r="B293" s="11" t="n">
        <v>45780</v>
      </c>
      <c r="C293" t="inlineStr">
        <is>
          <t>North</t>
        </is>
      </c>
      <c r="D293" t="inlineStr">
        <is>
          <t>Jaipur</t>
        </is>
      </c>
      <c r="E293" t="inlineStr">
        <is>
          <t>Consumer</t>
        </is>
      </c>
      <c r="F293" t="inlineStr">
        <is>
          <t>Retail Store</t>
        </is>
      </c>
      <c r="G293" t="inlineStr">
        <is>
          <t>Technology</t>
        </is>
      </c>
      <c r="H293" t="inlineStr">
        <is>
          <t>Monitor</t>
        </is>
      </c>
      <c r="I293" t="n">
        <v>6</v>
      </c>
      <c r="J293" s="12" t="n">
        <v>12724.59</v>
      </c>
      <c r="K293" s="13" t="n">
        <v>0</v>
      </c>
      <c r="L293" s="12" t="n">
        <v>76347.53999999999</v>
      </c>
      <c r="M293" s="12" t="n">
        <v>62604.98</v>
      </c>
      <c r="N293" s="12" t="n">
        <v>13742.56</v>
      </c>
      <c r="O293" t="inlineStr">
        <is>
          <t>UPI</t>
        </is>
      </c>
      <c r="P293" t="inlineStr">
        <is>
          <t>Diya Patel</t>
        </is>
      </c>
    </row>
    <row r="294">
      <c r="A294" t="inlineStr">
        <is>
          <t>ORD-2501-0293</t>
        </is>
      </c>
      <c r="B294" s="11" t="n">
        <v>45664</v>
      </c>
      <c r="C294" t="inlineStr">
        <is>
          <t>South</t>
        </is>
      </c>
      <c r="D294" t="inlineStr">
        <is>
          <t>Bengaluru</t>
        </is>
      </c>
      <c r="E294" t="inlineStr">
        <is>
          <t>Small Business</t>
        </is>
      </c>
      <c r="F294" t="inlineStr">
        <is>
          <t>Retail Store</t>
        </is>
      </c>
      <c r="G294" t="inlineStr">
        <is>
          <t>Technology</t>
        </is>
      </c>
      <c r="H294" t="inlineStr">
        <is>
          <t>Keyboard</t>
        </is>
      </c>
      <c r="I294" t="n">
        <v>3</v>
      </c>
      <c r="J294" s="12" t="n">
        <v>1403.86</v>
      </c>
      <c r="K294" s="13" t="n">
        <v>0.05</v>
      </c>
      <c r="L294" s="12" t="n">
        <v>4001</v>
      </c>
      <c r="M294" s="12" t="n">
        <v>3158.68</v>
      </c>
      <c r="N294" s="12" t="n">
        <v>842.3200000000001</v>
      </c>
      <c r="O294" t="inlineStr">
        <is>
          <t>UPI</t>
        </is>
      </c>
      <c r="P294" t="inlineStr">
        <is>
          <t>Sara Khan</t>
        </is>
      </c>
    </row>
    <row r="295">
      <c r="A295" t="inlineStr">
        <is>
          <t>ORD-2503-0294</t>
        </is>
      </c>
      <c r="B295" s="11" t="n">
        <v>45722</v>
      </c>
      <c r="C295" t="inlineStr">
        <is>
          <t>East</t>
        </is>
      </c>
      <c r="D295" t="inlineStr">
        <is>
          <t>Kolkata</t>
        </is>
      </c>
      <c r="E295" t="inlineStr">
        <is>
          <t>Small Business</t>
        </is>
      </c>
      <c r="F295" t="inlineStr">
        <is>
          <t>Online</t>
        </is>
      </c>
      <c r="G295" t="inlineStr">
        <is>
          <t>Office Supplies</t>
        </is>
      </c>
      <c r="H295" t="inlineStr">
        <is>
          <t>File Folder</t>
        </is>
      </c>
      <c r="I295" t="n">
        <v>6</v>
      </c>
      <c r="J295" s="12" t="n">
        <v>88.98</v>
      </c>
      <c r="K295" s="13" t="n">
        <v>0.05</v>
      </c>
      <c r="L295" s="12" t="n">
        <v>507.19</v>
      </c>
      <c r="M295" s="12" t="n">
        <v>331.01</v>
      </c>
      <c r="N295" s="12" t="n">
        <v>176.18</v>
      </c>
      <c r="O295" t="inlineStr">
        <is>
          <t>Net Banking</t>
        </is>
      </c>
      <c r="P295" t="inlineStr">
        <is>
          <t>Diya Patel</t>
        </is>
      </c>
    </row>
    <row r="296">
      <c r="A296" t="inlineStr">
        <is>
          <t>ORD-2509-0295</t>
        </is>
      </c>
      <c r="B296" s="11" t="n">
        <v>45912</v>
      </c>
      <c r="C296" t="inlineStr">
        <is>
          <t>West</t>
        </is>
      </c>
      <c r="D296" t="inlineStr">
        <is>
          <t>Ahmedabad</t>
        </is>
      </c>
      <c r="E296" t="inlineStr">
        <is>
          <t>Corporate</t>
        </is>
      </c>
      <c r="F296" t="inlineStr">
        <is>
          <t>Online</t>
        </is>
      </c>
      <c r="G296" t="inlineStr">
        <is>
          <t>Technology</t>
        </is>
      </c>
      <c r="H296" t="inlineStr">
        <is>
          <t>Laptop</t>
        </is>
      </c>
      <c r="I296" t="n">
        <v>3</v>
      </c>
      <c r="J296" s="12" t="n">
        <v>41110.86</v>
      </c>
      <c r="K296" s="13" t="n">
        <v>0.1</v>
      </c>
      <c r="L296" s="12" t="n">
        <v>110999.32</v>
      </c>
      <c r="M296" s="12" t="n">
        <v>108532.67</v>
      </c>
      <c r="N296" s="12" t="n">
        <v>2466.65</v>
      </c>
      <c r="O296" t="inlineStr">
        <is>
          <t>Cash</t>
        </is>
      </c>
      <c r="P296" t="inlineStr">
        <is>
          <t>Diya Patel</t>
        </is>
      </c>
    </row>
    <row r="297">
      <c r="A297" t="inlineStr">
        <is>
          <t>ORD-2504-0296</t>
        </is>
      </c>
      <c r="B297" s="11" t="n">
        <v>45774</v>
      </c>
      <c r="C297" t="inlineStr">
        <is>
          <t>Central</t>
        </is>
      </c>
      <c r="D297" t="inlineStr">
        <is>
          <t>Bhopal</t>
        </is>
      </c>
      <c r="E297" t="inlineStr">
        <is>
          <t>Corporate</t>
        </is>
      </c>
      <c r="F297" t="inlineStr">
        <is>
          <t>Retail Store</t>
        </is>
      </c>
      <c r="G297" t="inlineStr">
        <is>
          <t>Technology</t>
        </is>
      </c>
      <c r="H297" t="inlineStr">
        <is>
          <t>Laptop</t>
        </is>
      </c>
      <c r="I297" t="n">
        <v>5</v>
      </c>
      <c r="J297" s="12" t="n">
        <v>38949</v>
      </c>
      <c r="K297" s="13" t="n">
        <v>0</v>
      </c>
      <c r="L297" s="12" t="n">
        <v>194745</v>
      </c>
      <c r="M297" s="12" t="n">
        <v>171375.6</v>
      </c>
      <c r="N297" s="12" t="n">
        <v>23369.4</v>
      </c>
      <c r="O297" t="inlineStr">
        <is>
          <t>UPI</t>
        </is>
      </c>
      <c r="P297" t="inlineStr">
        <is>
          <t>Kabir Singh</t>
        </is>
      </c>
    </row>
    <row r="298">
      <c r="A298" t="inlineStr">
        <is>
          <t>ORD-2501-0297</t>
        </is>
      </c>
      <c r="B298" s="11" t="n">
        <v>45676</v>
      </c>
      <c r="C298" t="inlineStr">
        <is>
          <t>Central</t>
        </is>
      </c>
      <c r="D298" t="inlineStr">
        <is>
          <t>Nagpur</t>
        </is>
      </c>
      <c r="E298" t="inlineStr">
        <is>
          <t>Corporate</t>
        </is>
      </c>
      <c r="F298" t="inlineStr">
        <is>
          <t>Online</t>
        </is>
      </c>
      <c r="G298" t="inlineStr">
        <is>
          <t>Technology</t>
        </is>
      </c>
      <c r="H298" t="inlineStr">
        <is>
          <t>Printer</t>
        </is>
      </c>
      <c r="I298" t="n">
        <v>2</v>
      </c>
      <c r="J298" s="12" t="n">
        <v>9834.84</v>
      </c>
      <c r="K298" s="13" t="n">
        <v>0.05</v>
      </c>
      <c r="L298" s="12" t="n">
        <v>18686.2</v>
      </c>
      <c r="M298" s="12" t="n">
        <v>16522.53</v>
      </c>
      <c r="N298" s="12" t="n">
        <v>2163.67</v>
      </c>
      <c r="O298" t="inlineStr">
        <is>
          <t>Cash</t>
        </is>
      </c>
      <c r="P298" t="inlineStr">
        <is>
          <t>Sara Khan</t>
        </is>
      </c>
    </row>
    <row r="299">
      <c r="A299" t="inlineStr">
        <is>
          <t>ORD-2503-0298</t>
        </is>
      </c>
      <c r="B299" s="11" t="n">
        <v>45719</v>
      </c>
      <c r="C299" t="inlineStr">
        <is>
          <t>Central</t>
        </is>
      </c>
      <c r="D299" t="inlineStr">
        <is>
          <t>Bhopal</t>
        </is>
      </c>
      <c r="E299" t="inlineStr">
        <is>
          <t>Corporate</t>
        </is>
      </c>
      <c r="F299" t="inlineStr">
        <is>
          <t>Online</t>
        </is>
      </c>
      <c r="G299" t="inlineStr">
        <is>
          <t>Technology</t>
        </is>
      </c>
      <c r="H299" t="inlineStr">
        <is>
          <t>Keyboard</t>
        </is>
      </c>
      <c r="I299" t="n">
        <v>2</v>
      </c>
      <c r="J299" s="12" t="n">
        <v>1298.29</v>
      </c>
      <c r="K299" s="13" t="n">
        <v>0.1</v>
      </c>
      <c r="L299" s="12" t="n">
        <v>2336.92</v>
      </c>
      <c r="M299" s="12" t="n">
        <v>1947.43</v>
      </c>
      <c r="N299" s="12" t="n">
        <v>389.49</v>
      </c>
      <c r="O299" t="inlineStr">
        <is>
          <t>Debit Card</t>
        </is>
      </c>
      <c r="P299" t="inlineStr">
        <is>
          <t>Rohan Verma</t>
        </is>
      </c>
    </row>
    <row r="300">
      <c r="A300" t="inlineStr">
        <is>
          <t>ORD-2506-0299</t>
        </is>
      </c>
      <c r="B300" s="11" t="n">
        <v>45817</v>
      </c>
      <c r="C300" t="inlineStr">
        <is>
          <t>East</t>
        </is>
      </c>
      <c r="D300" t="inlineStr">
        <is>
          <t>Kolkata</t>
        </is>
      </c>
      <c r="E300" t="inlineStr">
        <is>
          <t>Corporate</t>
        </is>
      </c>
      <c r="F300" t="inlineStr">
        <is>
          <t>Partner</t>
        </is>
      </c>
      <c r="G300" t="inlineStr">
        <is>
          <t>Furniture</t>
        </is>
      </c>
      <c r="H300" t="inlineStr">
        <is>
          <t>Storage Cabinet</t>
        </is>
      </c>
      <c r="I300" t="n">
        <v>3</v>
      </c>
      <c r="J300" s="12" t="n">
        <v>8603.23</v>
      </c>
      <c r="K300" s="13" t="n">
        <v>0.05</v>
      </c>
      <c r="L300" s="12" t="n">
        <v>24519.21</v>
      </c>
      <c r="M300" s="12" t="n">
        <v>20647.75</v>
      </c>
      <c r="N300" s="12" t="n">
        <v>3871.46</v>
      </c>
      <c r="O300" t="inlineStr">
        <is>
          <t>Cash</t>
        </is>
      </c>
      <c r="P300" t="inlineStr">
        <is>
          <t>Meera Joshi</t>
        </is>
      </c>
    </row>
    <row r="301">
      <c r="A301" t="inlineStr">
        <is>
          <t>ORD-2508-0300</t>
        </is>
      </c>
      <c r="B301" s="11" t="n">
        <v>45895</v>
      </c>
      <c r="C301" t="inlineStr">
        <is>
          <t>East</t>
        </is>
      </c>
      <c r="D301" t="inlineStr">
        <is>
          <t>Guwahati</t>
        </is>
      </c>
      <c r="E301" t="inlineStr">
        <is>
          <t>Consumer</t>
        </is>
      </c>
      <c r="F301" t="inlineStr">
        <is>
          <t>Online</t>
        </is>
      </c>
      <c r="G301" t="inlineStr">
        <is>
          <t>Office Supplies</t>
        </is>
      </c>
      <c r="H301" t="inlineStr">
        <is>
          <t>File Folder</t>
        </is>
      </c>
      <c r="I301" t="n">
        <v>4</v>
      </c>
      <c r="J301" s="12" t="n">
        <v>90.67</v>
      </c>
      <c r="K301" s="13" t="n">
        <v>0.1</v>
      </c>
      <c r="L301" s="12" t="n">
        <v>326.41</v>
      </c>
      <c r="M301" s="12" t="n">
        <v>224.86</v>
      </c>
      <c r="N301" s="12" t="n">
        <v>101.55</v>
      </c>
      <c r="O301" t="inlineStr">
        <is>
          <t>Credit Card</t>
        </is>
      </c>
      <c r="P301" t="inlineStr">
        <is>
          <t>Vivaan Gupta</t>
        </is>
      </c>
    </row>
    <row r="302">
      <c r="A302" t="inlineStr">
        <is>
          <t>ORD-2501-0301</t>
        </is>
      </c>
      <c r="B302" s="11" t="n">
        <v>45670</v>
      </c>
      <c r="C302" t="inlineStr">
        <is>
          <t>South</t>
        </is>
      </c>
      <c r="D302" t="inlineStr">
        <is>
          <t>Hyderabad</t>
        </is>
      </c>
      <c r="E302" t="inlineStr">
        <is>
          <t>Consumer</t>
        </is>
      </c>
      <c r="F302" t="inlineStr">
        <is>
          <t>Partner</t>
        </is>
      </c>
      <c r="G302" t="inlineStr">
        <is>
          <t>Office Supplies</t>
        </is>
      </c>
      <c r="H302" t="inlineStr">
        <is>
          <t>Pens Box</t>
        </is>
      </c>
      <c r="I302" t="n">
        <v>5</v>
      </c>
      <c r="J302" s="12" t="n">
        <v>192.99</v>
      </c>
      <c r="K302" s="13" t="n">
        <v>0.15</v>
      </c>
      <c r="L302" s="12" t="n">
        <v>820.21</v>
      </c>
      <c r="M302" s="12" t="n">
        <v>627.22</v>
      </c>
      <c r="N302" s="12" t="n">
        <v>192.99</v>
      </c>
      <c r="O302" t="inlineStr">
        <is>
          <t>Debit Card</t>
        </is>
      </c>
      <c r="P302" t="inlineStr">
        <is>
          <t>Rohan Verma</t>
        </is>
      </c>
    </row>
    <row r="303">
      <c r="A303" t="inlineStr">
        <is>
          <t>ORD-2502-0302</t>
        </is>
      </c>
      <c r="B303" s="11" t="n">
        <v>45711</v>
      </c>
      <c r="C303" t="inlineStr">
        <is>
          <t>South</t>
        </is>
      </c>
      <c r="D303" t="inlineStr">
        <is>
          <t>Chennai</t>
        </is>
      </c>
      <c r="E303" t="inlineStr">
        <is>
          <t>Small Business</t>
        </is>
      </c>
      <c r="F303" t="inlineStr">
        <is>
          <t>Retail Store</t>
        </is>
      </c>
      <c r="G303" t="inlineStr">
        <is>
          <t>Furniture</t>
        </is>
      </c>
      <c r="H303" t="inlineStr">
        <is>
          <t>Desk</t>
        </is>
      </c>
      <c r="I303" t="n">
        <v>3</v>
      </c>
      <c r="J303" s="12" t="n">
        <v>12414.41</v>
      </c>
      <c r="K303" s="13" t="n">
        <v>0</v>
      </c>
      <c r="L303" s="12" t="n">
        <v>37243.23</v>
      </c>
      <c r="M303" s="12" t="n">
        <v>28304.85</v>
      </c>
      <c r="N303" s="12" t="n">
        <v>8938.379999999999</v>
      </c>
      <c r="O303" t="inlineStr">
        <is>
          <t>Credit Card</t>
        </is>
      </c>
      <c r="P303" t="inlineStr">
        <is>
          <t>Aarav Sharma</t>
        </is>
      </c>
    </row>
    <row r="304">
      <c r="A304" t="inlineStr">
        <is>
          <t>ORD-2504-0303</t>
        </is>
      </c>
      <c r="B304" s="11" t="n">
        <v>45776</v>
      </c>
      <c r="C304" t="inlineStr">
        <is>
          <t>Central</t>
        </is>
      </c>
      <c r="D304" t="inlineStr">
        <is>
          <t>Nagpur</t>
        </is>
      </c>
      <c r="E304" t="inlineStr">
        <is>
          <t>Small Business</t>
        </is>
      </c>
      <c r="F304" t="inlineStr">
        <is>
          <t>Online</t>
        </is>
      </c>
      <c r="G304" t="inlineStr">
        <is>
          <t>Office Supplies</t>
        </is>
      </c>
      <c r="H304" t="inlineStr">
        <is>
          <t>Paper Ream</t>
        </is>
      </c>
      <c r="I304" t="n">
        <v>6</v>
      </c>
      <c r="J304" s="12" t="n">
        <v>436.66</v>
      </c>
      <c r="K304" s="13" t="n">
        <v>0.05</v>
      </c>
      <c r="L304" s="12" t="n">
        <v>2488.96</v>
      </c>
      <c r="M304" s="12" t="n">
        <v>2017.37</v>
      </c>
      <c r="N304" s="12" t="n">
        <v>471.59</v>
      </c>
      <c r="O304" t="inlineStr">
        <is>
          <t>Cash</t>
        </is>
      </c>
      <c r="P304" t="inlineStr">
        <is>
          <t>Kabir Singh</t>
        </is>
      </c>
    </row>
    <row r="305">
      <c r="A305" t="inlineStr">
        <is>
          <t>ORD-2511-0304</t>
        </is>
      </c>
      <c r="B305" s="11" t="n">
        <v>45984</v>
      </c>
      <c r="C305" t="inlineStr">
        <is>
          <t>West</t>
        </is>
      </c>
      <c r="D305" t="inlineStr">
        <is>
          <t>Mumbai</t>
        </is>
      </c>
      <c r="E305" t="inlineStr">
        <is>
          <t>Consumer</t>
        </is>
      </c>
      <c r="F305" t="inlineStr">
        <is>
          <t>Retail Store</t>
        </is>
      </c>
      <c r="G305" t="inlineStr">
        <is>
          <t>Office Supplies</t>
        </is>
      </c>
      <c r="H305" t="inlineStr">
        <is>
          <t>Notebook Pack</t>
        </is>
      </c>
      <c r="I305" t="n">
        <v>3</v>
      </c>
      <c r="J305" s="12" t="n">
        <v>376</v>
      </c>
      <c r="K305" s="13" t="n">
        <v>0.05</v>
      </c>
      <c r="L305" s="12" t="n">
        <v>1071.6</v>
      </c>
      <c r="M305" s="12" t="n">
        <v>767.04</v>
      </c>
      <c r="N305" s="12" t="n">
        <v>304.56</v>
      </c>
      <c r="O305" t="inlineStr">
        <is>
          <t>Net Banking</t>
        </is>
      </c>
      <c r="P305" t="inlineStr">
        <is>
          <t>Sara Khan</t>
        </is>
      </c>
    </row>
    <row r="306">
      <c r="A306" t="inlineStr">
        <is>
          <t>ORD-2507-0305</t>
        </is>
      </c>
      <c r="B306" s="11" t="n">
        <v>45859</v>
      </c>
      <c r="C306" t="inlineStr">
        <is>
          <t>East</t>
        </is>
      </c>
      <c r="D306" t="inlineStr">
        <is>
          <t>Bhubaneswar</t>
        </is>
      </c>
      <c r="E306" t="inlineStr">
        <is>
          <t>Small Business</t>
        </is>
      </c>
      <c r="F306" t="inlineStr">
        <is>
          <t>Online</t>
        </is>
      </c>
      <c r="G306" t="inlineStr">
        <is>
          <t>Furniture</t>
        </is>
      </c>
      <c r="H306" t="inlineStr">
        <is>
          <t>Bookshelf</t>
        </is>
      </c>
      <c r="I306" t="n">
        <v>2</v>
      </c>
      <c r="J306" s="12" t="n">
        <v>4952.66</v>
      </c>
      <c r="K306" s="13" t="n">
        <v>0</v>
      </c>
      <c r="L306" s="12" t="n">
        <v>9905.32</v>
      </c>
      <c r="M306" s="12" t="n">
        <v>7329.94</v>
      </c>
      <c r="N306" s="12" t="n">
        <v>2575.38</v>
      </c>
      <c r="O306" t="inlineStr">
        <is>
          <t>UPI</t>
        </is>
      </c>
      <c r="P306" t="inlineStr">
        <is>
          <t>Diya Patel</t>
        </is>
      </c>
    </row>
    <row r="307">
      <c r="A307" t="inlineStr">
        <is>
          <t>ORD-2503-0306</t>
        </is>
      </c>
      <c r="B307" s="11" t="n">
        <v>45742</v>
      </c>
      <c r="C307" t="inlineStr">
        <is>
          <t>West</t>
        </is>
      </c>
      <c r="D307" t="inlineStr">
        <is>
          <t>Surat</t>
        </is>
      </c>
      <c r="E307" t="inlineStr">
        <is>
          <t>Consumer</t>
        </is>
      </c>
      <c r="F307" t="inlineStr">
        <is>
          <t>Retail Store</t>
        </is>
      </c>
      <c r="G307" t="inlineStr">
        <is>
          <t>Furniture</t>
        </is>
      </c>
      <c r="H307" t="inlineStr">
        <is>
          <t>Office Chair</t>
        </is>
      </c>
      <c r="I307" t="n">
        <v>2</v>
      </c>
      <c r="J307" s="12" t="n">
        <v>7305.52</v>
      </c>
      <c r="K307" s="13" t="n">
        <v>0.1</v>
      </c>
      <c r="L307" s="12" t="n">
        <v>13149.94</v>
      </c>
      <c r="M307" s="12" t="n">
        <v>10519.95</v>
      </c>
      <c r="N307" s="12" t="n">
        <v>2629.99</v>
      </c>
      <c r="O307" t="inlineStr">
        <is>
          <t>Net Banking</t>
        </is>
      </c>
      <c r="P307" t="inlineStr">
        <is>
          <t>Anaya Rao</t>
        </is>
      </c>
    </row>
    <row r="308">
      <c r="A308" t="inlineStr">
        <is>
          <t>ORD-2505-0307</t>
        </is>
      </c>
      <c r="B308" s="11" t="n">
        <v>45793</v>
      </c>
      <c r="C308" t="inlineStr">
        <is>
          <t>North</t>
        </is>
      </c>
      <c r="D308" t="inlineStr">
        <is>
          <t>Delhi</t>
        </is>
      </c>
      <c r="E308" t="inlineStr">
        <is>
          <t>Small Business</t>
        </is>
      </c>
      <c r="F308" t="inlineStr">
        <is>
          <t>Online</t>
        </is>
      </c>
      <c r="G308" t="inlineStr">
        <is>
          <t>Technology</t>
        </is>
      </c>
      <c r="H308" t="inlineStr">
        <is>
          <t>Keyboard</t>
        </is>
      </c>
      <c r="I308" t="n">
        <v>5</v>
      </c>
      <c r="J308" s="12" t="n">
        <v>1445.85</v>
      </c>
      <c r="K308" s="13" t="n">
        <v>0.05</v>
      </c>
      <c r="L308" s="12" t="n">
        <v>6867.79</v>
      </c>
      <c r="M308" s="12" t="n">
        <v>5421.94</v>
      </c>
      <c r="N308" s="12" t="n">
        <v>1445.85</v>
      </c>
      <c r="O308" t="inlineStr">
        <is>
          <t>UPI</t>
        </is>
      </c>
      <c r="P308" t="inlineStr">
        <is>
          <t>Sara Khan</t>
        </is>
      </c>
    </row>
    <row r="309">
      <c r="A309" t="inlineStr">
        <is>
          <t>ORD-2503-0308</t>
        </is>
      </c>
      <c r="B309" s="11" t="n">
        <v>45733</v>
      </c>
      <c r="C309" t="inlineStr">
        <is>
          <t>North</t>
        </is>
      </c>
      <c r="D309" t="inlineStr">
        <is>
          <t>Jaipur</t>
        </is>
      </c>
      <c r="E309" t="inlineStr">
        <is>
          <t>Consumer</t>
        </is>
      </c>
      <c r="F309" t="inlineStr">
        <is>
          <t>Online</t>
        </is>
      </c>
      <c r="G309" t="inlineStr">
        <is>
          <t>Furniture</t>
        </is>
      </c>
      <c r="H309" t="inlineStr">
        <is>
          <t>Office Chair</t>
        </is>
      </c>
      <c r="I309" t="n">
        <v>2</v>
      </c>
      <c r="J309" s="12" t="n">
        <v>6581.14</v>
      </c>
      <c r="K309" s="13" t="n">
        <v>0</v>
      </c>
      <c r="L309" s="12" t="n">
        <v>13162.28</v>
      </c>
      <c r="M309" s="12" t="n">
        <v>9476.84</v>
      </c>
      <c r="N309" s="12" t="n">
        <v>3685.44</v>
      </c>
      <c r="O309" t="inlineStr">
        <is>
          <t>Debit Card</t>
        </is>
      </c>
      <c r="P309" t="inlineStr">
        <is>
          <t>Anaya Rao</t>
        </is>
      </c>
    </row>
    <row r="310">
      <c r="A310" t="inlineStr">
        <is>
          <t>ORD-2510-0309</t>
        </is>
      </c>
      <c r="B310" s="11" t="n">
        <v>45942</v>
      </c>
      <c r="C310" t="inlineStr">
        <is>
          <t>Central</t>
        </is>
      </c>
      <c r="D310" t="inlineStr">
        <is>
          <t>Indore</t>
        </is>
      </c>
      <c r="E310" t="inlineStr">
        <is>
          <t>Consumer</t>
        </is>
      </c>
      <c r="F310" t="inlineStr">
        <is>
          <t>Online</t>
        </is>
      </c>
      <c r="G310" t="inlineStr">
        <is>
          <t>Technology</t>
        </is>
      </c>
      <c r="H310" t="inlineStr">
        <is>
          <t>Monitor</t>
        </is>
      </c>
      <c r="I310" t="n">
        <v>3</v>
      </c>
      <c r="J310" s="12" t="n">
        <v>11779.59</v>
      </c>
      <c r="K310" s="13" t="n">
        <v>0.15</v>
      </c>
      <c r="L310" s="12" t="n">
        <v>30037.95</v>
      </c>
      <c r="M310" s="12" t="n">
        <v>28977.79</v>
      </c>
      <c r="N310" s="12" t="n">
        <v>1060.16</v>
      </c>
      <c r="O310" t="inlineStr">
        <is>
          <t>UPI</t>
        </is>
      </c>
      <c r="P310" t="inlineStr">
        <is>
          <t>Kabir Singh</t>
        </is>
      </c>
    </row>
    <row r="311">
      <c r="A311" t="inlineStr">
        <is>
          <t>ORD-2504-0310</t>
        </is>
      </c>
      <c r="B311" s="11" t="n">
        <v>45759</v>
      </c>
      <c r="C311" t="inlineStr">
        <is>
          <t>West</t>
        </is>
      </c>
      <c r="D311" t="inlineStr">
        <is>
          <t>Ahmedabad</t>
        </is>
      </c>
      <c r="E311" t="inlineStr">
        <is>
          <t>Corporate</t>
        </is>
      </c>
      <c r="F311" t="inlineStr">
        <is>
          <t>Online</t>
        </is>
      </c>
      <c r="G311" t="inlineStr">
        <is>
          <t>Office Supplies</t>
        </is>
      </c>
      <c r="H311" t="inlineStr">
        <is>
          <t>Pens Box</t>
        </is>
      </c>
      <c r="I311" t="n">
        <v>3</v>
      </c>
      <c r="J311" s="12" t="n">
        <v>182.37</v>
      </c>
      <c r="K311" s="13" t="n">
        <v>0.1</v>
      </c>
      <c r="L311" s="12" t="n">
        <v>492.4</v>
      </c>
      <c r="M311" s="12" t="n">
        <v>355.62</v>
      </c>
      <c r="N311" s="12" t="n">
        <v>136.78</v>
      </c>
      <c r="O311" t="inlineStr">
        <is>
          <t>Credit Card</t>
        </is>
      </c>
      <c r="P311" t="inlineStr">
        <is>
          <t>Diya Patel</t>
        </is>
      </c>
    </row>
    <row r="312">
      <c r="A312" t="inlineStr">
        <is>
          <t>ORD-2504-0311</t>
        </is>
      </c>
      <c r="B312" s="11" t="n">
        <v>45759</v>
      </c>
      <c r="C312" t="inlineStr">
        <is>
          <t>West</t>
        </is>
      </c>
      <c r="D312" t="inlineStr">
        <is>
          <t>Pune</t>
        </is>
      </c>
      <c r="E312" t="inlineStr">
        <is>
          <t>Consumer</t>
        </is>
      </c>
      <c r="F312" t="inlineStr">
        <is>
          <t>Retail Store</t>
        </is>
      </c>
      <c r="G312" t="inlineStr">
        <is>
          <t>Technology</t>
        </is>
      </c>
      <c r="H312" t="inlineStr">
        <is>
          <t>Monitor</t>
        </is>
      </c>
      <c r="I312" t="n">
        <v>6</v>
      </c>
      <c r="J312" s="12" t="n">
        <v>12163.1</v>
      </c>
      <c r="K312" s="13" t="n">
        <v>0.15</v>
      </c>
      <c r="L312" s="12" t="n">
        <v>62031.81</v>
      </c>
      <c r="M312" s="12" t="n">
        <v>59842.45</v>
      </c>
      <c r="N312" s="12" t="n">
        <v>2189.36</v>
      </c>
      <c r="O312" t="inlineStr">
        <is>
          <t>Credit Card</t>
        </is>
      </c>
      <c r="P312" t="inlineStr">
        <is>
          <t>Kabir Singh</t>
        </is>
      </c>
    </row>
    <row r="313">
      <c r="A313" t="inlineStr">
        <is>
          <t>ORD-2510-0312</t>
        </is>
      </c>
      <c r="B313" s="11" t="n">
        <v>45951</v>
      </c>
      <c r="C313" t="inlineStr">
        <is>
          <t>West</t>
        </is>
      </c>
      <c r="D313" t="inlineStr">
        <is>
          <t>Surat</t>
        </is>
      </c>
      <c r="E313" t="inlineStr">
        <is>
          <t>Consumer</t>
        </is>
      </c>
      <c r="F313" t="inlineStr">
        <is>
          <t>Online</t>
        </is>
      </c>
      <c r="G313" t="inlineStr">
        <is>
          <t>Furniture</t>
        </is>
      </c>
      <c r="H313" t="inlineStr">
        <is>
          <t>Bookshelf</t>
        </is>
      </c>
      <c r="I313" t="n">
        <v>1</v>
      </c>
      <c r="J313" s="12" t="n">
        <v>4927.78</v>
      </c>
      <c r="K313" s="13" t="n">
        <v>0.1</v>
      </c>
      <c r="L313" s="12" t="n">
        <v>4435</v>
      </c>
      <c r="M313" s="12" t="n">
        <v>3646.56</v>
      </c>
      <c r="N313" s="12" t="n">
        <v>788.4400000000001</v>
      </c>
      <c r="O313" t="inlineStr">
        <is>
          <t>Net Banking</t>
        </is>
      </c>
      <c r="P313" t="inlineStr">
        <is>
          <t>Rohan Verma</t>
        </is>
      </c>
    </row>
    <row r="314">
      <c r="A314" t="inlineStr">
        <is>
          <t>ORD-2508-0313</t>
        </is>
      </c>
      <c r="B314" s="11" t="n">
        <v>45886</v>
      </c>
      <c r="C314" t="inlineStr">
        <is>
          <t>South</t>
        </is>
      </c>
      <c r="D314" t="inlineStr">
        <is>
          <t>Bengaluru</t>
        </is>
      </c>
      <c r="E314" t="inlineStr">
        <is>
          <t>Corporate</t>
        </is>
      </c>
      <c r="F314" t="inlineStr">
        <is>
          <t>Partner</t>
        </is>
      </c>
      <c r="G314" t="inlineStr">
        <is>
          <t>Office Supplies</t>
        </is>
      </c>
      <c r="H314" t="inlineStr">
        <is>
          <t>Notebook Pack</t>
        </is>
      </c>
      <c r="I314" t="n">
        <v>3</v>
      </c>
      <c r="J314" s="12" t="n">
        <v>338.53</v>
      </c>
      <c r="K314" s="13" t="n">
        <v>0</v>
      </c>
      <c r="L314" s="12" t="n">
        <v>1015.59</v>
      </c>
      <c r="M314" s="12" t="n">
        <v>690.6</v>
      </c>
      <c r="N314" s="12" t="n">
        <v>324.99</v>
      </c>
      <c r="O314" t="inlineStr">
        <is>
          <t>Debit Card</t>
        </is>
      </c>
      <c r="P314" t="inlineStr">
        <is>
          <t>Aarav Sharma</t>
        </is>
      </c>
    </row>
    <row r="315">
      <c r="A315" t="inlineStr">
        <is>
          <t>ORD-2502-0314</t>
        </is>
      </c>
      <c r="B315" s="11" t="n">
        <v>45702</v>
      </c>
      <c r="C315" t="inlineStr">
        <is>
          <t>East</t>
        </is>
      </c>
      <c r="D315" t="inlineStr">
        <is>
          <t>Guwahati</t>
        </is>
      </c>
      <c r="E315" t="inlineStr">
        <is>
          <t>Consumer</t>
        </is>
      </c>
      <c r="F315" t="inlineStr">
        <is>
          <t>Partner</t>
        </is>
      </c>
      <c r="G315" t="inlineStr">
        <is>
          <t>Technology</t>
        </is>
      </c>
      <c r="H315" t="inlineStr">
        <is>
          <t>Keyboard</t>
        </is>
      </c>
      <c r="I315" t="n">
        <v>2</v>
      </c>
      <c r="J315" s="12" t="n">
        <v>1466.57</v>
      </c>
      <c r="K315" s="13" t="n">
        <v>0.1</v>
      </c>
      <c r="L315" s="12" t="n">
        <v>2639.83</v>
      </c>
      <c r="M315" s="12" t="n">
        <v>2199.86</v>
      </c>
      <c r="N315" s="12" t="n">
        <v>439.97</v>
      </c>
      <c r="O315" t="inlineStr">
        <is>
          <t>Cash</t>
        </is>
      </c>
      <c r="P315" t="inlineStr">
        <is>
          <t>Aarav Sharma</t>
        </is>
      </c>
    </row>
    <row r="316">
      <c r="A316" t="inlineStr">
        <is>
          <t>ORD-2507-0315</t>
        </is>
      </c>
      <c r="B316" s="11" t="n">
        <v>45853</v>
      </c>
      <c r="C316" t="inlineStr">
        <is>
          <t>East</t>
        </is>
      </c>
      <c r="D316" t="inlineStr">
        <is>
          <t>Guwahati</t>
        </is>
      </c>
      <c r="E316" t="inlineStr">
        <is>
          <t>Corporate</t>
        </is>
      </c>
      <c r="F316" t="inlineStr">
        <is>
          <t>Retail Store</t>
        </is>
      </c>
      <c r="G316" t="inlineStr">
        <is>
          <t>Furniture</t>
        </is>
      </c>
      <c r="H316" t="inlineStr">
        <is>
          <t>Storage Cabinet</t>
        </is>
      </c>
      <c r="I316" t="n">
        <v>5</v>
      </c>
      <c r="J316" s="12" t="n">
        <v>8993.49</v>
      </c>
      <c r="K316" s="13" t="n">
        <v>0.05</v>
      </c>
      <c r="L316" s="12" t="n">
        <v>42719.08</v>
      </c>
      <c r="M316" s="12" t="n">
        <v>35973.96</v>
      </c>
      <c r="N316" s="12" t="n">
        <v>6745.12</v>
      </c>
      <c r="O316" t="inlineStr">
        <is>
          <t>Net Banking</t>
        </is>
      </c>
      <c r="P316" t="inlineStr">
        <is>
          <t>Kabir Singh</t>
        </is>
      </c>
    </row>
    <row r="317">
      <c r="A317" t="inlineStr">
        <is>
          <t>ORD-2501-0316</t>
        </is>
      </c>
      <c r="B317" s="11" t="n">
        <v>45671</v>
      </c>
      <c r="C317" t="inlineStr">
        <is>
          <t>East</t>
        </is>
      </c>
      <c r="D317" t="inlineStr">
        <is>
          <t>Patna</t>
        </is>
      </c>
      <c r="E317" t="inlineStr">
        <is>
          <t>Corporate</t>
        </is>
      </c>
      <c r="F317" t="inlineStr">
        <is>
          <t>Partner</t>
        </is>
      </c>
      <c r="G317" t="inlineStr">
        <is>
          <t>Technology</t>
        </is>
      </c>
      <c r="H317" t="inlineStr">
        <is>
          <t>Laptop</t>
        </is>
      </c>
      <c r="I317" t="n">
        <v>6</v>
      </c>
      <c r="J317" s="12" t="n">
        <v>39033.73</v>
      </c>
      <c r="K317" s="13" t="n">
        <v>0.1</v>
      </c>
      <c r="L317" s="12" t="n">
        <v>210782.14</v>
      </c>
      <c r="M317" s="12" t="n">
        <v>206098.09</v>
      </c>
      <c r="N317" s="12" t="n">
        <v>4684.05</v>
      </c>
      <c r="O317" t="inlineStr">
        <is>
          <t>Net Banking</t>
        </is>
      </c>
      <c r="P317" t="inlineStr">
        <is>
          <t>Meera Joshi</t>
        </is>
      </c>
    </row>
    <row r="318">
      <c r="A318" t="inlineStr">
        <is>
          <t>ORD-2503-0317</t>
        </is>
      </c>
      <c r="B318" s="11" t="n">
        <v>45739</v>
      </c>
      <c r="C318" t="inlineStr">
        <is>
          <t>North</t>
        </is>
      </c>
      <c r="D318" t="inlineStr">
        <is>
          <t>Jaipur</t>
        </is>
      </c>
      <c r="E318" t="inlineStr">
        <is>
          <t>Small Business</t>
        </is>
      </c>
      <c r="F318" t="inlineStr">
        <is>
          <t>Online</t>
        </is>
      </c>
      <c r="G318" t="inlineStr">
        <is>
          <t>Office Supplies</t>
        </is>
      </c>
      <c r="H318" t="inlineStr">
        <is>
          <t>Pens Box</t>
        </is>
      </c>
      <c r="I318" t="n">
        <v>2</v>
      </c>
      <c r="J318" s="12" t="n">
        <v>188.39</v>
      </c>
      <c r="K318" s="13" t="n">
        <v>0.1</v>
      </c>
      <c r="L318" s="12" t="n">
        <v>339.1</v>
      </c>
      <c r="M318" s="12" t="n">
        <v>244.91</v>
      </c>
      <c r="N318" s="12" t="n">
        <v>94.19</v>
      </c>
      <c r="O318" t="inlineStr">
        <is>
          <t>UPI</t>
        </is>
      </c>
      <c r="P318" t="inlineStr">
        <is>
          <t>Vivaan Gupta</t>
        </is>
      </c>
    </row>
    <row r="319">
      <c r="A319" t="inlineStr">
        <is>
          <t>ORD-2507-0318</t>
        </is>
      </c>
      <c r="B319" s="11" t="n">
        <v>45839</v>
      </c>
      <c r="C319" t="inlineStr">
        <is>
          <t>South</t>
        </is>
      </c>
      <c r="D319" t="inlineStr">
        <is>
          <t>Chennai</t>
        </is>
      </c>
      <c r="E319" t="inlineStr">
        <is>
          <t>Small Business</t>
        </is>
      </c>
      <c r="F319" t="inlineStr">
        <is>
          <t>Online</t>
        </is>
      </c>
      <c r="G319" t="inlineStr">
        <is>
          <t>Technology</t>
        </is>
      </c>
      <c r="H319" t="inlineStr">
        <is>
          <t>Printer</t>
        </is>
      </c>
      <c r="I319" t="n">
        <v>3</v>
      </c>
      <c r="J319" s="12" t="n">
        <v>9800.389999999999</v>
      </c>
      <c r="K319" s="13" t="n">
        <v>0.15</v>
      </c>
      <c r="L319" s="12" t="n">
        <v>24990.99</v>
      </c>
      <c r="M319" s="12" t="n">
        <v>24696.98</v>
      </c>
      <c r="N319" s="12" t="n">
        <v>294.01</v>
      </c>
      <c r="O319" t="inlineStr">
        <is>
          <t>Net Banking</t>
        </is>
      </c>
      <c r="P319" t="inlineStr">
        <is>
          <t>Kabir Singh</t>
        </is>
      </c>
    </row>
    <row r="320">
      <c r="A320" t="inlineStr">
        <is>
          <t>ORD-2510-0319</t>
        </is>
      </c>
      <c r="B320" s="11" t="n">
        <v>45946</v>
      </c>
      <c r="C320" t="inlineStr">
        <is>
          <t>South</t>
        </is>
      </c>
      <c r="D320" t="inlineStr">
        <is>
          <t>Kochi</t>
        </is>
      </c>
      <c r="E320" t="inlineStr">
        <is>
          <t>Consumer</t>
        </is>
      </c>
      <c r="F320" t="inlineStr">
        <is>
          <t>Partner</t>
        </is>
      </c>
      <c r="G320" t="inlineStr">
        <is>
          <t>Furniture</t>
        </is>
      </c>
      <c r="H320" t="inlineStr">
        <is>
          <t>Storage Cabinet</t>
        </is>
      </c>
      <c r="I320" t="n">
        <v>2</v>
      </c>
      <c r="J320" s="12" t="n">
        <v>8316.530000000001</v>
      </c>
      <c r="K320" s="13" t="n">
        <v>0.05</v>
      </c>
      <c r="L320" s="12" t="n">
        <v>15801.41</v>
      </c>
      <c r="M320" s="12" t="n">
        <v>13306.45</v>
      </c>
      <c r="N320" s="12" t="n">
        <v>2494.96</v>
      </c>
      <c r="O320" t="inlineStr">
        <is>
          <t>UPI</t>
        </is>
      </c>
      <c r="P320" t="inlineStr">
        <is>
          <t>Aarav Sharma</t>
        </is>
      </c>
    </row>
    <row r="321">
      <c r="A321" t="inlineStr">
        <is>
          <t>ORD-2509-0320</t>
        </is>
      </c>
      <c r="B321" s="11" t="n">
        <v>45927</v>
      </c>
      <c r="C321" t="inlineStr">
        <is>
          <t>West</t>
        </is>
      </c>
      <c r="D321" t="inlineStr">
        <is>
          <t>Mumbai</t>
        </is>
      </c>
      <c r="E321" t="inlineStr">
        <is>
          <t>Small Business</t>
        </is>
      </c>
      <c r="F321" t="inlineStr">
        <is>
          <t>Online</t>
        </is>
      </c>
      <c r="G321" t="inlineStr">
        <is>
          <t>Furniture</t>
        </is>
      </c>
      <c r="H321" t="inlineStr">
        <is>
          <t>Office Chair</t>
        </is>
      </c>
      <c r="I321" t="n">
        <v>6</v>
      </c>
      <c r="J321" s="12" t="n">
        <v>6397.97</v>
      </c>
      <c r="K321" s="13" t="n">
        <v>0</v>
      </c>
      <c r="L321" s="12" t="n">
        <v>38387.82</v>
      </c>
      <c r="M321" s="12" t="n">
        <v>27639.23</v>
      </c>
      <c r="N321" s="12" t="n">
        <v>10748.59</v>
      </c>
      <c r="O321" t="inlineStr">
        <is>
          <t>Net Banking</t>
        </is>
      </c>
      <c r="P321" t="inlineStr">
        <is>
          <t>Aarav Sharma</t>
        </is>
      </c>
    </row>
    <row r="322">
      <c r="A322" t="inlineStr">
        <is>
          <t>ORD-2501-0321</t>
        </is>
      </c>
      <c r="B322" s="11" t="n">
        <v>45669</v>
      </c>
      <c r="C322" t="inlineStr">
        <is>
          <t>South</t>
        </is>
      </c>
      <c r="D322" t="inlineStr">
        <is>
          <t>Chennai</t>
        </is>
      </c>
      <c r="E322" t="inlineStr">
        <is>
          <t>Consumer</t>
        </is>
      </c>
      <c r="F322" t="inlineStr">
        <is>
          <t>Retail Store</t>
        </is>
      </c>
      <c r="G322" t="inlineStr">
        <is>
          <t>Office Supplies</t>
        </is>
      </c>
      <c r="H322" t="inlineStr">
        <is>
          <t>File Folder</t>
        </is>
      </c>
      <c r="I322" t="n">
        <v>1</v>
      </c>
      <c r="J322" s="12" t="n">
        <v>88.05</v>
      </c>
      <c r="K322" s="13" t="n">
        <v>0.1</v>
      </c>
      <c r="L322" s="12" t="n">
        <v>79.25</v>
      </c>
      <c r="M322" s="12" t="n">
        <v>54.59</v>
      </c>
      <c r="N322" s="12" t="n">
        <v>24.66</v>
      </c>
      <c r="O322" t="inlineStr">
        <is>
          <t>Debit Card</t>
        </is>
      </c>
      <c r="P322" t="inlineStr">
        <is>
          <t>Diya Patel</t>
        </is>
      </c>
    </row>
    <row r="323">
      <c r="A323" t="inlineStr">
        <is>
          <t>ORD-2506-0322</t>
        </is>
      </c>
      <c r="B323" s="11" t="n">
        <v>45830</v>
      </c>
      <c r="C323" t="inlineStr">
        <is>
          <t>East</t>
        </is>
      </c>
      <c r="D323" t="inlineStr">
        <is>
          <t>Bhubaneswar</t>
        </is>
      </c>
      <c r="E323" t="inlineStr">
        <is>
          <t>Small Business</t>
        </is>
      </c>
      <c r="F323" t="inlineStr">
        <is>
          <t>Retail Store</t>
        </is>
      </c>
      <c r="G323" t="inlineStr">
        <is>
          <t>Technology</t>
        </is>
      </c>
      <c r="H323" t="inlineStr">
        <is>
          <t>Keyboard</t>
        </is>
      </c>
      <c r="I323" t="n">
        <v>10</v>
      </c>
      <c r="J323" s="12" t="n">
        <v>1385.86</v>
      </c>
      <c r="K323" s="13" t="n">
        <v>0.1</v>
      </c>
      <c r="L323" s="12" t="n">
        <v>12472.74</v>
      </c>
      <c r="M323" s="12" t="n">
        <v>10393.95</v>
      </c>
      <c r="N323" s="12" t="n">
        <v>2078.79</v>
      </c>
      <c r="O323" t="inlineStr">
        <is>
          <t>Net Banking</t>
        </is>
      </c>
      <c r="P323" t="inlineStr">
        <is>
          <t>Kabir Singh</t>
        </is>
      </c>
    </row>
    <row r="324">
      <c r="A324" t="inlineStr">
        <is>
          <t>ORD-2512-0323</t>
        </is>
      </c>
      <c r="B324" s="11" t="n">
        <v>46020</v>
      </c>
      <c r="C324" t="inlineStr">
        <is>
          <t>Central</t>
        </is>
      </c>
      <c r="D324" t="inlineStr">
        <is>
          <t>Raipur</t>
        </is>
      </c>
      <c r="E324" t="inlineStr">
        <is>
          <t>Small Business</t>
        </is>
      </c>
      <c r="F324" t="inlineStr">
        <is>
          <t>Partner</t>
        </is>
      </c>
      <c r="G324" t="inlineStr">
        <is>
          <t>Technology</t>
        </is>
      </c>
      <c r="H324" t="inlineStr">
        <is>
          <t>Printer</t>
        </is>
      </c>
      <c r="I324" t="n">
        <v>4</v>
      </c>
      <c r="J324" s="12" t="n">
        <v>9315.139999999999</v>
      </c>
      <c r="K324" s="13" t="n">
        <v>0.15</v>
      </c>
      <c r="L324" s="12" t="n">
        <v>31671.48</v>
      </c>
      <c r="M324" s="12" t="n">
        <v>31298.87</v>
      </c>
      <c r="N324" s="12" t="n">
        <v>372.61</v>
      </c>
      <c r="O324" t="inlineStr">
        <is>
          <t>Net Banking</t>
        </is>
      </c>
      <c r="P324" t="inlineStr">
        <is>
          <t>Kabir Singh</t>
        </is>
      </c>
    </row>
    <row r="325">
      <c r="A325" t="inlineStr">
        <is>
          <t>ORD-2504-0324</t>
        </is>
      </c>
      <c r="B325" s="11" t="n">
        <v>45748</v>
      </c>
      <c r="C325" t="inlineStr">
        <is>
          <t>North</t>
        </is>
      </c>
      <c r="D325" t="inlineStr">
        <is>
          <t>Lucknow</t>
        </is>
      </c>
      <c r="E325" t="inlineStr">
        <is>
          <t>Small Business</t>
        </is>
      </c>
      <c r="F325" t="inlineStr">
        <is>
          <t>Retail Store</t>
        </is>
      </c>
      <c r="G325" t="inlineStr">
        <is>
          <t>Office Supplies</t>
        </is>
      </c>
      <c r="H325" t="inlineStr">
        <is>
          <t>Stapler</t>
        </is>
      </c>
      <c r="I325" t="n">
        <v>10</v>
      </c>
      <c r="J325" s="12" t="n">
        <v>240.55</v>
      </c>
      <c r="K325" s="13" t="n">
        <v>0.2</v>
      </c>
      <c r="L325" s="12" t="n">
        <v>1924.4</v>
      </c>
      <c r="M325" s="12" t="n">
        <v>1683.85</v>
      </c>
      <c r="N325" s="12" t="n">
        <v>240.55</v>
      </c>
      <c r="O325" t="inlineStr">
        <is>
          <t>Cash</t>
        </is>
      </c>
      <c r="P325" t="inlineStr">
        <is>
          <t>Meera Joshi</t>
        </is>
      </c>
    </row>
    <row r="326">
      <c r="A326" t="inlineStr">
        <is>
          <t>ORD-2511-0325</t>
        </is>
      </c>
      <c r="B326" s="11" t="n">
        <v>45985</v>
      </c>
      <c r="C326" t="inlineStr">
        <is>
          <t>Central</t>
        </is>
      </c>
      <c r="D326" t="inlineStr">
        <is>
          <t>Bhopal</t>
        </is>
      </c>
      <c r="E326" t="inlineStr">
        <is>
          <t>Corporate</t>
        </is>
      </c>
      <c r="F326" t="inlineStr">
        <is>
          <t>Online</t>
        </is>
      </c>
      <c r="G326" t="inlineStr">
        <is>
          <t>Furniture</t>
        </is>
      </c>
      <c r="H326" t="inlineStr">
        <is>
          <t>Bookshelf</t>
        </is>
      </c>
      <c r="I326" t="n">
        <v>1</v>
      </c>
      <c r="J326" s="12" t="n">
        <v>4982.01</v>
      </c>
      <c r="K326" s="13" t="n">
        <v>0.1</v>
      </c>
      <c r="L326" s="12" t="n">
        <v>4483.81</v>
      </c>
      <c r="M326" s="12" t="n">
        <v>3686.69</v>
      </c>
      <c r="N326" s="12" t="n">
        <v>797.12</v>
      </c>
      <c r="O326" t="inlineStr">
        <is>
          <t>Credit Card</t>
        </is>
      </c>
      <c r="P326" t="inlineStr">
        <is>
          <t>Sara Khan</t>
        </is>
      </c>
    </row>
    <row r="327">
      <c r="A327" t="inlineStr">
        <is>
          <t>ORD-2508-0326</t>
        </is>
      </c>
      <c r="B327" s="11" t="n">
        <v>45886</v>
      </c>
      <c r="C327" t="inlineStr">
        <is>
          <t>North</t>
        </is>
      </c>
      <c r="D327" t="inlineStr">
        <is>
          <t>Chandigarh</t>
        </is>
      </c>
      <c r="E327" t="inlineStr">
        <is>
          <t>Consumer</t>
        </is>
      </c>
      <c r="F327" t="inlineStr">
        <is>
          <t>Partner</t>
        </is>
      </c>
      <c r="G327" t="inlineStr">
        <is>
          <t>Technology</t>
        </is>
      </c>
      <c r="H327" t="inlineStr">
        <is>
          <t>Printer</t>
        </is>
      </c>
      <c r="I327" t="n">
        <v>2</v>
      </c>
      <c r="J327" s="12" t="n">
        <v>9130.120000000001</v>
      </c>
      <c r="K327" s="13" t="n">
        <v>0</v>
      </c>
      <c r="L327" s="12" t="n">
        <v>18260.24</v>
      </c>
      <c r="M327" s="12" t="n">
        <v>15338.6</v>
      </c>
      <c r="N327" s="12" t="n">
        <v>2921.64</v>
      </c>
      <c r="O327" t="inlineStr">
        <is>
          <t>Credit Card</t>
        </is>
      </c>
      <c r="P327" t="inlineStr">
        <is>
          <t>Aarav Sharma</t>
        </is>
      </c>
    </row>
    <row r="328">
      <c r="A328" t="inlineStr">
        <is>
          <t>ORD-2507-0327</t>
        </is>
      </c>
      <c r="B328" s="11" t="n">
        <v>45855</v>
      </c>
      <c r="C328" t="inlineStr">
        <is>
          <t>West</t>
        </is>
      </c>
      <c r="D328" t="inlineStr">
        <is>
          <t>Surat</t>
        </is>
      </c>
      <c r="E328" t="inlineStr">
        <is>
          <t>Small Business</t>
        </is>
      </c>
      <c r="F328" t="inlineStr">
        <is>
          <t>Retail Store</t>
        </is>
      </c>
      <c r="G328" t="inlineStr">
        <is>
          <t>Technology</t>
        </is>
      </c>
      <c r="H328" t="inlineStr">
        <is>
          <t>Keyboard</t>
        </is>
      </c>
      <c r="I328" t="n">
        <v>6</v>
      </c>
      <c r="J328" s="12" t="n">
        <v>1372.83</v>
      </c>
      <c r="K328" s="13" t="n">
        <v>0.05</v>
      </c>
      <c r="L328" s="12" t="n">
        <v>7825.13</v>
      </c>
      <c r="M328" s="12" t="n">
        <v>6177.73</v>
      </c>
      <c r="N328" s="12" t="n">
        <v>1647.4</v>
      </c>
      <c r="O328" t="inlineStr">
        <is>
          <t>Credit Card</t>
        </is>
      </c>
      <c r="P328" t="inlineStr">
        <is>
          <t>Anaya Rao</t>
        </is>
      </c>
    </row>
    <row r="329">
      <c r="A329" t="inlineStr">
        <is>
          <t>ORD-2510-0328</t>
        </is>
      </c>
      <c r="B329" s="11" t="n">
        <v>45953</v>
      </c>
      <c r="C329" t="inlineStr">
        <is>
          <t>South</t>
        </is>
      </c>
      <c r="D329" t="inlineStr">
        <is>
          <t>Chennai</t>
        </is>
      </c>
      <c r="E329" t="inlineStr">
        <is>
          <t>Corporate</t>
        </is>
      </c>
      <c r="F329" t="inlineStr">
        <is>
          <t>Retail Store</t>
        </is>
      </c>
      <c r="G329" t="inlineStr">
        <is>
          <t>Furniture</t>
        </is>
      </c>
      <c r="H329" t="inlineStr">
        <is>
          <t>Bookshelf</t>
        </is>
      </c>
      <c r="I329" t="n">
        <v>1</v>
      </c>
      <c r="J329" s="12" t="n">
        <v>5029.36</v>
      </c>
      <c r="K329" s="13" t="n">
        <v>0.15</v>
      </c>
      <c r="L329" s="12" t="n">
        <v>4274.96</v>
      </c>
      <c r="M329" s="12" t="n">
        <v>3721.73</v>
      </c>
      <c r="N329" s="12" t="n">
        <v>553.23</v>
      </c>
      <c r="O329" t="inlineStr">
        <is>
          <t>Credit Card</t>
        </is>
      </c>
      <c r="P329" t="inlineStr">
        <is>
          <t>Diya Patel</t>
        </is>
      </c>
    </row>
    <row r="330">
      <c r="A330" t="inlineStr">
        <is>
          <t>ORD-2506-0329</t>
        </is>
      </c>
      <c r="B330" s="11" t="n">
        <v>45833</v>
      </c>
      <c r="C330" t="inlineStr">
        <is>
          <t>South</t>
        </is>
      </c>
      <c r="D330" t="inlineStr">
        <is>
          <t>Kochi</t>
        </is>
      </c>
      <c r="E330" t="inlineStr">
        <is>
          <t>Consumer</t>
        </is>
      </c>
      <c r="F330" t="inlineStr">
        <is>
          <t>Retail Store</t>
        </is>
      </c>
      <c r="G330" t="inlineStr">
        <is>
          <t>Technology</t>
        </is>
      </c>
      <c r="H330" t="inlineStr">
        <is>
          <t>Keyboard</t>
        </is>
      </c>
      <c r="I330" t="n">
        <v>4</v>
      </c>
      <c r="J330" s="12" t="n">
        <v>1489.18</v>
      </c>
      <c r="K330" s="13" t="n">
        <v>0.1</v>
      </c>
      <c r="L330" s="12" t="n">
        <v>5361.05</v>
      </c>
      <c r="M330" s="12" t="n">
        <v>4467.54</v>
      </c>
      <c r="N330" s="12" t="n">
        <v>893.51</v>
      </c>
      <c r="O330" t="inlineStr">
        <is>
          <t>Cash</t>
        </is>
      </c>
      <c r="P330" t="inlineStr">
        <is>
          <t>Anaya Rao</t>
        </is>
      </c>
    </row>
    <row r="331">
      <c r="A331" t="inlineStr">
        <is>
          <t>ORD-2512-0330</t>
        </is>
      </c>
      <c r="B331" s="11" t="n">
        <v>46018</v>
      </c>
      <c r="C331" t="inlineStr">
        <is>
          <t>North</t>
        </is>
      </c>
      <c r="D331" t="inlineStr">
        <is>
          <t>Lucknow</t>
        </is>
      </c>
      <c r="E331" t="inlineStr">
        <is>
          <t>Consumer</t>
        </is>
      </c>
      <c r="F331" t="inlineStr">
        <is>
          <t>Retail Store</t>
        </is>
      </c>
      <c r="G331" t="inlineStr">
        <is>
          <t>Office Supplies</t>
        </is>
      </c>
      <c r="H331" t="inlineStr">
        <is>
          <t>Pens Box</t>
        </is>
      </c>
      <c r="I331" t="n">
        <v>1</v>
      </c>
      <c r="J331" s="12" t="n">
        <v>170.12</v>
      </c>
      <c r="K331" s="13" t="n">
        <v>0.15</v>
      </c>
      <c r="L331" s="12" t="n">
        <v>144.6</v>
      </c>
      <c r="M331" s="12" t="n">
        <v>110.58</v>
      </c>
      <c r="N331" s="12" t="n">
        <v>34.02</v>
      </c>
      <c r="O331" t="inlineStr">
        <is>
          <t>UPI</t>
        </is>
      </c>
      <c r="P331" t="inlineStr">
        <is>
          <t>Meera Joshi</t>
        </is>
      </c>
    </row>
    <row r="332">
      <c r="A332" t="inlineStr">
        <is>
          <t>ORD-2507-0331</t>
        </is>
      </c>
      <c r="B332" s="11" t="n">
        <v>45867</v>
      </c>
      <c r="C332" t="inlineStr">
        <is>
          <t>Central</t>
        </is>
      </c>
      <c r="D332" t="inlineStr">
        <is>
          <t>Raipur</t>
        </is>
      </c>
      <c r="E332" t="inlineStr">
        <is>
          <t>Small Business</t>
        </is>
      </c>
      <c r="F332" t="inlineStr">
        <is>
          <t>Partner</t>
        </is>
      </c>
      <c r="G332" t="inlineStr">
        <is>
          <t>Office Supplies</t>
        </is>
      </c>
      <c r="H332" t="inlineStr">
        <is>
          <t>Pens Box</t>
        </is>
      </c>
      <c r="I332" t="n">
        <v>2</v>
      </c>
      <c r="J332" s="12" t="n">
        <v>167.03</v>
      </c>
      <c r="K332" s="13" t="n">
        <v>0</v>
      </c>
      <c r="L332" s="12" t="n">
        <v>334.06</v>
      </c>
      <c r="M332" s="12" t="n">
        <v>217.14</v>
      </c>
      <c r="N332" s="12" t="n">
        <v>116.92</v>
      </c>
      <c r="O332" t="inlineStr">
        <is>
          <t>Debit Card</t>
        </is>
      </c>
      <c r="P332" t="inlineStr">
        <is>
          <t>Kabir Singh</t>
        </is>
      </c>
    </row>
    <row r="333">
      <c r="A333" t="inlineStr">
        <is>
          <t>ORD-2501-0332</t>
        </is>
      </c>
      <c r="B333" s="11" t="n">
        <v>45685</v>
      </c>
      <c r="C333" t="inlineStr">
        <is>
          <t>East</t>
        </is>
      </c>
      <c r="D333" t="inlineStr">
        <is>
          <t>Kolkata</t>
        </is>
      </c>
      <c r="E333" t="inlineStr">
        <is>
          <t>Corporate</t>
        </is>
      </c>
      <c r="F333" t="inlineStr">
        <is>
          <t>Online</t>
        </is>
      </c>
      <c r="G333" t="inlineStr">
        <is>
          <t>Furniture</t>
        </is>
      </c>
      <c r="H333" t="inlineStr">
        <is>
          <t>Desk</t>
        </is>
      </c>
      <c r="I333" t="n">
        <v>1</v>
      </c>
      <c r="J333" s="12" t="n">
        <v>11730.17</v>
      </c>
      <c r="K333" s="13" t="n">
        <v>0.15</v>
      </c>
      <c r="L333" s="12" t="n">
        <v>9970.639999999999</v>
      </c>
      <c r="M333" s="12" t="n">
        <v>8914.93</v>
      </c>
      <c r="N333" s="12" t="n">
        <v>1055.71</v>
      </c>
      <c r="O333" t="inlineStr">
        <is>
          <t>Credit Card</t>
        </is>
      </c>
      <c r="P333" t="inlineStr">
        <is>
          <t>Aarav Sharma</t>
        </is>
      </c>
    </row>
    <row r="334">
      <c r="A334" t="inlineStr">
        <is>
          <t>ORD-2504-0333</t>
        </is>
      </c>
      <c r="B334" s="11" t="n">
        <v>45763</v>
      </c>
      <c r="C334" t="inlineStr">
        <is>
          <t>South</t>
        </is>
      </c>
      <c r="D334" t="inlineStr">
        <is>
          <t>Hyderabad</t>
        </is>
      </c>
      <c r="E334" t="inlineStr">
        <is>
          <t>Corporate</t>
        </is>
      </c>
      <c r="F334" t="inlineStr">
        <is>
          <t>Retail Store</t>
        </is>
      </c>
      <c r="G334" t="inlineStr">
        <is>
          <t>Technology</t>
        </is>
      </c>
      <c r="H334" t="inlineStr">
        <is>
          <t>Monitor</t>
        </is>
      </c>
      <c r="I334" t="n">
        <v>3</v>
      </c>
      <c r="J334" s="12" t="n">
        <v>13069.75</v>
      </c>
      <c r="K334" s="13" t="n">
        <v>0</v>
      </c>
      <c r="L334" s="12" t="n">
        <v>39209.25</v>
      </c>
      <c r="M334" s="12" t="n">
        <v>32151.59</v>
      </c>
      <c r="N334" s="12" t="n">
        <v>7057.66</v>
      </c>
      <c r="O334" t="inlineStr">
        <is>
          <t>Net Banking</t>
        </is>
      </c>
      <c r="P334" t="inlineStr">
        <is>
          <t>Diya Patel</t>
        </is>
      </c>
    </row>
    <row r="335">
      <c r="A335" t="inlineStr">
        <is>
          <t>ORD-2511-0334</t>
        </is>
      </c>
      <c r="B335" s="11" t="n">
        <v>45986</v>
      </c>
      <c r="C335" t="inlineStr">
        <is>
          <t>Central</t>
        </is>
      </c>
      <c r="D335" t="inlineStr">
        <is>
          <t>Nagpur</t>
        </is>
      </c>
      <c r="E335" t="inlineStr">
        <is>
          <t>Consumer</t>
        </is>
      </c>
      <c r="F335" t="inlineStr">
        <is>
          <t>Retail Store</t>
        </is>
      </c>
      <c r="G335" t="inlineStr">
        <is>
          <t>Technology</t>
        </is>
      </c>
      <c r="H335" t="inlineStr">
        <is>
          <t>Keyboard</t>
        </is>
      </c>
      <c r="I335" t="n">
        <v>2</v>
      </c>
      <c r="J335" s="12" t="n">
        <v>1329.79</v>
      </c>
      <c r="K335" s="13" t="n">
        <v>0.05</v>
      </c>
      <c r="L335" s="12" t="n">
        <v>2526.6</v>
      </c>
      <c r="M335" s="12" t="n">
        <v>1994.68</v>
      </c>
      <c r="N335" s="12" t="n">
        <v>531.92</v>
      </c>
      <c r="O335" t="inlineStr">
        <is>
          <t>Debit Card</t>
        </is>
      </c>
      <c r="P335" t="inlineStr">
        <is>
          <t>Anaya Rao</t>
        </is>
      </c>
    </row>
    <row r="336">
      <c r="A336" t="inlineStr">
        <is>
          <t>ORD-2505-0335</t>
        </is>
      </c>
      <c r="B336" s="11" t="n">
        <v>45792</v>
      </c>
      <c r="C336" t="inlineStr">
        <is>
          <t>South</t>
        </is>
      </c>
      <c r="D336" t="inlineStr">
        <is>
          <t>Hyderabad</t>
        </is>
      </c>
      <c r="E336" t="inlineStr">
        <is>
          <t>Consumer</t>
        </is>
      </c>
      <c r="F336" t="inlineStr">
        <is>
          <t>Partner</t>
        </is>
      </c>
      <c r="G336" t="inlineStr">
        <is>
          <t>Office Supplies</t>
        </is>
      </c>
      <c r="H336" t="inlineStr">
        <is>
          <t>Notebook Pack</t>
        </is>
      </c>
      <c r="I336" t="n">
        <v>1</v>
      </c>
      <c r="J336" s="12" t="n">
        <v>359.38</v>
      </c>
      <c r="K336" s="13" t="n">
        <v>0.1</v>
      </c>
      <c r="L336" s="12" t="n">
        <v>323.44</v>
      </c>
      <c r="M336" s="12" t="n">
        <v>244.38</v>
      </c>
      <c r="N336" s="12" t="n">
        <v>79.06</v>
      </c>
      <c r="O336" t="inlineStr">
        <is>
          <t>Net Banking</t>
        </is>
      </c>
      <c r="P336" t="inlineStr">
        <is>
          <t>Vivaan Gupta</t>
        </is>
      </c>
    </row>
    <row r="337">
      <c r="A337" t="inlineStr">
        <is>
          <t>ORD-2510-0336</t>
        </is>
      </c>
      <c r="B337" s="11" t="n">
        <v>45959</v>
      </c>
      <c r="C337" t="inlineStr">
        <is>
          <t>South</t>
        </is>
      </c>
      <c r="D337" t="inlineStr">
        <is>
          <t>Bengaluru</t>
        </is>
      </c>
      <c r="E337" t="inlineStr">
        <is>
          <t>Small Business</t>
        </is>
      </c>
      <c r="F337" t="inlineStr">
        <is>
          <t>Retail Store</t>
        </is>
      </c>
      <c r="G337" t="inlineStr">
        <is>
          <t>Office Supplies</t>
        </is>
      </c>
      <c r="H337" t="inlineStr">
        <is>
          <t>Stapler</t>
        </is>
      </c>
      <c r="I337" t="n">
        <v>2</v>
      </c>
      <c r="J337" s="12" t="n">
        <v>279.37</v>
      </c>
      <c r="K337" s="13" t="n">
        <v>0.1</v>
      </c>
      <c r="L337" s="12" t="n">
        <v>502.87</v>
      </c>
      <c r="M337" s="12" t="n">
        <v>391.12</v>
      </c>
      <c r="N337" s="12" t="n">
        <v>111.75</v>
      </c>
      <c r="O337" t="inlineStr">
        <is>
          <t>Cash</t>
        </is>
      </c>
      <c r="P337" t="inlineStr">
        <is>
          <t>Meera Joshi</t>
        </is>
      </c>
    </row>
    <row r="338">
      <c r="A338" t="inlineStr">
        <is>
          <t>ORD-2509-0337</t>
        </is>
      </c>
      <c r="B338" s="11" t="n">
        <v>45901</v>
      </c>
      <c r="C338" t="inlineStr">
        <is>
          <t>East</t>
        </is>
      </c>
      <c r="D338" t="inlineStr">
        <is>
          <t>Kolkata</t>
        </is>
      </c>
      <c r="E338" t="inlineStr">
        <is>
          <t>Small Business</t>
        </is>
      </c>
      <c r="F338" t="inlineStr">
        <is>
          <t>Partner</t>
        </is>
      </c>
      <c r="G338" t="inlineStr">
        <is>
          <t>Furniture</t>
        </is>
      </c>
      <c r="H338" t="inlineStr">
        <is>
          <t>Desk</t>
        </is>
      </c>
      <c r="I338" t="n">
        <v>6</v>
      </c>
      <c r="J338" s="12" t="n">
        <v>11503.87</v>
      </c>
      <c r="K338" s="13" t="n">
        <v>0.1</v>
      </c>
      <c r="L338" s="12" t="n">
        <v>62120.9</v>
      </c>
      <c r="M338" s="12" t="n">
        <v>52457.65</v>
      </c>
      <c r="N338" s="12" t="n">
        <v>9663.25</v>
      </c>
      <c r="O338" t="inlineStr">
        <is>
          <t>Cash</t>
        </is>
      </c>
      <c r="P338" t="inlineStr">
        <is>
          <t>Kabir Singh</t>
        </is>
      </c>
    </row>
    <row r="339">
      <c r="A339" t="inlineStr">
        <is>
          <t>ORD-2503-0338</t>
        </is>
      </c>
      <c r="B339" s="11" t="n">
        <v>45719</v>
      </c>
      <c r="C339" t="inlineStr">
        <is>
          <t>West</t>
        </is>
      </c>
      <c r="D339" t="inlineStr">
        <is>
          <t>Pune</t>
        </is>
      </c>
      <c r="E339" t="inlineStr">
        <is>
          <t>Corporate</t>
        </is>
      </c>
      <c r="F339" t="inlineStr">
        <is>
          <t>Online</t>
        </is>
      </c>
      <c r="G339" t="inlineStr">
        <is>
          <t>Technology</t>
        </is>
      </c>
      <c r="H339" t="inlineStr">
        <is>
          <t>Keyboard</t>
        </is>
      </c>
      <c r="I339" t="n">
        <v>10</v>
      </c>
      <c r="J339" s="12" t="n">
        <v>1316.27</v>
      </c>
      <c r="K339" s="13" t="n">
        <v>0.15</v>
      </c>
      <c r="L339" s="12" t="n">
        <v>11188.3</v>
      </c>
      <c r="M339" s="12" t="n">
        <v>9872.030000000001</v>
      </c>
      <c r="N339" s="12" t="n">
        <v>1316.27</v>
      </c>
      <c r="O339" t="inlineStr">
        <is>
          <t>Debit Card</t>
        </is>
      </c>
      <c r="P339" t="inlineStr">
        <is>
          <t>Meera Joshi</t>
        </is>
      </c>
    </row>
    <row r="340">
      <c r="A340" t="inlineStr">
        <is>
          <t>ORD-2511-0339</t>
        </is>
      </c>
      <c r="B340" s="11" t="n">
        <v>45979</v>
      </c>
      <c r="C340" t="inlineStr">
        <is>
          <t>South</t>
        </is>
      </c>
      <c r="D340" t="inlineStr">
        <is>
          <t>Hyderabad</t>
        </is>
      </c>
      <c r="E340" t="inlineStr">
        <is>
          <t>Corporate</t>
        </is>
      </c>
      <c r="F340" t="inlineStr">
        <is>
          <t>Partner</t>
        </is>
      </c>
      <c r="G340" t="inlineStr">
        <is>
          <t>Furniture</t>
        </is>
      </c>
      <c r="H340" t="inlineStr">
        <is>
          <t>Office Chair</t>
        </is>
      </c>
      <c r="I340" t="n">
        <v>6</v>
      </c>
      <c r="J340" s="12" t="n">
        <v>6328.91</v>
      </c>
      <c r="K340" s="13" t="n">
        <v>0.15</v>
      </c>
      <c r="L340" s="12" t="n">
        <v>32277.44</v>
      </c>
      <c r="M340" s="12" t="n">
        <v>27340.89</v>
      </c>
      <c r="N340" s="12" t="n">
        <v>4936.55</v>
      </c>
      <c r="O340" t="inlineStr">
        <is>
          <t>Debit Card</t>
        </is>
      </c>
      <c r="P340" t="inlineStr">
        <is>
          <t>Sara Khan</t>
        </is>
      </c>
    </row>
    <row r="341">
      <c r="A341" t="inlineStr">
        <is>
          <t>ORD-2505-0340</t>
        </is>
      </c>
      <c r="B341" s="11" t="n">
        <v>45799</v>
      </c>
      <c r="C341" t="inlineStr">
        <is>
          <t>Central</t>
        </is>
      </c>
      <c r="D341" t="inlineStr">
        <is>
          <t>Nagpur</t>
        </is>
      </c>
      <c r="E341" t="inlineStr">
        <is>
          <t>Corporate</t>
        </is>
      </c>
      <c r="F341" t="inlineStr">
        <is>
          <t>Online</t>
        </is>
      </c>
      <c r="G341" t="inlineStr">
        <is>
          <t>Office Supplies</t>
        </is>
      </c>
      <c r="H341" t="inlineStr">
        <is>
          <t>Stapler</t>
        </is>
      </c>
      <c r="I341" t="n">
        <v>1</v>
      </c>
      <c r="J341" s="12" t="n">
        <v>263.64</v>
      </c>
      <c r="K341" s="13" t="n">
        <v>0.1</v>
      </c>
      <c r="L341" s="12" t="n">
        <v>237.28</v>
      </c>
      <c r="M341" s="12" t="n">
        <v>184.55</v>
      </c>
      <c r="N341" s="12" t="n">
        <v>52.73</v>
      </c>
      <c r="O341" t="inlineStr">
        <is>
          <t>Debit Card</t>
        </is>
      </c>
      <c r="P341" t="inlineStr">
        <is>
          <t>Kabir Singh</t>
        </is>
      </c>
    </row>
    <row r="342">
      <c r="A342" t="inlineStr">
        <is>
          <t>ORD-2503-0341</t>
        </is>
      </c>
      <c r="B342" s="11" t="n">
        <v>45733</v>
      </c>
      <c r="C342" t="inlineStr">
        <is>
          <t>Central</t>
        </is>
      </c>
      <c r="D342" t="inlineStr">
        <is>
          <t>Bhopal</t>
        </is>
      </c>
      <c r="E342" t="inlineStr">
        <is>
          <t>Small Business</t>
        </is>
      </c>
      <c r="F342" t="inlineStr">
        <is>
          <t>Retail Store</t>
        </is>
      </c>
      <c r="G342" t="inlineStr">
        <is>
          <t>Technology</t>
        </is>
      </c>
      <c r="H342" t="inlineStr">
        <is>
          <t>Monitor</t>
        </is>
      </c>
      <c r="I342" t="n">
        <v>3</v>
      </c>
      <c r="J342" s="12" t="n">
        <v>12072.19</v>
      </c>
      <c r="K342" s="13" t="n">
        <v>0</v>
      </c>
      <c r="L342" s="12" t="n">
        <v>36216.57</v>
      </c>
      <c r="M342" s="12" t="n">
        <v>29697.59</v>
      </c>
      <c r="N342" s="12" t="n">
        <v>6518.98</v>
      </c>
      <c r="O342" t="inlineStr">
        <is>
          <t>Debit Card</t>
        </is>
      </c>
      <c r="P342" t="inlineStr">
        <is>
          <t>Rohan Verma</t>
        </is>
      </c>
    </row>
    <row r="343">
      <c r="A343" t="inlineStr">
        <is>
          <t>ORD-2507-0342</t>
        </is>
      </c>
      <c r="B343" s="11" t="n">
        <v>45854</v>
      </c>
      <c r="C343" t="inlineStr">
        <is>
          <t>West</t>
        </is>
      </c>
      <c r="D343" t="inlineStr">
        <is>
          <t>Surat</t>
        </is>
      </c>
      <c r="E343" t="inlineStr">
        <is>
          <t>Small Business</t>
        </is>
      </c>
      <c r="F343" t="inlineStr">
        <is>
          <t>Partner</t>
        </is>
      </c>
      <c r="G343" t="inlineStr">
        <is>
          <t>Technology</t>
        </is>
      </c>
      <c r="H343" t="inlineStr">
        <is>
          <t>Laptop</t>
        </is>
      </c>
      <c r="I343" t="n">
        <v>1</v>
      </c>
      <c r="J343" s="12" t="n">
        <v>42794.6</v>
      </c>
      <c r="K343" s="13" t="n">
        <v>0.05</v>
      </c>
      <c r="L343" s="12" t="n">
        <v>40654.87</v>
      </c>
      <c r="M343" s="12" t="n">
        <v>37659.25</v>
      </c>
      <c r="N343" s="12" t="n">
        <v>2995.62</v>
      </c>
      <c r="O343" t="inlineStr">
        <is>
          <t>Debit Card</t>
        </is>
      </c>
      <c r="P343" t="inlineStr">
        <is>
          <t>Aarav Sharma</t>
        </is>
      </c>
    </row>
    <row r="344">
      <c r="A344" t="inlineStr">
        <is>
          <t>ORD-2507-0343</t>
        </is>
      </c>
      <c r="B344" s="11" t="n">
        <v>45860</v>
      </c>
      <c r="C344" t="inlineStr">
        <is>
          <t>East</t>
        </is>
      </c>
      <c r="D344" t="inlineStr">
        <is>
          <t>Patna</t>
        </is>
      </c>
      <c r="E344" t="inlineStr">
        <is>
          <t>Consumer</t>
        </is>
      </c>
      <c r="F344" t="inlineStr">
        <is>
          <t>Retail Store</t>
        </is>
      </c>
      <c r="G344" t="inlineStr">
        <is>
          <t>Technology</t>
        </is>
      </c>
      <c r="H344" t="inlineStr">
        <is>
          <t>Laptop</t>
        </is>
      </c>
      <c r="I344" t="n">
        <v>4</v>
      </c>
      <c r="J344" s="12" t="n">
        <v>44668.05</v>
      </c>
      <c r="K344" s="13" t="n">
        <v>0.15</v>
      </c>
      <c r="L344" s="12" t="n">
        <v>151871.37</v>
      </c>
      <c r="M344" s="12" t="n">
        <v>157231.54</v>
      </c>
      <c r="N344" s="12" t="n">
        <v>-5360.17</v>
      </c>
      <c r="O344" t="inlineStr">
        <is>
          <t>Net Banking</t>
        </is>
      </c>
      <c r="P344" t="inlineStr">
        <is>
          <t>Rohan Verma</t>
        </is>
      </c>
    </row>
    <row r="345">
      <c r="A345" t="inlineStr">
        <is>
          <t>ORD-2505-0344</t>
        </is>
      </c>
      <c r="B345" s="11" t="n">
        <v>45801</v>
      </c>
      <c r="C345" t="inlineStr">
        <is>
          <t>West</t>
        </is>
      </c>
      <c r="D345" t="inlineStr">
        <is>
          <t>Mumbai</t>
        </is>
      </c>
      <c r="E345" t="inlineStr">
        <is>
          <t>Corporate</t>
        </is>
      </c>
      <c r="F345" t="inlineStr">
        <is>
          <t>Retail Store</t>
        </is>
      </c>
      <c r="G345" t="inlineStr">
        <is>
          <t>Office Supplies</t>
        </is>
      </c>
      <c r="H345" t="inlineStr">
        <is>
          <t>Stapler</t>
        </is>
      </c>
      <c r="I345" t="n">
        <v>2</v>
      </c>
      <c r="J345" s="12" t="n">
        <v>270.14</v>
      </c>
      <c r="K345" s="13" t="n">
        <v>0.05</v>
      </c>
      <c r="L345" s="12" t="n">
        <v>513.27</v>
      </c>
      <c r="M345" s="12" t="n">
        <v>378.2</v>
      </c>
      <c r="N345" s="12" t="n">
        <v>135.07</v>
      </c>
      <c r="O345" t="inlineStr">
        <is>
          <t>Debit Card</t>
        </is>
      </c>
      <c r="P345" t="inlineStr">
        <is>
          <t>Diya Patel</t>
        </is>
      </c>
    </row>
    <row r="346">
      <c r="A346" t="inlineStr">
        <is>
          <t>ORD-2504-0345</t>
        </is>
      </c>
      <c r="B346" s="11" t="n">
        <v>45754</v>
      </c>
      <c r="C346" t="inlineStr">
        <is>
          <t>West</t>
        </is>
      </c>
      <c r="D346" t="inlineStr">
        <is>
          <t>Pune</t>
        </is>
      </c>
      <c r="E346" t="inlineStr">
        <is>
          <t>Corporate</t>
        </is>
      </c>
      <c r="F346" t="inlineStr">
        <is>
          <t>Online</t>
        </is>
      </c>
      <c r="G346" t="inlineStr">
        <is>
          <t>Office Supplies</t>
        </is>
      </c>
      <c r="H346" t="inlineStr">
        <is>
          <t>Stapler</t>
        </is>
      </c>
      <c r="I346" t="n">
        <v>2</v>
      </c>
      <c r="J346" s="12" t="n">
        <v>260.69</v>
      </c>
      <c r="K346" s="13" t="n">
        <v>0.05</v>
      </c>
      <c r="L346" s="12" t="n">
        <v>495.31</v>
      </c>
      <c r="M346" s="12" t="n">
        <v>364.97</v>
      </c>
      <c r="N346" s="12" t="n">
        <v>130.34</v>
      </c>
      <c r="O346" t="inlineStr">
        <is>
          <t>Cash</t>
        </is>
      </c>
      <c r="P346" t="inlineStr">
        <is>
          <t>Kabir Singh</t>
        </is>
      </c>
    </row>
    <row r="347">
      <c r="A347" t="inlineStr">
        <is>
          <t>ORD-2502-0346</t>
        </is>
      </c>
      <c r="B347" s="11" t="n">
        <v>45691</v>
      </c>
      <c r="C347" t="inlineStr">
        <is>
          <t>East</t>
        </is>
      </c>
      <c r="D347" t="inlineStr">
        <is>
          <t>Guwahati</t>
        </is>
      </c>
      <c r="E347" t="inlineStr">
        <is>
          <t>Consumer</t>
        </is>
      </c>
      <c r="F347" t="inlineStr">
        <is>
          <t>Online</t>
        </is>
      </c>
      <c r="G347" t="inlineStr">
        <is>
          <t>Technology</t>
        </is>
      </c>
      <c r="H347" t="inlineStr">
        <is>
          <t>Keyboard</t>
        </is>
      </c>
      <c r="I347" t="n">
        <v>5</v>
      </c>
      <c r="J347" s="12" t="n">
        <v>1415.38</v>
      </c>
      <c r="K347" s="13" t="n">
        <v>0.1</v>
      </c>
      <c r="L347" s="12" t="n">
        <v>6369.21</v>
      </c>
      <c r="M347" s="12" t="n">
        <v>5307.68</v>
      </c>
      <c r="N347" s="12" t="n">
        <v>1061.53</v>
      </c>
      <c r="O347" t="inlineStr">
        <is>
          <t>UPI</t>
        </is>
      </c>
      <c r="P347" t="inlineStr">
        <is>
          <t>Aarav Sharma</t>
        </is>
      </c>
    </row>
    <row r="348">
      <c r="A348" t="inlineStr">
        <is>
          <t>ORD-2505-0347</t>
        </is>
      </c>
      <c r="B348" s="11" t="n">
        <v>45785</v>
      </c>
      <c r="C348" t="inlineStr">
        <is>
          <t>North</t>
        </is>
      </c>
      <c r="D348" t="inlineStr">
        <is>
          <t>Lucknow</t>
        </is>
      </c>
      <c r="E348" t="inlineStr">
        <is>
          <t>Corporate</t>
        </is>
      </c>
      <c r="F348" t="inlineStr">
        <is>
          <t>Partner</t>
        </is>
      </c>
      <c r="G348" t="inlineStr">
        <is>
          <t>Technology</t>
        </is>
      </c>
      <c r="H348" t="inlineStr">
        <is>
          <t>Laptop</t>
        </is>
      </c>
      <c r="I348" t="n">
        <v>6</v>
      </c>
      <c r="J348" s="12" t="n">
        <v>40481.13</v>
      </c>
      <c r="K348" s="13" t="n">
        <v>0.1</v>
      </c>
      <c r="L348" s="12" t="n">
        <v>218598.1</v>
      </c>
      <c r="M348" s="12" t="n">
        <v>213740.37</v>
      </c>
      <c r="N348" s="12" t="n">
        <v>4857.73</v>
      </c>
      <c r="O348" t="inlineStr">
        <is>
          <t>Debit Card</t>
        </is>
      </c>
      <c r="P348" t="inlineStr">
        <is>
          <t>Diya Patel</t>
        </is>
      </c>
    </row>
    <row r="349">
      <c r="A349" t="inlineStr">
        <is>
          <t>ORD-2512-0348</t>
        </is>
      </c>
      <c r="B349" s="11" t="n">
        <v>46006</v>
      </c>
      <c r="C349" t="inlineStr">
        <is>
          <t>North</t>
        </is>
      </c>
      <c r="D349" t="inlineStr">
        <is>
          <t>Jaipur</t>
        </is>
      </c>
      <c r="E349" t="inlineStr">
        <is>
          <t>Corporate</t>
        </is>
      </c>
      <c r="F349" t="inlineStr">
        <is>
          <t>Partner</t>
        </is>
      </c>
      <c r="G349" t="inlineStr">
        <is>
          <t>Furniture</t>
        </is>
      </c>
      <c r="H349" t="inlineStr">
        <is>
          <t>Office Chair</t>
        </is>
      </c>
      <c r="I349" t="n">
        <v>3</v>
      </c>
      <c r="J349" s="12" t="n">
        <v>7301.05</v>
      </c>
      <c r="K349" s="13" t="n">
        <v>0.05</v>
      </c>
      <c r="L349" s="12" t="n">
        <v>20807.99</v>
      </c>
      <c r="M349" s="12" t="n">
        <v>15770.27</v>
      </c>
      <c r="N349" s="12" t="n">
        <v>5037.72</v>
      </c>
      <c r="O349" t="inlineStr">
        <is>
          <t>Cash</t>
        </is>
      </c>
      <c r="P349" t="inlineStr">
        <is>
          <t>Sara Khan</t>
        </is>
      </c>
    </row>
    <row r="350">
      <c r="A350" t="inlineStr">
        <is>
          <t>ORD-2506-0349</t>
        </is>
      </c>
      <c r="B350" s="11" t="n">
        <v>45834</v>
      </c>
      <c r="C350" t="inlineStr">
        <is>
          <t>South</t>
        </is>
      </c>
      <c r="D350" t="inlineStr">
        <is>
          <t>Hyderabad</t>
        </is>
      </c>
      <c r="E350" t="inlineStr">
        <is>
          <t>Consumer</t>
        </is>
      </c>
      <c r="F350" t="inlineStr">
        <is>
          <t>Online</t>
        </is>
      </c>
      <c r="G350" t="inlineStr">
        <is>
          <t>Office Supplies</t>
        </is>
      </c>
      <c r="H350" t="inlineStr">
        <is>
          <t>Paper Ream</t>
        </is>
      </c>
      <c r="I350" t="n">
        <v>5</v>
      </c>
      <c r="J350" s="12" t="n">
        <v>388.24</v>
      </c>
      <c r="K350" s="13" t="n">
        <v>0</v>
      </c>
      <c r="L350" s="12" t="n">
        <v>1941.2</v>
      </c>
      <c r="M350" s="12" t="n">
        <v>1494.72</v>
      </c>
      <c r="N350" s="12" t="n">
        <v>446.48</v>
      </c>
      <c r="O350" t="inlineStr">
        <is>
          <t>Cash</t>
        </is>
      </c>
      <c r="P350" t="inlineStr">
        <is>
          <t>Meera Joshi</t>
        </is>
      </c>
    </row>
    <row r="351">
      <c r="A351" t="inlineStr">
        <is>
          <t>ORD-2504-0350</t>
        </is>
      </c>
      <c r="B351" s="11" t="n">
        <v>45771</v>
      </c>
      <c r="C351" t="inlineStr">
        <is>
          <t>South</t>
        </is>
      </c>
      <c r="D351" t="inlineStr">
        <is>
          <t>Chennai</t>
        </is>
      </c>
      <c r="E351" t="inlineStr">
        <is>
          <t>Small Business</t>
        </is>
      </c>
      <c r="F351" t="inlineStr">
        <is>
          <t>Online</t>
        </is>
      </c>
      <c r="G351" t="inlineStr">
        <is>
          <t>Technology</t>
        </is>
      </c>
      <c r="H351" t="inlineStr">
        <is>
          <t>Headphones</t>
        </is>
      </c>
      <c r="I351" t="n">
        <v>4</v>
      </c>
      <c r="J351" s="12" t="n">
        <v>2328.35</v>
      </c>
      <c r="K351" s="13" t="n">
        <v>0.1</v>
      </c>
      <c r="L351" s="12" t="n">
        <v>8382.059999999999</v>
      </c>
      <c r="M351" s="12" t="n">
        <v>7264.45</v>
      </c>
      <c r="N351" s="12" t="n">
        <v>1117.61</v>
      </c>
      <c r="O351" t="inlineStr">
        <is>
          <t>Debit Card</t>
        </is>
      </c>
      <c r="P351" t="inlineStr">
        <is>
          <t>Kabir Singh</t>
        </is>
      </c>
    </row>
    <row r="352">
      <c r="A352" t="inlineStr">
        <is>
          <t>ORD-2511-0351</t>
        </is>
      </c>
      <c r="B352" s="11" t="n">
        <v>45989</v>
      </c>
      <c r="C352" t="inlineStr">
        <is>
          <t>South</t>
        </is>
      </c>
      <c r="D352" t="inlineStr">
        <is>
          <t>Bengaluru</t>
        </is>
      </c>
      <c r="E352" t="inlineStr">
        <is>
          <t>Small Business</t>
        </is>
      </c>
      <c r="F352" t="inlineStr">
        <is>
          <t>Partner</t>
        </is>
      </c>
      <c r="G352" t="inlineStr">
        <is>
          <t>Technology</t>
        </is>
      </c>
      <c r="H352" t="inlineStr">
        <is>
          <t>Printer</t>
        </is>
      </c>
      <c r="I352" t="n">
        <v>2</v>
      </c>
      <c r="J352" s="12" t="n">
        <v>9204.299999999999</v>
      </c>
      <c r="K352" s="13" t="n">
        <v>0.15</v>
      </c>
      <c r="L352" s="12" t="n">
        <v>15647.31</v>
      </c>
      <c r="M352" s="12" t="n">
        <v>15463.22</v>
      </c>
      <c r="N352" s="12" t="n">
        <v>184.09</v>
      </c>
      <c r="O352" t="inlineStr">
        <is>
          <t>Net Banking</t>
        </is>
      </c>
      <c r="P352" t="inlineStr">
        <is>
          <t>Vivaan Gupta</t>
        </is>
      </c>
    </row>
    <row r="353">
      <c r="A353" t="inlineStr">
        <is>
          <t>ORD-2507-0352</t>
        </is>
      </c>
      <c r="B353" s="11" t="n">
        <v>45850</v>
      </c>
      <c r="C353" t="inlineStr">
        <is>
          <t>East</t>
        </is>
      </c>
      <c r="D353" t="inlineStr">
        <is>
          <t>Guwahati</t>
        </is>
      </c>
      <c r="E353" t="inlineStr">
        <is>
          <t>Small Business</t>
        </is>
      </c>
      <c r="F353" t="inlineStr">
        <is>
          <t>Retail Store</t>
        </is>
      </c>
      <c r="G353" t="inlineStr">
        <is>
          <t>Technology</t>
        </is>
      </c>
      <c r="H353" t="inlineStr">
        <is>
          <t>Headphones</t>
        </is>
      </c>
      <c r="I353" t="n">
        <v>2</v>
      </c>
      <c r="J353" s="12" t="n">
        <v>2207.26</v>
      </c>
      <c r="K353" s="13" t="n">
        <v>0.05</v>
      </c>
      <c r="L353" s="12" t="n">
        <v>4193.79</v>
      </c>
      <c r="M353" s="12" t="n">
        <v>3443.33</v>
      </c>
      <c r="N353" s="12" t="n">
        <v>750.46</v>
      </c>
      <c r="O353" t="inlineStr">
        <is>
          <t>Cash</t>
        </is>
      </c>
      <c r="P353" t="inlineStr">
        <is>
          <t>Diya Patel</t>
        </is>
      </c>
    </row>
    <row r="354">
      <c r="A354" t="inlineStr">
        <is>
          <t>ORD-2501-0353</t>
        </is>
      </c>
      <c r="B354" s="11" t="n">
        <v>45661</v>
      </c>
      <c r="C354" t="inlineStr">
        <is>
          <t>Central</t>
        </is>
      </c>
      <c r="D354" t="inlineStr">
        <is>
          <t>Raipur</t>
        </is>
      </c>
      <c r="E354" t="inlineStr">
        <is>
          <t>Consumer</t>
        </is>
      </c>
      <c r="F354" t="inlineStr">
        <is>
          <t>Retail Store</t>
        </is>
      </c>
      <c r="G354" t="inlineStr">
        <is>
          <t>Furniture</t>
        </is>
      </c>
      <c r="H354" t="inlineStr">
        <is>
          <t>Storage Cabinet</t>
        </is>
      </c>
      <c r="I354" t="n">
        <v>4</v>
      </c>
      <c r="J354" s="12" t="n">
        <v>8613.030000000001</v>
      </c>
      <c r="K354" s="13" t="n">
        <v>0.1</v>
      </c>
      <c r="L354" s="12" t="n">
        <v>31006.91</v>
      </c>
      <c r="M354" s="12" t="n">
        <v>27561.7</v>
      </c>
      <c r="N354" s="12" t="n">
        <v>3445.21</v>
      </c>
      <c r="O354" t="inlineStr">
        <is>
          <t>Credit Card</t>
        </is>
      </c>
      <c r="P354" t="inlineStr">
        <is>
          <t>Sara Khan</t>
        </is>
      </c>
    </row>
    <row r="355">
      <c r="A355" t="inlineStr">
        <is>
          <t>ORD-2505-0354</t>
        </is>
      </c>
      <c r="B355" s="11" t="n">
        <v>45799</v>
      </c>
      <c r="C355" t="inlineStr">
        <is>
          <t>East</t>
        </is>
      </c>
      <c r="D355" t="inlineStr">
        <is>
          <t>Bhubaneswar</t>
        </is>
      </c>
      <c r="E355" t="inlineStr">
        <is>
          <t>Consumer</t>
        </is>
      </c>
      <c r="F355" t="inlineStr">
        <is>
          <t>Online</t>
        </is>
      </c>
      <c r="G355" t="inlineStr">
        <is>
          <t>Technology</t>
        </is>
      </c>
      <c r="H355" t="inlineStr">
        <is>
          <t>Headphones</t>
        </is>
      </c>
      <c r="I355" t="n">
        <v>4</v>
      </c>
      <c r="J355" s="12" t="n">
        <v>2253.32</v>
      </c>
      <c r="K355" s="13" t="n">
        <v>0.2</v>
      </c>
      <c r="L355" s="12" t="n">
        <v>7210.62</v>
      </c>
      <c r="M355" s="12" t="n">
        <v>7030.36</v>
      </c>
      <c r="N355" s="12" t="n">
        <v>180.26</v>
      </c>
      <c r="O355" t="inlineStr">
        <is>
          <t>Cash</t>
        </is>
      </c>
      <c r="P355" t="inlineStr">
        <is>
          <t>Meera Joshi</t>
        </is>
      </c>
    </row>
    <row r="356">
      <c r="A356" t="inlineStr">
        <is>
          <t>ORD-2501-0355</t>
        </is>
      </c>
      <c r="B356" s="11" t="n">
        <v>45687</v>
      </c>
      <c r="C356" t="inlineStr">
        <is>
          <t>Central</t>
        </is>
      </c>
      <c r="D356" t="inlineStr">
        <is>
          <t>Nagpur</t>
        </is>
      </c>
      <c r="E356" t="inlineStr">
        <is>
          <t>Corporate</t>
        </is>
      </c>
      <c r="F356" t="inlineStr">
        <is>
          <t>Retail Store</t>
        </is>
      </c>
      <c r="G356" t="inlineStr">
        <is>
          <t>Office Supplies</t>
        </is>
      </c>
      <c r="H356" t="inlineStr">
        <is>
          <t>Pens Box</t>
        </is>
      </c>
      <c r="I356" t="n">
        <v>2</v>
      </c>
      <c r="J356" s="12" t="n">
        <v>166.33</v>
      </c>
      <c r="K356" s="13" t="n">
        <v>0</v>
      </c>
      <c r="L356" s="12" t="n">
        <v>332.66</v>
      </c>
      <c r="M356" s="12" t="n">
        <v>216.23</v>
      </c>
      <c r="N356" s="12" t="n">
        <v>116.43</v>
      </c>
      <c r="O356" t="inlineStr">
        <is>
          <t>Net Banking</t>
        </is>
      </c>
      <c r="P356" t="inlineStr">
        <is>
          <t>Vivaan Gupta</t>
        </is>
      </c>
    </row>
    <row r="357">
      <c r="A357" t="inlineStr">
        <is>
          <t>ORD-2507-0356</t>
        </is>
      </c>
      <c r="B357" s="11" t="n">
        <v>45865</v>
      </c>
      <c r="C357" t="inlineStr">
        <is>
          <t>West</t>
        </is>
      </c>
      <c r="D357" t="inlineStr">
        <is>
          <t>Mumbai</t>
        </is>
      </c>
      <c r="E357" t="inlineStr">
        <is>
          <t>Small Business</t>
        </is>
      </c>
      <c r="F357" t="inlineStr">
        <is>
          <t>Partner</t>
        </is>
      </c>
      <c r="G357" t="inlineStr">
        <is>
          <t>Office Supplies</t>
        </is>
      </c>
      <c r="H357" t="inlineStr">
        <is>
          <t>Notebook Pack</t>
        </is>
      </c>
      <c r="I357" t="n">
        <v>4</v>
      </c>
      <c r="J357" s="12" t="n">
        <v>332.64</v>
      </c>
      <c r="K357" s="13" t="n">
        <v>0.1</v>
      </c>
      <c r="L357" s="12" t="n">
        <v>1197.5</v>
      </c>
      <c r="M357" s="12" t="n">
        <v>904.78</v>
      </c>
      <c r="N357" s="12" t="n">
        <v>292.72</v>
      </c>
      <c r="O357" t="inlineStr">
        <is>
          <t>UPI</t>
        </is>
      </c>
      <c r="P357" t="inlineStr">
        <is>
          <t>Anaya Rao</t>
        </is>
      </c>
    </row>
    <row r="358">
      <c r="A358" t="inlineStr">
        <is>
          <t>ORD-2512-0357</t>
        </is>
      </c>
      <c r="B358" s="11" t="n">
        <v>46001</v>
      </c>
      <c r="C358" t="inlineStr">
        <is>
          <t>East</t>
        </is>
      </c>
      <c r="D358" t="inlineStr">
        <is>
          <t>Bhubaneswar</t>
        </is>
      </c>
      <c r="E358" t="inlineStr">
        <is>
          <t>Corporate</t>
        </is>
      </c>
      <c r="F358" t="inlineStr">
        <is>
          <t>Online</t>
        </is>
      </c>
      <c r="G358" t="inlineStr">
        <is>
          <t>Office Supplies</t>
        </is>
      </c>
      <c r="H358" t="inlineStr">
        <is>
          <t>Stapler</t>
        </is>
      </c>
      <c r="I358" t="n">
        <v>1</v>
      </c>
      <c r="J358" s="12" t="n">
        <v>262.42</v>
      </c>
      <c r="K358" s="13" t="n">
        <v>0.1</v>
      </c>
      <c r="L358" s="12" t="n">
        <v>236.18</v>
      </c>
      <c r="M358" s="12" t="n">
        <v>183.69</v>
      </c>
      <c r="N358" s="12" t="n">
        <v>52.49</v>
      </c>
      <c r="O358" t="inlineStr">
        <is>
          <t>Debit Card</t>
        </is>
      </c>
      <c r="P358" t="inlineStr">
        <is>
          <t>Kabir Singh</t>
        </is>
      </c>
    </row>
    <row r="359">
      <c r="A359" t="inlineStr">
        <is>
          <t>ORD-2505-0358</t>
        </is>
      </c>
      <c r="B359" s="11" t="n">
        <v>45790</v>
      </c>
      <c r="C359" t="inlineStr">
        <is>
          <t>Central</t>
        </is>
      </c>
      <c r="D359" t="inlineStr">
        <is>
          <t>Indore</t>
        </is>
      </c>
      <c r="E359" t="inlineStr">
        <is>
          <t>Consumer</t>
        </is>
      </c>
      <c r="F359" t="inlineStr">
        <is>
          <t>Partner</t>
        </is>
      </c>
      <c r="G359" t="inlineStr">
        <is>
          <t>Office Supplies</t>
        </is>
      </c>
      <c r="H359" t="inlineStr">
        <is>
          <t>Pens Box</t>
        </is>
      </c>
      <c r="I359" t="n">
        <v>6</v>
      </c>
      <c r="J359" s="12" t="n">
        <v>172</v>
      </c>
      <c r="K359" s="13" t="n">
        <v>0.1</v>
      </c>
      <c r="L359" s="12" t="n">
        <v>928.8</v>
      </c>
      <c r="M359" s="12" t="n">
        <v>670.8</v>
      </c>
      <c r="N359" s="12" t="n">
        <v>258</v>
      </c>
      <c r="O359" t="inlineStr">
        <is>
          <t>Net Banking</t>
        </is>
      </c>
      <c r="P359" t="inlineStr">
        <is>
          <t>Vivaan Gupta</t>
        </is>
      </c>
    </row>
    <row r="360">
      <c r="A360" t="inlineStr">
        <is>
          <t>ORD-2506-0359</t>
        </is>
      </c>
      <c r="B360" s="11" t="n">
        <v>45827</v>
      </c>
      <c r="C360" t="inlineStr">
        <is>
          <t>East</t>
        </is>
      </c>
      <c r="D360" t="inlineStr">
        <is>
          <t>Bhubaneswar</t>
        </is>
      </c>
      <c r="E360" t="inlineStr">
        <is>
          <t>Small Business</t>
        </is>
      </c>
      <c r="F360" t="inlineStr">
        <is>
          <t>Partner</t>
        </is>
      </c>
      <c r="G360" t="inlineStr">
        <is>
          <t>Office Supplies</t>
        </is>
      </c>
      <c r="H360" t="inlineStr">
        <is>
          <t>Notebook Pack</t>
        </is>
      </c>
      <c r="I360" t="n">
        <v>2</v>
      </c>
      <c r="J360" s="12" t="n">
        <v>348.35</v>
      </c>
      <c r="K360" s="13" t="n">
        <v>0.15</v>
      </c>
      <c r="L360" s="12" t="n">
        <v>592.2</v>
      </c>
      <c r="M360" s="12" t="n">
        <v>473.76</v>
      </c>
      <c r="N360" s="12" t="n">
        <v>118.44</v>
      </c>
      <c r="O360" t="inlineStr">
        <is>
          <t>Cash</t>
        </is>
      </c>
      <c r="P360" t="inlineStr">
        <is>
          <t>Diya Patel</t>
        </is>
      </c>
    </row>
    <row r="361">
      <c r="A361" t="inlineStr">
        <is>
          <t>ORD-2508-0360</t>
        </is>
      </c>
      <c r="B361" s="11" t="n">
        <v>45899</v>
      </c>
      <c r="C361" t="inlineStr">
        <is>
          <t>South</t>
        </is>
      </c>
      <c r="D361" t="inlineStr">
        <is>
          <t>Bengaluru</t>
        </is>
      </c>
      <c r="E361" t="inlineStr">
        <is>
          <t>Consumer</t>
        </is>
      </c>
      <c r="F361" t="inlineStr">
        <is>
          <t>Online</t>
        </is>
      </c>
      <c r="G361" t="inlineStr">
        <is>
          <t>Office Supplies</t>
        </is>
      </c>
      <c r="H361" t="inlineStr">
        <is>
          <t>Stapler</t>
        </is>
      </c>
      <c r="I361" t="n">
        <v>4</v>
      </c>
      <c r="J361" s="12" t="n">
        <v>256.39</v>
      </c>
      <c r="K361" s="13" t="n">
        <v>0.1</v>
      </c>
      <c r="L361" s="12" t="n">
        <v>923</v>
      </c>
      <c r="M361" s="12" t="n">
        <v>717.89</v>
      </c>
      <c r="N361" s="12" t="n">
        <v>205.11</v>
      </c>
      <c r="O361" t="inlineStr">
        <is>
          <t>UPI</t>
        </is>
      </c>
      <c r="P361" t="inlineStr">
        <is>
          <t>Sara Khan</t>
        </is>
      </c>
    </row>
    <row r="362">
      <c r="A362" t="inlineStr">
        <is>
          <t>ORD-2507-0361</t>
        </is>
      </c>
      <c r="B362" s="11" t="n">
        <v>45867</v>
      </c>
      <c r="C362" t="inlineStr">
        <is>
          <t>Central</t>
        </is>
      </c>
      <c r="D362" t="inlineStr">
        <is>
          <t>Nagpur</t>
        </is>
      </c>
      <c r="E362" t="inlineStr">
        <is>
          <t>Corporate</t>
        </is>
      </c>
      <c r="F362" t="inlineStr">
        <is>
          <t>Retail Store</t>
        </is>
      </c>
      <c r="G362" t="inlineStr">
        <is>
          <t>Technology</t>
        </is>
      </c>
      <c r="H362" t="inlineStr">
        <is>
          <t>Keyboard</t>
        </is>
      </c>
      <c r="I362" t="n">
        <v>2</v>
      </c>
      <c r="J362" s="12" t="n">
        <v>1462.48</v>
      </c>
      <c r="K362" s="13" t="n">
        <v>0.1</v>
      </c>
      <c r="L362" s="12" t="n">
        <v>2632.46</v>
      </c>
      <c r="M362" s="12" t="n">
        <v>2193.72</v>
      </c>
      <c r="N362" s="12" t="n">
        <v>438.74</v>
      </c>
      <c r="O362" t="inlineStr">
        <is>
          <t>UPI</t>
        </is>
      </c>
      <c r="P362" t="inlineStr">
        <is>
          <t>Sara Khan</t>
        </is>
      </c>
    </row>
    <row r="363">
      <c r="A363" t="inlineStr">
        <is>
          <t>ORD-2511-0362</t>
        </is>
      </c>
      <c r="B363" s="11" t="n">
        <v>45982</v>
      </c>
      <c r="C363" t="inlineStr">
        <is>
          <t>North</t>
        </is>
      </c>
      <c r="D363" t="inlineStr">
        <is>
          <t>Delhi</t>
        </is>
      </c>
      <c r="E363" t="inlineStr">
        <is>
          <t>Consumer</t>
        </is>
      </c>
      <c r="F363" t="inlineStr">
        <is>
          <t>Retail Store</t>
        </is>
      </c>
      <c r="G363" t="inlineStr">
        <is>
          <t>Furniture</t>
        </is>
      </c>
      <c r="H363" t="inlineStr">
        <is>
          <t>Bookshelf</t>
        </is>
      </c>
      <c r="I363" t="n">
        <v>2</v>
      </c>
      <c r="J363" s="12" t="n">
        <v>4924.28</v>
      </c>
      <c r="K363" s="13" t="n">
        <v>0.1</v>
      </c>
      <c r="L363" s="12" t="n">
        <v>8863.700000000001</v>
      </c>
      <c r="M363" s="12" t="n">
        <v>7287.93</v>
      </c>
      <c r="N363" s="12" t="n">
        <v>1575.77</v>
      </c>
      <c r="O363" t="inlineStr">
        <is>
          <t>Credit Card</t>
        </is>
      </c>
      <c r="P363" t="inlineStr">
        <is>
          <t>Kabir Singh</t>
        </is>
      </c>
    </row>
    <row r="364">
      <c r="A364" t="inlineStr">
        <is>
          <t>ORD-2511-0363</t>
        </is>
      </c>
      <c r="B364" s="11" t="n">
        <v>45972</v>
      </c>
      <c r="C364" t="inlineStr">
        <is>
          <t>West</t>
        </is>
      </c>
      <c r="D364" t="inlineStr">
        <is>
          <t>Surat</t>
        </is>
      </c>
      <c r="E364" t="inlineStr">
        <is>
          <t>Small Business</t>
        </is>
      </c>
      <c r="F364" t="inlineStr">
        <is>
          <t>Online</t>
        </is>
      </c>
      <c r="G364" t="inlineStr">
        <is>
          <t>Furniture</t>
        </is>
      </c>
      <c r="H364" t="inlineStr">
        <is>
          <t>Desk</t>
        </is>
      </c>
      <c r="I364" t="n">
        <v>2</v>
      </c>
      <c r="J364" s="12" t="n">
        <v>10588.59</v>
      </c>
      <c r="K364" s="13" t="n">
        <v>0.05</v>
      </c>
      <c r="L364" s="12" t="n">
        <v>20118.32</v>
      </c>
      <c r="M364" s="12" t="n">
        <v>16094.66</v>
      </c>
      <c r="N364" s="12" t="n">
        <v>4023.66</v>
      </c>
      <c r="O364" t="inlineStr">
        <is>
          <t>Net Banking</t>
        </is>
      </c>
      <c r="P364" t="inlineStr">
        <is>
          <t>Aarav Sharma</t>
        </is>
      </c>
    </row>
    <row r="365">
      <c r="A365" t="inlineStr">
        <is>
          <t>ORD-2506-0364</t>
        </is>
      </c>
      <c r="B365" s="11" t="n">
        <v>45822</v>
      </c>
      <c r="C365" t="inlineStr">
        <is>
          <t>Central</t>
        </is>
      </c>
      <c r="D365" t="inlineStr">
        <is>
          <t>Indore</t>
        </is>
      </c>
      <c r="E365" t="inlineStr">
        <is>
          <t>Small Business</t>
        </is>
      </c>
      <c r="F365" t="inlineStr">
        <is>
          <t>Retail Store</t>
        </is>
      </c>
      <c r="G365" t="inlineStr">
        <is>
          <t>Technology</t>
        </is>
      </c>
      <c r="H365" t="inlineStr">
        <is>
          <t>Laptop</t>
        </is>
      </c>
      <c r="I365" t="n">
        <v>4</v>
      </c>
      <c r="J365" s="12" t="n">
        <v>40312.09</v>
      </c>
      <c r="K365" s="13" t="n">
        <v>0.1</v>
      </c>
      <c r="L365" s="12" t="n">
        <v>145123.52</v>
      </c>
      <c r="M365" s="12" t="n">
        <v>141898.56</v>
      </c>
      <c r="N365" s="12" t="n">
        <v>3224.96</v>
      </c>
      <c r="O365" t="inlineStr">
        <is>
          <t>Net Banking</t>
        </is>
      </c>
      <c r="P365" t="inlineStr">
        <is>
          <t>Kabir Singh</t>
        </is>
      </c>
    </row>
    <row r="366">
      <c r="A366" t="inlineStr">
        <is>
          <t>ORD-2502-0365</t>
        </is>
      </c>
      <c r="B366" s="11" t="n">
        <v>45710</v>
      </c>
      <c r="C366" t="inlineStr">
        <is>
          <t>West</t>
        </is>
      </c>
      <c r="D366" t="inlineStr">
        <is>
          <t>Ahmedabad</t>
        </is>
      </c>
      <c r="E366" t="inlineStr">
        <is>
          <t>Corporate</t>
        </is>
      </c>
      <c r="F366" t="inlineStr">
        <is>
          <t>Partner</t>
        </is>
      </c>
      <c r="G366" t="inlineStr">
        <is>
          <t>Technology</t>
        </is>
      </c>
      <c r="H366" t="inlineStr">
        <is>
          <t>Keyboard</t>
        </is>
      </c>
      <c r="I366" t="n">
        <v>1</v>
      </c>
      <c r="J366" s="12" t="n">
        <v>1500.46</v>
      </c>
      <c r="K366" s="13" t="n">
        <v>0</v>
      </c>
      <c r="L366" s="12" t="n">
        <v>1500.46</v>
      </c>
      <c r="M366" s="12" t="n">
        <v>1125.35</v>
      </c>
      <c r="N366" s="12" t="n">
        <v>375.11</v>
      </c>
      <c r="O366" t="inlineStr">
        <is>
          <t>Cash</t>
        </is>
      </c>
      <c r="P366" t="inlineStr">
        <is>
          <t>Sara Khan</t>
        </is>
      </c>
    </row>
    <row r="367">
      <c r="A367" t="inlineStr">
        <is>
          <t>ORD-2508-0366</t>
        </is>
      </c>
      <c r="B367" s="11" t="n">
        <v>45880</v>
      </c>
      <c r="C367" t="inlineStr">
        <is>
          <t>South</t>
        </is>
      </c>
      <c r="D367" t="inlineStr">
        <is>
          <t>Hyderabad</t>
        </is>
      </c>
      <c r="E367" t="inlineStr">
        <is>
          <t>Corporate</t>
        </is>
      </c>
      <c r="F367" t="inlineStr">
        <is>
          <t>Online</t>
        </is>
      </c>
      <c r="G367" t="inlineStr">
        <is>
          <t>Furniture</t>
        </is>
      </c>
      <c r="H367" t="inlineStr">
        <is>
          <t>Bookshelf</t>
        </is>
      </c>
      <c r="I367" t="n">
        <v>2</v>
      </c>
      <c r="J367" s="12" t="n">
        <v>5572.81</v>
      </c>
      <c r="K367" s="13" t="n">
        <v>0</v>
      </c>
      <c r="L367" s="12" t="n">
        <v>11145.62</v>
      </c>
      <c r="M367" s="12" t="n">
        <v>8247.76</v>
      </c>
      <c r="N367" s="12" t="n">
        <v>2897.86</v>
      </c>
      <c r="O367" t="inlineStr">
        <is>
          <t>UPI</t>
        </is>
      </c>
      <c r="P367" t="inlineStr">
        <is>
          <t>Meera Joshi</t>
        </is>
      </c>
    </row>
    <row r="368">
      <c r="A368" t="inlineStr">
        <is>
          <t>ORD-2503-0367</t>
        </is>
      </c>
      <c r="B368" s="11" t="n">
        <v>45725</v>
      </c>
      <c r="C368" t="inlineStr">
        <is>
          <t>South</t>
        </is>
      </c>
      <c r="D368" t="inlineStr">
        <is>
          <t>Bengaluru</t>
        </is>
      </c>
      <c r="E368" t="inlineStr">
        <is>
          <t>Consumer</t>
        </is>
      </c>
      <c r="F368" t="inlineStr">
        <is>
          <t>Retail Store</t>
        </is>
      </c>
      <c r="G368" t="inlineStr">
        <is>
          <t>Office Supplies</t>
        </is>
      </c>
      <c r="H368" t="inlineStr">
        <is>
          <t>Notebook Pack</t>
        </is>
      </c>
      <c r="I368" t="n">
        <v>3</v>
      </c>
      <c r="J368" s="12" t="n">
        <v>361.82</v>
      </c>
      <c r="K368" s="13" t="n">
        <v>0</v>
      </c>
      <c r="L368" s="12" t="n">
        <v>1085.46</v>
      </c>
      <c r="M368" s="12" t="n">
        <v>738.11</v>
      </c>
      <c r="N368" s="12" t="n">
        <v>347.35</v>
      </c>
      <c r="O368" t="inlineStr">
        <is>
          <t>Net Banking</t>
        </is>
      </c>
      <c r="P368" t="inlineStr">
        <is>
          <t>Aarav Sharma</t>
        </is>
      </c>
    </row>
    <row r="369">
      <c r="A369" t="inlineStr">
        <is>
          <t>ORD-2511-0368</t>
        </is>
      </c>
      <c r="B369" s="11" t="n">
        <v>45962</v>
      </c>
      <c r="C369" t="inlineStr">
        <is>
          <t>North</t>
        </is>
      </c>
      <c r="D369" t="inlineStr">
        <is>
          <t>Delhi</t>
        </is>
      </c>
      <c r="E369" t="inlineStr">
        <is>
          <t>Corporate</t>
        </is>
      </c>
      <c r="F369" t="inlineStr">
        <is>
          <t>Retail Store</t>
        </is>
      </c>
      <c r="G369" t="inlineStr">
        <is>
          <t>Office Supplies</t>
        </is>
      </c>
      <c r="H369" t="inlineStr">
        <is>
          <t>Pens Box</t>
        </is>
      </c>
      <c r="I369" t="n">
        <v>5</v>
      </c>
      <c r="J369" s="12" t="n">
        <v>168.93</v>
      </c>
      <c r="K369" s="13" t="n">
        <v>0</v>
      </c>
      <c r="L369" s="12" t="n">
        <v>844.65</v>
      </c>
      <c r="M369" s="12" t="n">
        <v>549.02</v>
      </c>
      <c r="N369" s="12" t="n">
        <v>295.63</v>
      </c>
      <c r="O369" t="inlineStr">
        <is>
          <t>Credit Card</t>
        </is>
      </c>
      <c r="P369" t="inlineStr">
        <is>
          <t>Rohan Verma</t>
        </is>
      </c>
    </row>
    <row r="370">
      <c r="A370" t="inlineStr">
        <is>
          <t>ORD-2508-0369</t>
        </is>
      </c>
      <c r="B370" s="11" t="n">
        <v>45900</v>
      </c>
      <c r="C370" t="inlineStr">
        <is>
          <t>South</t>
        </is>
      </c>
      <c r="D370" t="inlineStr">
        <is>
          <t>Chennai</t>
        </is>
      </c>
      <c r="E370" t="inlineStr">
        <is>
          <t>Consumer</t>
        </is>
      </c>
      <c r="F370" t="inlineStr">
        <is>
          <t>Partner</t>
        </is>
      </c>
      <c r="G370" t="inlineStr">
        <is>
          <t>Office Supplies</t>
        </is>
      </c>
      <c r="H370" t="inlineStr">
        <is>
          <t>Paper Ream</t>
        </is>
      </c>
      <c r="I370" t="n">
        <v>4</v>
      </c>
      <c r="J370" s="12" t="n">
        <v>414.68</v>
      </c>
      <c r="K370" s="13" t="n">
        <v>0</v>
      </c>
      <c r="L370" s="12" t="n">
        <v>1658.72</v>
      </c>
      <c r="M370" s="12" t="n">
        <v>1277.21</v>
      </c>
      <c r="N370" s="12" t="n">
        <v>381.51</v>
      </c>
      <c r="O370" t="inlineStr">
        <is>
          <t>Cash</t>
        </is>
      </c>
      <c r="P370" t="inlineStr">
        <is>
          <t>Rohan Verma</t>
        </is>
      </c>
    </row>
    <row r="371">
      <c r="A371" t="inlineStr">
        <is>
          <t>ORD-2511-0370</t>
        </is>
      </c>
      <c r="B371" s="11" t="n">
        <v>45976</v>
      </c>
      <c r="C371" t="inlineStr">
        <is>
          <t>Central</t>
        </is>
      </c>
      <c r="D371" t="inlineStr">
        <is>
          <t>Indore</t>
        </is>
      </c>
      <c r="E371" t="inlineStr">
        <is>
          <t>Consumer</t>
        </is>
      </c>
      <c r="F371" t="inlineStr">
        <is>
          <t>Retail Store</t>
        </is>
      </c>
      <c r="G371" t="inlineStr">
        <is>
          <t>Furniture</t>
        </is>
      </c>
      <c r="H371" t="inlineStr">
        <is>
          <t>Desk</t>
        </is>
      </c>
      <c r="I371" t="n">
        <v>5</v>
      </c>
      <c r="J371" s="12" t="n">
        <v>11902.53</v>
      </c>
      <c r="K371" s="13" t="n">
        <v>0</v>
      </c>
      <c r="L371" s="12" t="n">
        <v>59512.65</v>
      </c>
      <c r="M371" s="12" t="n">
        <v>45229.61</v>
      </c>
      <c r="N371" s="12" t="n">
        <v>14283.04</v>
      </c>
      <c r="O371" t="inlineStr">
        <is>
          <t>Credit Card</t>
        </is>
      </c>
      <c r="P371" t="inlineStr">
        <is>
          <t>Diya Patel</t>
        </is>
      </c>
    </row>
    <row r="372">
      <c r="A372" t="inlineStr">
        <is>
          <t>ORD-2509-0371</t>
        </is>
      </c>
      <c r="B372" s="11" t="n">
        <v>45912</v>
      </c>
      <c r="C372" t="inlineStr">
        <is>
          <t>South</t>
        </is>
      </c>
      <c r="D372" t="inlineStr">
        <is>
          <t>Chennai</t>
        </is>
      </c>
      <c r="E372" t="inlineStr">
        <is>
          <t>Small Business</t>
        </is>
      </c>
      <c r="F372" t="inlineStr">
        <is>
          <t>Retail Store</t>
        </is>
      </c>
      <c r="G372" t="inlineStr">
        <is>
          <t>Office Supplies</t>
        </is>
      </c>
      <c r="H372" t="inlineStr">
        <is>
          <t>File Folder</t>
        </is>
      </c>
      <c r="I372" t="n">
        <v>2</v>
      </c>
      <c r="J372" s="12" t="n">
        <v>85.7</v>
      </c>
      <c r="K372" s="13" t="n">
        <v>0.1</v>
      </c>
      <c r="L372" s="12" t="n">
        <v>154.26</v>
      </c>
      <c r="M372" s="12" t="n">
        <v>106.27</v>
      </c>
      <c r="N372" s="12" t="n">
        <v>47.99</v>
      </c>
      <c r="O372" t="inlineStr">
        <is>
          <t>Net Banking</t>
        </is>
      </c>
      <c r="P372" t="inlineStr">
        <is>
          <t>Kabir Singh</t>
        </is>
      </c>
    </row>
    <row r="373">
      <c r="A373" t="inlineStr">
        <is>
          <t>ORD-2501-0372</t>
        </is>
      </c>
      <c r="B373" s="11" t="n">
        <v>45678</v>
      </c>
      <c r="C373" t="inlineStr">
        <is>
          <t>Central</t>
        </is>
      </c>
      <c r="D373" t="inlineStr">
        <is>
          <t>Nagpur</t>
        </is>
      </c>
      <c r="E373" t="inlineStr">
        <is>
          <t>Consumer</t>
        </is>
      </c>
      <c r="F373" t="inlineStr">
        <is>
          <t>Partner</t>
        </is>
      </c>
      <c r="G373" t="inlineStr">
        <is>
          <t>Technology</t>
        </is>
      </c>
      <c r="H373" t="inlineStr">
        <is>
          <t>Printer</t>
        </is>
      </c>
      <c r="I373" t="n">
        <v>4</v>
      </c>
      <c r="J373" s="12" t="n">
        <v>9096.450000000001</v>
      </c>
      <c r="K373" s="13" t="n">
        <v>0.05</v>
      </c>
      <c r="L373" s="12" t="n">
        <v>34566.51</v>
      </c>
      <c r="M373" s="12" t="n">
        <v>30564.07</v>
      </c>
      <c r="N373" s="12" t="n">
        <v>4002.44</v>
      </c>
      <c r="O373" t="inlineStr">
        <is>
          <t>Credit Card</t>
        </is>
      </c>
      <c r="P373" t="inlineStr">
        <is>
          <t>Diya Patel</t>
        </is>
      </c>
    </row>
    <row r="374">
      <c r="A374" t="inlineStr">
        <is>
          <t>ORD-2510-0373</t>
        </is>
      </c>
      <c r="B374" s="11" t="n">
        <v>45951</v>
      </c>
      <c r="C374" t="inlineStr">
        <is>
          <t>West</t>
        </is>
      </c>
      <c r="D374" t="inlineStr">
        <is>
          <t>Pune</t>
        </is>
      </c>
      <c r="E374" t="inlineStr">
        <is>
          <t>Corporate</t>
        </is>
      </c>
      <c r="F374" t="inlineStr">
        <is>
          <t>Partner</t>
        </is>
      </c>
      <c r="G374" t="inlineStr">
        <is>
          <t>Technology</t>
        </is>
      </c>
      <c r="H374" t="inlineStr">
        <is>
          <t>Monitor</t>
        </is>
      </c>
      <c r="I374" t="n">
        <v>4</v>
      </c>
      <c r="J374" s="12" t="n">
        <v>12947.15</v>
      </c>
      <c r="K374" s="13" t="n">
        <v>0</v>
      </c>
      <c r="L374" s="12" t="n">
        <v>51788.6</v>
      </c>
      <c r="M374" s="12" t="n">
        <v>42466.65</v>
      </c>
      <c r="N374" s="12" t="n">
        <v>9321.950000000001</v>
      </c>
      <c r="O374" t="inlineStr">
        <is>
          <t>UPI</t>
        </is>
      </c>
      <c r="P374" t="inlineStr">
        <is>
          <t>Anaya Rao</t>
        </is>
      </c>
    </row>
    <row r="375">
      <c r="A375" t="inlineStr">
        <is>
          <t>ORD-2506-0374</t>
        </is>
      </c>
      <c r="B375" s="11" t="n">
        <v>45809</v>
      </c>
      <c r="C375" t="inlineStr">
        <is>
          <t>East</t>
        </is>
      </c>
      <c r="D375" t="inlineStr">
        <is>
          <t>Guwahati</t>
        </is>
      </c>
      <c r="E375" t="inlineStr">
        <is>
          <t>Corporate</t>
        </is>
      </c>
      <c r="F375" t="inlineStr">
        <is>
          <t>Retail Store</t>
        </is>
      </c>
      <c r="G375" t="inlineStr">
        <is>
          <t>Technology</t>
        </is>
      </c>
      <c r="H375" t="inlineStr">
        <is>
          <t>Laptop</t>
        </is>
      </c>
      <c r="I375" t="n">
        <v>1</v>
      </c>
      <c r="J375" s="12" t="n">
        <v>38905.07</v>
      </c>
      <c r="K375" s="13" t="n">
        <v>0</v>
      </c>
      <c r="L375" s="12" t="n">
        <v>38905.07</v>
      </c>
      <c r="M375" s="12" t="n">
        <v>34236.46</v>
      </c>
      <c r="N375" s="12" t="n">
        <v>4668.61</v>
      </c>
      <c r="O375" t="inlineStr">
        <is>
          <t>Net Banking</t>
        </is>
      </c>
      <c r="P375" t="inlineStr">
        <is>
          <t>Vivaan Gupta</t>
        </is>
      </c>
    </row>
    <row r="376">
      <c r="A376" t="inlineStr">
        <is>
          <t>ORD-2503-0375</t>
        </is>
      </c>
      <c r="B376" s="11" t="n">
        <v>45717</v>
      </c>
      <c r="C376" t="inlineStr">
        <is>
          <t>North</t>
        </is>
      </c>
      <c r="D376" t="inlineStr">
        <is>
          <t>Delhi</t>
        </is>
      </c>
      <c r="E376" t="inlineStr">
        <is>
          <t>Corporate</t>
        </is>
      </c>
      <c r="F376" t="inlineStr">
        <is>
          <t>Retail Store</t>
        </is>
      </c>
      <c r="G376" t="inlineStr">
        <is>
          <t>Technology</t>
        </is>
      </c>
      <c r="H376" t="inlineStr">
        <is>
          <t>Laptop</t>
        </is>
      </c>
      <c r="I376" t="n">
        <v>5</v>
      </c>
      <c r="J376" s="12" t="n">
        <v>39785.84</v>
      </c>
      <c r="K376" s="13" t="n">
        <v>0.1</v>
      </c>
      <c r="L376" s="12" t="n">
        <v>179036.28</v>
      </c>
      <c r="M376" s="12" t="n">
        <v>175057.7</v>
      </c>
      <c r="N376" s="12" t="n">
        <v>3978.58</v>
      </c>
      <c r="O376" t="inlineStr">
        <is>
          <t>Cash</t>
        </is>
      </c>
      <c r="P376" t="inlineStr">
        <is>
          <t>Rohan Verma</t>
        </is>
      </c>
    </row>
    <row r="377">
      <c r="A377" t="inlineStr">
        <is>
          <t>ORD-2502-0376</t>
        </is>
      </c>
      <c r="B377" s="11" t="n">
        <v>45705</v>
      </c>
      <c r="C377" t="inlineStr">
        <is>
          <t>East</t>
        </is>
      </c>
      <c r="D377" t="inlineStr">
        <is>
          <t>Bhubaneswar</t>
        </is>
      </c>
      <c r="E377" t="inlineStr">
        <is>
          <t>Corporate</t>
        </is>
      </c>
      <c r="F377" t="inlineStr">
        <is>
          <t>Partner</t>
        </is>
      </c>
      <c r="G377" t="inlineStr">
        <is>
          <t>Technology</t>
        </is>
      </c>
      <c r="H377" t="inlineStr">
        <is>
          <t>Keyboard</t>
        </is>
      </c>
      <c r="I377" t="n">
        <v>1</v>
      </c>
      <c r="J377" s="12" t="n">
        <v>1390.26</v>
      </c>
      <c r="K377" s="13" t="n">
        <v>0.05</v>
      </c>
      <c r="L377" s="12" t="n">
        <v>1320.75</v>
      </c>
      <c r="M377" s="12" t="n">
        <v>1042.69</v>
      </c>
      <c r="N377" s="12" t="n">
        <v>278.06</v>
      </c>
      <c r="O377" t="inlineStr">
        <is>
          <t>Debit Card</t>
        </is>
      </c>
      <c r="P377" t="inlineStr">
        <is>
          <t>Vivaan Gupta</t>
        </is>
      </c>
    </row>
    <row r="378">
      <c r="A378" t="inlineStr">
        <is>
          <t>ORD-2511-0377</t>
        </is>
      </c>
      <c r="B378" s="11" t="n">
        <v>45990</v>
      </c>
      <c r="C378" t="inlineStr">
        <is>
          <t>South</t>
        </is>
      </c>
      <c r="D378" t="inlineStr">
        <is>
          <t>Bengaluru</t>
        </is>
      </c>
      <c r="E378" t="inlineStr">
        <is>
          <t>Consumer</t>
        </is>
      </c>
      <c r="F378" t="inlineStr">
        <is>
          <t>Online</t>
        </is>
      </c>
      <c r="G378" t="inlineStr">
        <is>
          <t>Technology</t>
        </is>
      </c>
      <c r="H378" t="inlineStr">
        <is>
          <t>Keyboard</t>
        </is>
      </c>
      <c r="I378" t="n">
        <v>4</v>
      </c>
      <c r="J378" s="12" t="n">
        <v>1499.11</v>
      </c>
      <c r="K378" s="13" t="n">
        <v>0</v>
      </c>
      <c r="L378" s="12" t="n">
        <v>5996.44</v>
      </c>
      <c r="M378" s="12" t="n">
        <v>4497.33</v>
      </c>
      <c r="N378" s="12" t="n">
        <v>1499.11</v>
      </c>
      <c r="O378" t="inlineStr">
        <is>
          <t>Debit Card</t>
        </is>
      </c>
      <c r="P378" t="inlineStr">
        <is>
          <t>Anaya Rao</t>
        </is>
      </c>
    </row>
    <row r="379">
      <c r="A379" t="inlineStr">
        <is>
          <t>ORD-2510-0378</t>
        </is>
      </c>
      <c r="B379" s="11" t="n">
        <v>45949</v>
      </c>
      <c r="C379" t="inlineStr">
        <is>
          <t>West</t>
        </is>
      </c>
      <c r="D379" t="inlineStr">
        <is>
          <t>Pune</t>
        </is>
      </c>
      <c r="E379" t="inlineStr">
        <is>
          <t>Small Business</t>
        </is>
      </c>
      <c r="F379" t="inlineStr">
        <is>
          <t>Partner</t>
        </is>
      </c>
      <c r="G379" t="inlineStr">
        <is>
          <t>Office Supplies</t>
        </is>
      </c>
      <c r="H379" t="inlineStr">
        <is>
          <t>Notebook Pack</t>
        </is>
      </c>
      <c r="I379" t="n">
        <v>2</v>
      </c>
      <c r="J379" s="12" t="n">
        <v>323.61</v>
      </c>
      <c r="K379" s="13" t="n">
        <v>0.05</v>
      </c>
      <c r="L379" s="12" t="n">
        <v>614.86</v>
      </c>
      <c r="M379" s="12" t="n">
        <v>440.11</v>
      </c>
      <c r="N379" s="12" t="n">
        <v>174.75</v>
      </c>
      <c r="O379" t="inlineStr">
        <is>
          <t>UPI</t>
        </is>
      </c>
      <c r="P379" t="inlineStr">
        <is>
          <t>Anaya Rao</t>
        </is>
      </c>
    </row>
    <row r="380">
      <c r="A380" t="inlineStr">
        <is>
          <t>ORD-2509-0379</t>
        </is>
      </c>
      <c r="B380" s="11" t="n">
        <v>45907</v>
      </c>
      <c r="C380" t="inlineStr">
        <is>
          <t>North</t>
        </is>
      </c>
      <c r="D380" t="inlineStr">
        <is>
          <t>Lucknow</t>
        </is>
      </c>
      <c r="E380" t="inlineStr">
        <is>
          <t>Small Business</t>
        </is>
      </c>
      <c r="F380" t="inlineStr">
        <is>
          <t>Partner</t>
        </is>
      </c>
      <c r="G380" t="inlineStr">
        <is>
          <t>Furniture</t>
        </is>
      </c>
      <c r="H380" t="inlineStr">
        <is>
          <t>Bookshelf</t>
        </is>
      </c>
      <c r="I380" t="n">
        <v>1</v>
      </c>
      <c r="J380" s="12" t="n">
        <v>5045.45</v>
      </c>
      <c r="K380" s="13" t="n">
        <v>0</v>
      </c>
      <c r="L380" s="12" t="n">
        <v>5045.45</v>
      </c>
      <c r="M380" s="12" t="n">
        <v>3733.63</v>
      </c>
      <c r="N380" s="12" t="n">
        <v>1311.82</v>
      </c>
      <c r="O380" t="inlineStr">
        <is>
          <t>Cash</t>
        </is>
      </c>
      <c r="P380" t="inlineStr">
        <is>
          <t>Meera Joshi</t>
        </is>
      </c>
    </row>
    <row r="381">
      <c r="A381" t="inlineStr">
        <is>
          <t>ORD-2512-0380</t>
        </is>
      </c>
      <c r="B381" s="11" t="n">
        <v>46000</v>
      </c>
      <c r="C381" t="inlineStr">
        <is>
          <t>East</t>
        </is>
      </c>
      <c r="D381" t="inlineStr">
        <is>
          <t>Kolkata</t>
        </is>
      </c>
      <c r="E381" t="inlineStr">
        <is>
          <t>Small Business</t>
        </is>
      </c>
      <c r="F381" t="inlineStr">
        <is>
          <t>Partner</t>
        </is>
      </c>
      <c r="G381" t="inlineStr">
        <is>
          <t>Furniture</t>
        </is>
      </c>
      <c r="H381" t="inlineStr">
        <is>
          <t>Desk</t>
        </is>
      </c>
      <c r="I381" t="n">
        <v>4</v>
      </c>
      <c r="J381" s="12" t="n">
        <v>11216.18</v>
      </c>
      <c r="K381" s="13" t="n">
        <v>0</v>
      </c>
      <c r="L381" s="12" t="n">
        <v>44864.72</v>
      </c>
      <c r="M381" s="12" t="n">
        <v>34097.19</v>
      </c>
      <c r="N381" s="12" t="n">
        <v>10767.53</v>
      </c>
      <c r="O381" t="inlineStr">
        <is>
          <t>Debit Card</t>
        </is>
      </c>
      <c r="P381" t="inlineStr">
        <is>
          <t>Kabir Singh</t>
        </is>
      </c>
    </row>
    <row r="382">
      <c r="A382" t="inlineStr">
        <is>
          <t>ORD-2510-0381</t>
        </is>
      </c>
      <c r="B382" s="11" t="n">
        <v>45943</v>
      </c>
      <c r="C382" t="inlineStr">
        <is>
          <t>Central</t>
        </is>
      </c>
      <c r="D382" t="inlineStr">
        <is>
          <t>Bhopal</t>
        </is>
      </c>
      <c r="E382" t="inlineStr">
        <is>
          <t>Corporate</t>
        </is>
      </c>
      <c r="F382" t="inlineStr">
        <is>
          <t>Online</t>
        </is>
      </c>
      <c r="G382" t="inlineStr">
        <is>
          <t>Technology</t>
        </is>
      </c>
      <c r="H382" t="inlineStr">
        <is>
          <t>Laptop</t>
        </is>
      </c>
      <c r="I382" t="n">
        <v>4</v>
      </c>
      <c r="J382" s="12" t="n">
        <v>44344.24</v>
      </c>
      <c r="K382" s="13" t="n">
        <v>0</v>
      </c>
      <c r="L382" s="12" t="n">
        <v>177376.96</v>
      </c>
      <c r="M382" s="12" t="n">
        <v>156091.72</v>
      </c>
      <c r="N382" s="12" t="n">
        <v>21285.24</v>
      </c>
      <c r="O382" t="inlineStr">
        <is>
          <t>Credit Card</t>
        </is>
      </c>
      <c r="P382" t="inlineStr">
        <is>
          <t>Anaya Rao</t>
        </is>
      </c>
    </row>
    <row r="383">
      <c r="A383" t="inlineStr">
        <is>
          <t>ORD-2506-0382</t>
        </is>
      </c>
      <c r="B383" s="11" t="n">
        <v>45822</v>
      </c>
      <c r="C383" t="inlineStr">
        <is>
          <t>South</t>
        </is>
      </c>
      <c r="D383" t="inlineStr">
        <is>
          <t>Hyderabad</t>
        </is>
      </c>
      <c r="E383" t="inlineStr">
        <is>
          <t>Corporate</t>
        </is>
      </c>
      <c r="F383" t="inlineStr">
        <is>
          <t>Online</t>
        </is>
      </c>
      <c r="G383" t="inlineStr">
        <is>
          <t>Technology</t>
        </is>
      </c>
      <c r="H383" t="inlineStr">
        <is>
          <t>Headphones</t>
        </is>
      </c>
      <c r="I383" t="n">
        <v>1</v>
      </c>
      <c r="J383" s="12" t="n">
        <v>2250.45</v>
      </c>
      <c r="K383" s="13" t="n">
        <v>0</v>
      </c>
      <c r="L383" s="12" t="n">
        <v>2250.45</v>
      </c>
      <c r="M383" s="12" t="n">
        <v>1755.35</v>
      </c>
      <c r="N383" s="12" t="n">
        <v>495.1</v>
      </c>
      <c r="O383" t="inlineStr">
        <is>
          <t>Credit Card</t>
        </is>
      </c>
      <c r="P383" t="inlineStr">
        <is>
          <t>Anaya Rao</t>
        </is>
      </c>
    </row>
    <row r="384">
      <c r="A384" t="inlineStr">
        <is>
          <t>ORD-2508-0383</t>
        </is>
      </c>
      <c r="B384" s="11" t="n">
        <v>45885</v>
      </c>
      <c r="C384" t="inlineStr">
        <is>
          <t>Central</t>
        </is>
      </c>
      <c r="D384" t="inlineStr">
        <is>
          <t>Nagpur</t>
        </is>
      </c>
      <c r="E384" t="inlineStr">
        <is>
          <t>Corporate</t>
        </is>
      </c>
      <c r="F384" t="inlineStr">
        <is>
          <t>Partner</t>
        </is>
      </c>
      <c r="G384" t="inlineStr">
        <is>
          <t>Technology</t>
        </is>
      </c>
      <c r="H384" t="inlineStr">
        <is>
          <t>Monitor</t>
        </is>
      </c>
      <c r="I384" t="n">
        <v>5</v>
      </c>
      <c r="J384" s="12" t="n">
        <v>11737.41</v>
      </c>
      <c r="K384" s="13" t="n">
        <v>0.05</v>
      </c>
      <c r="L384" s="12" t="n">
        <v>55752.7</v>
      </c>
      <c r="M384" s="12" t="n">
        <v>48123.38</v>
      </c>
      <c r="N384" s="12" t="n">
        <v>7629.32</v>
      </c>
      <c r="O384" t="inlineStr">
        <is>
          <t>Credit Card</t>
        </is>
      </c>
      <c r="P384" t="inlineStr">
        <is>
          <t>Diya Patel</t>
        </is>
      </c>
    </row>
    <row r="385">
      <c r="A385" t="inlineStr">
        <is>
          <t>ORD-2507-0384</t>
        </is>
      </c>
      <c r="B385" s="11" t="n">
        <v>45864</v>
      </c>
      <c r="C385" t="inlineStr">
        <is>
          <t>West</t>
        </is>
      </c>
      <c r="D385" t="inlineStr">
        <is>
          <t>Mumbai</t>
        </is>
      </c>
      <c r="E385" t="inlineStr">
        <is>
          <t>Small Business</t>
        </is>
      </c>
      <c r="F385" t="inlineStr">
        <is>
          <t>Partner</t>
        </is>
      </c>
      <c r="G385" t="inlineStr">
        <is>
          <t>Furniture</t>
        </is>
      </c>
      <c r="H385" t="inlineStr">
        <is>
          <t>Storage Cabinet</t>
        </is>
      </c>
      <c r="I385" t="n">
        <v>3</v>
      </c>
      <c r="J385" s="12" t="n">
        <v>9315.5</v>
      </c>
      <c r="K385" s="13" t="n">
        <v>0.15</v>
      </c>
      <c r="L385" s="12" t="n">
        <v>23754.52</v>
      </c>
      <c r="M385" s="12" t="n">
        <v>22357.2</v>
      </c>
      <c r="N385" s="12" t="n">
        <v>1397.32</v>
      </c>
      <c r="O385" t="inlineStr">
        <is>
          <t>Net Banking</t>
        </is>
      </c>
      <c r="P385" t="inlineStr">
        <is>
          <t>Meera Joshi</t>
        </is>
      </c>
    </row>
    <row r="386">
      <c r="A386" t="inlineStr">
        <is>
          <t>ORD-2512-0385</t>
        </is>
      </c>
      <c r="B386" s="11" t="n">
        <v>45993</v>
      </c>
      <c r="C386" t="inlineStr">
        <is>
          <t>West</t>
        </is>
      </c>
      <c r="D386" t="inlineStr">
        <is>
          <t>Ahmedabad</t>
        </is>
      </c>
      <c r="E386" t="inlineStr">
        <is>
          <t>Corporate</t>
        </is>
      </c>
      <c r="F386" t="inlineStr">
        <is>
          <t>Partner</t>
        </is>
      </c>
      <c r="G386" t="inlineStr">
        <is>
          <t>Furniture</t>
        </is>
      </c>
      <c r="H386" t="inlineStr">
        <is>
          <t>Office Chair</t>
        </is>
      </c>
      <c r="I386" t="n">
        <v>5</v>
      </c>
      <c r="J386" s="12" t="n">
        <v>7174.62</v>
      </c>
      <c r="K386" s="13" t="n">
        <v>0.15</v>
      </c>
      <c r="L386" s="12" t="n">
        <v>30492.13</v>
      </c>
      <c r="M386" s="12" t="n">
        <v>25828.63</v>
      </c>
      <c r="N386" s="12" t="n">
        <v>4663.5</v>
      </c>
      <c r="O386" t="inlineStr">
        <is>
          <t>Cash</t>
        </is>
      </c>
      <c r="P386" t="inlineStr">
        <is>
          <t>Anaya Rao</t>
        </is>
      </c>
    </row>
    <row r="387">
      <c r="A387" t="inlineStr">
        <is>
          <t>ORD-2512-0386</t>
        </is>
      </c>
      <c r="B387" s="11" t="n">
        <v>45994</v>
      </c>
      <c r="C387" t="inlineStr">
        <is>
          <t>East</t>
        </is>
      </c>
      <c r="D387" t="inlineStr">
        <is>
          <t>Guwahati</t>
        </is>
      </c>
      <c r="E387" t="inlineStr">
        <is>
          <t>Corporate</t>
        </is>
      </c>
      <c r="F387" t="inlineStr">
        <is>
          <t>Partner</t>
        </is>
      </c>
      <c r="G387" t="inlineStr">
        <is>
          <t>Technology</t>
        </is>
      </c>
      <c r="H387" t="inlineStr">
        <is>
          <t>Monitor</t>
        </is>
      </c>
      <c r="I387" t="n">
        <v>1</v>
      </c>
      <c r="J387" s="12" t="n">
        <v>11504.39</v>
      </c>
      <c r="K387" s="13" t="n">
        <v>0.1</v>
      </c>
      <c r="L387" s="12" t="n">
        <v>10353.95</v>
      </c>
      <c r="M387" s="12" t="n">
        <v>9433.6</v>
      </c>
      <c r="N387" s="12" t="n">
        <v>920.35</v>
      </c>
      <c r="O387" t="inlineStr">
        <is>
          <t>Net Banking</t>
        </is>
      </c>
      <c r="P387" t="inlineStr">
        <is>
          <t>Sara Khan</t>
        </is>
      </c>
    </row>
    <row r="388">
      <c r="A388" t="inlineStr">
        <is>
          <t>ORD-2512-0387</t>
        </is>
      </c>
      <c r="B388" s="11" t="n">
        <v>46017</v>
      </c>
      <c r="C388" t="inlineStr">
        <is>
          <t>North</t>
        </is>
      </c>
      <c r="D388" t="inlineStr">
        <is>
          <t>Delhi</t>
        </is>
      </c>
      <c r="E388" t="inlineStr">
        <is>
          <t>Corporate</t>
        </is>
      </c>
      <c r="F388" t="inlineStr">
        <is>
          <t>Online</t>
        </is>
      </c>
      <c r="G388" t="inlineStr">
        <is>
          <t>Technology</t>
        </is>
      </c>
      <c r="H388" t="inlineStr">
        <is>
          <t>Keyboard</t>
        </is>
      </c>
      <c r="I388" t="n">
        <v>3</v>
      </c>
      <c r="J388" s="12" t="n">
        <v>1454.32</v>
      </c>
      <c r="K388" s="13" t="n">
        <v>0.15</v>
      </c>
      <c r="L388" s="12" t="n">
        <v>3708.52</v>
      </c>
      <c r="M388" s="12" t="n">
        <v>3272.22</v>
      </c>
      <c r="N388" s="12" t="n">
        <v>436.3</v>
      </c>
      <c r="O388" t="inlineStr">
        <is>
          <t>Net Banking</t>
        </is>
      </c>
      <c r="P388" t="inlineStr">
        <is>
          <t>Meera Joshi</t>
        </is>
      </c>
    </row>
    <row r="389">
      <c r="A389" t="inlineStr">
        <is>
          <t>ORD-2504-0388</t>
        </is>
      </c>
      <c r="B389" s="11" t="n">
        <v>45754</v>
      </c>
      <c r="C389" t="inlineStr">
        <is>
          <t>North</t>
        </is>
      </c>
      <c r="D389" t="inlineStr">
        <is>
          <t>Lucknow</t>
        </is>
      </c>
      <c r="E389" t="inlineStr">
        <is>
          <t>Consumer</t>
        </is>
      </c>
      <c r="F389" t="inlineStr">
        <is>
          <t>Retail Store</t>
        </is>
      </c>
      <c r="G389" t="inlineStr">
        <is>
          <t>Technology</t>
        </is>
      </c>
      <c r="H389" t="inlineStr">
        <is>
          <t>Printer</t>
        </is>
      </c>
      <c r="I389" t="n">
        <v>3</v>
      </c>
      <c r="J389" s="12" t="n">
        <v>9829.52</v>
      </c>
      <c r="K389" s="13" t="n">
        <v>0.15</v>
      </c>
      <c r="L389" s="12" t="n">
        <v>25065.28</v>
      </c>
      <c r="M389" s="12" t="n">
        <v>24770.39</v>
      </c>
      <c r="N389" s="12" t="n">
        <v>294.89</v>
      </c>
      <c r="O389" t="inlineStr">
        <is>
          <t>Credit Card</t>
        </is>
      </c>
      <c r="P389" t="inlineStr">
        <is>
          <t>Diya Patel</t>
        </is>
      </c>
    </row>
    <row r="390">
      <c r="A390" t="inlineStr">
        <is>
          <t>ORD-2508-0389</t>
        </is>
      </c>
      <c r="B390" s="11" t="n">
        <v>45888</v>
      </c>
      <c r="C390" t="inlineStr">
        <is>
          <t>West</t>
        </is>
      </c>
      <c r="D390" t="inlineStr">
        <is>
          <t>Pune</t>
        </is>
      </c>
      <c r="E390" t="inlineStr">
        <is>
          <t>Corporate</t>
        </is>
      </c>
      <c r="F390" t="inlineStr">
        <is>
          <t>Partner</t>
        </is>
      </c>
      <c r="G390" t="inlineStr">
        <is>
          <t>Furniture</t>
        </is>
      </c>
      <c r="H390" t="inlineStr">
        <is>
          <t>Bookshelf</t>
        </is>
      </c>
      <c r="I390" t="n">
        <v>1</v>
      </c>
      <c r="J390" s="12" t="n">
        <v>5244.28</v>
      </c>
      <c r="K390" s="13" t="n">
        <v>0.1</v>
      </c>
      <c r="L390" s="12" t="n">
        <v>4719.85</v>
      </c>
      <c r="M390" s="12" t="n">
        <v>3880.77</v>
      </c>
      <c r="N390" s="12" t="n">
        <v>839.08</v>
      </c>
      <c r="O390" t="inlineStr">
        <is>
          <t>Debit Card</t>
        </is>
      </c>
      <c r="P390" t="inlineStr">
        <is>
          <t>Kabir Singh</t>
        </is>
      </c>
    </row>
    <row r="391">
      <c r="A391" t="inlineStr">
        <is>
          <t>ORD-2512-0390</t>
        </is>
      </c>
      <c r="B391" s="11" t="n">
        <v>46012</v>
      </c>
      <c r="C391" t="inlineStr">
        <is>
          <t>Central</t>
        </is>
      </c>
      <c r="D391" t="inlineStr">
        <is>
          <t>Indore</t>
        </is>
      </c>
      <c r="E391" t="inlineStr">
        <is>
          <t>Small Business</t>
        </is>
      </c>
      <c r="F391" t="inlineStr">
        <is>
          <t>Retail Store</t>
        </is>
      </c>
      <c r="G391" t="inlineStr">
        <is>
          <t>Office Supplies</t>
        </is>
      </c>
      <c r="H391" t="inlineStr">
        <is>
          <t>Paper Ream</t>
        </is>
      </c>
      <c r="I391" t="n">
        <v>5</v>
      </c>
      <c r="J391" s="12" t="n">
        <v>430.59</v>
      </c>
      <c r="K391" s="13" t="n">
        <v>0</v>
      </c>
      <c r="L391" s="12" t="n">
        <v>2152.95</v>
      </c>
      <c r="M391" s="12" t="n">
        <v>1657.77</v>
      </c>
      <c r="N391" s="12" t="n">
        <v>495.18</v>
      </c>
      <c r="O391" t="inlineStr">
        <is>
          <t>Cash</t>
        </is>
      </c>
      <c r="P391" t="inlineStr">
        <is>
          <t>Vivaan Gupta</t>
        </is>
      </c>
    </row>
    <row r="392">
      <c r="A392" t="inlineStr">
        <is>
          <t>ORD-2508-0391</t>
        </is>
      </c>
      <c r="B392" s="11" t="n">
        <v>45872</v>
      </c>
      <c r="C392" t="inlineStr">
        <is>
          <t>Central</t>
        </is>
      </c>
      <c r="D392" t="inlineStr">
        <is>
          <t>Indore</t>
        </is>
      </c>
      <c r="E392" t="inlineStr">
        <is>
          <t>Consumer</t>
        </is>
      </c>
      <c r="F392" t="inlineStr">
        <is>
          <t>Online</t>
        </is>
      </c>
      <c r="G392" t="inlineStr">
        <is>
          <t>Technology</t>
        </is>
      </c>
      <c r="H392" t="inlineStr">
        <is>
          <t>Headphones</t>
        </is>
      </c>
      <c r="I392" t="n">
        <v>2</v>
      </c>
      <c r="J392" s="12" t="n">
        <v>2127.55</v>
      </c>
      <c r="K392" s="13" t="n">
        <v>0.05</v>
      </c>
      <c r="L392" s="12" t="n">
        <v>4042.35</v>
      </c>
      <c r="M392" s="12" t="n">
        <v>3318.98</v>
      </c>
      <c r="N392" s="12" t="n">
        <v>723.37</v>
      </c>
      <c r="O392" t="inlineStr">
        <is>
          <t>Debit Card</t>
        </is>
      </c>
      <c r="P392" t="inlineStr">
        <is>
          <t>Rohan Verma</t>
        </is>
      </c>
    </row>
    <row r="393">
      <c r="A393" t="inlineStr">
        <is>
          <t>ORD-2512-0392</t>
        </is>
      </c>
      <c r="B393" s="11" t="n">
        <v>46017</v>
      </c>
      <c r="C393" t="inlineStr">
        <is>
          <t>Central</t>
        </is>
      </c>
      <c r="D393" t="inlineStr">
        <is>
          <t>Raipur</t>
        </is>
      </c>
      <c r="E393" t="inlineStr">
        <is>
          <t>Consumer</t>
        </is>
      </c>
      <c r="F393" t="inlineStr">
        <is>
          <t>Partner</t>
        </is>
      </c>
      <c r="G393" t="inlineStr">
        <is>
          <t>Office Supplies</t>
        </is>
      </c>
      <c r="H393" t="inlineStr">
        <is>
          <t>Paper Ream</t>
        </is>
      </c>
      <c r="I393" t="n">
        <v>4</v>
      </c>
      <c r="J393" s="12" t="n">
        <v>401.01</v>
      </c>
      <c r="K393" s="13" t="n">
        <v>0.1</v>
      </c>
      <c r="L393" s="12" t="n">
        <v>1443.64</v>
      </c>
      <c r="M393" s="12" t="n">
        <v>1235.11</v>
      </c>
      <c r="N393" s="12" t="n">
        <v>208.53</v>
      </c>
      <c r="O393" t="inlineStr">
        <is>
          <t>Net Banking</t>
        </is>
      </c>
      <c r="P393" t="inlineStr">
        <is>
          <t>Sara Khan</t>
        </is>
      </c>
    </row>
    <row r="394">
      <c r="A394" t="inlineStr">
        <is>
          <t>ORD-2512-0393</t>
        </is>
      </c>
      <c r="B394" s="11" t="n">
        <v>46002</v>
      </c>
      <c r="C394" t="inlineStr">
        <is>
          <t>South</t>
        </is>
      </c>
      <c r="D394" t="inlineStr">
        <is>
          <t>Chennai</t>
        </is>
      </c>
      <c r="E394" t="inlineStr">
        <is>
          <t>Corporate</t>
        </is>
      </c>
      <c r="F394" t="inlineStr">
        <is>
          <t>Partner</t>
        </is>
      </c>
      <c r="G394" t="inlineStr">
        <is>
          <t>Furniture</t>
        </is>
      </c>
      <c r="H394" t="inlineStr">
        <is>
          <t>Storage Cabinet</t>
        </is>
      </c>
      <c r="I394" t="n">
        <v>3</v>
      </c>
      <c r="J394" s="12" t="n">
        <v>9199.540000000001</v>
      </c>
      <c r="K394" s="13" t="n">
        <v>0.1</v>
      </c>
      <c r="L394" s="12" t="n">
        <v>24838.76</v>
      </c>
      <c r="M394" s="12" t="n">
        <v>22078.9</v>
      </c>
      <c r="N394" s="12" t="n">
        <v>2759.86</v>
      </c>
      <c r="O394" t="inlineStr">
        <is>
          <t>Debit Card</t>
        </is>
      </c>
      <c r="P394" t="inlineStr">
        <is>
          <t>Vivaan Gupta</t>
        </is>
      </c>
    </row>
    <row r="395">
      <c r="A395" t="inlineStr">
        <is>
          <t>ORD-2512-0394</t>
        </is>
      </c>
      <c r="B395" s="11" t="n">
        <v>46003</v>
      </c>
      <c r="C395" t="inlineStr">
        <is>
          <t>Central</t>
        </is>
      </c>
      <c r="D395" t="inlineStr">
        <is>
          <t>Raipur</t>
        </is>
      </c>
      <c r="E395" t="inlineStr">
        <is>
          <t>Corporate</t>
        </is>
      </c>
      <c r="F395" t="inlineStr">
        <is>
          <t>Online</t>
        </is>
      </c>
      <c r="G395" t="inlineStr">
        <is>
          <t>Office Supplies</t>
        </is>
      </c>
      <c r="H395" t="inlineStr">
        <is>
          <t>Stapler</t>
        </is>
      </c>
      <c r="I395" t="n">
        <v>2</v>
      </c>
      <c r="J395" s="12" t="n">
        <v>243.63</v>
      </c>
      <c r="K395" s="13" t="n">
        <v>0</v>
      </c>
      <c r="L395" s="12" t="n">
        <v>487.26</v>
      </c>
      <c r="M395" s="12" t="n">
        <v>341.08</v>
      </c>
      <c r="N395" s="12" t="n">
        <v>146.18</v>
      </c>
      <c r="O395" t="inlineStr">
        <is>
          <t>Credit Card</t>
        </is>
      </c>
      <c r="P395" t="inlineStr">
        <is>
          <t>Aarav Sharma</t>
        </is>
      </c>
    </row>
    <row r="396">
      <c r="A396" t="inlineStr">
        <is>
          <t>ORD-2504-0395</t>
        </is>
      </c>
      <c r="B396" s="11" t="n">
        <v>45760</v>
      </c>
      <c r="C396" t="inlineStr">
        <is>
          <t>East</t>
        </is>
      </c>
      <c r="D396" t="inlineStr">
        <is>
          <t>Patna</t>
        </is>
      </c>
      <c r="E396" t="inlineStr">
        <is>
          <t>Corporate</t>
        </is>
      </c>
      <c r="F396" t="inlineStr">
        <is>
          <t>Online</t>
        </is>
      </c>
      <c r="G396" t="inlineStr">
        <is>
          <t>Technology</t>
        </is>
      </c>
      <c r="H396" t="inlineStr">
        <is>
          <t>Headphones</t>
        </is>
      </c>
      <c r="I396" t="n">
        <v>4</v>
      </c>
      <c r="J396" s="12" t="n">
        <v>2045.84</v>
      </c>
      <c r="K396" s="13" t="n">
        <v>0</v>
      </c>
      <c r="L396" s="12" t="n">
        <v>8183.36</v>
      </c>
      <c r="M396" s="12" t="n">
        <v>6383.02</v>
      </c>
      <c r="N396" s="12" t="n">
        <v>1800.34</v>
      </c>
      <c r="O396" t="inlineStr">
        <is>
          <t>Cash</t>
        </is>
      </c>
      <c r="P396" t="inlineStr">
        <is>
          <t>Aarav Sharma</t>
        </is>
      </c>
    </row>
    <row r="397">
      <c r="A397" t="inlineStr">
        <is>
          <t>ORD-2507-0396</t>
        </is>
      </c>
      <c r="B397" s="11" t="n">
        <v>45841</v>
      </c>
      <c r="C397" t="inlineStr">
        <is>
          <t>West</t>
        </is>
      </c>
      <c r="D397" t="inlineStr">
        <is>
          <t>Mumbai</t>
        </is>
      </c>
      <c r="E397" t="inlineStr">
        <is>
          <t>Small Business</t>
        </is>
      </c>
      <c r="F397" t="inlineStr">
        <is>
          <t>Partner</t>
        </is>
      </c>
      <c r="G397" t="inlineStr">
        <is>
          <t>Office Supplies</t>
        </is>
      </c>
      <c r="H397" t="inlineStr">
        <is>
          <t>Notebook Pack</t>
        </is>
      </c>
      <c r="I397" t="n">
        <v>5</v>
      </c>
      <c r="J397" s="12" t="n">
        <v>370.43</v>
      </c>
      <c r="K397" s="13" t="n">
        <v>0.1</v>
      </c>
      <c r="L397" s="12" t="n">
        <v>1666.94</v>
      </c>
      <c r="M397" s="12" t="n">
        <v>1259.46</v>
      </c>
      <c r="N397" s="12" t="n">
        <v>407.48</v>
      </c>
      <c r="O397" t="inlineStr">
        <is>
          <t>Cash</t>
        </is>
      </c>
      <c r="P397" t="inlineStr">
        <is>
          <t>Vivaan Gupta</t>
        </is>
      </c>
    </row>
    <row r="398">
      <c r="A398" t="inlineStr">
        <is>
          <t>ORD-2505-0397</t>
        </is>
      </c>
      <c r="B398" s="11" t="n">
        <v>45779</v>
      </c>
      <c r="C398" t="inlineStr">
        <is>
          <t>Central</t>
        </is>
      </c>
      <c r="D398" t="inlineStr">
        <is>
          <t>Raipur</t>
        </is>
      </c>
      <c r="E398" t="inlineStr">
        <is>
          <t>Small Business</t>
        </is>
      </c>
      <c r="F398" t="inlineStr">
        <is>
          <t>Retail Store</t>
        </is>
      </c>
      <c r="G398" t="inlineStr">
        <is>
          <t>Office Supplies</t>
        </is>
      </c>
      <c r="H398" t="inlineStr">
        <is>
          <t>Paper Ream</t>
        </is>
      </c>
      <c r="I398" t="n">
        <v>4</v>
      </c>
      <c r="J398" s="12" t="n">
        <v>412.44</v>
      </c>
      <c r="K398" s="13" t="n">
        <v>0.15</v>
      </c>
      <c r="L398" s="12" t="n">
        <v>1402.3</v>
      </c>
      <c r="M398" s="12" t="n">
        <v>1270.32</v>
      </c>
      <c r="N398" s="12" t="n">
        <v>131.98</v>
      </c>
      <c r="O398" t="inlineStr">
        <is>
          <t>Cash</t>
        </is>
      </c>
      <c r="P398" t="inlineStr">
        <is>
          <t>Aarav Sharma</t>
        </is>
      </c>
    </row>
    <row r="399">
      <c r="A399" t="inlineStr">
        <is>
          <t>ORD-2501-0398</t>
        </is>
      </c>
      <c r="B399" s="11" t="n">
        <v>45664</v>
      </c>
      <c r="C399" t="inlineStr">
        <is>
          <t>East</t>
        </is>
      </c>
      <c r="D399" t="inlineStr">
        <is>
          <t>Patna</t>
        </is>
      </c>
      <c r="E399" t="inlineStr">
        <is>
          <t>Consumer</t>
        </is>
      </c>
      <c r="F399" t="inlineStr">
        <is>
          <t>Partner</t>
        </is>
      </c>
      <c r="G399" t="inlineStr">
        <is>
          <t>Office Supplies</t>
        </is>
      </c>
      <c r="H399" t="inlineStr">
        <is>
          <t>Notebook Pack</t>
        </is>
      </c>
      <c r="I399" t="n">
        <v>5</v>
      </c>
      <c r="J399" s="12" t="n">
        <v>346.81</v>
      </c>
      <c r="K399" s="13" t="n">
        <v>0.15</v>
      </c>
      <c r="L399" s="12" t="n">
        <v>1473.94</v>
      </c>
      <c r="M399" s="12" t="n">
        <v>1179.15</v>
      </c>
      <c r="N399" s="12" t="n">
        <v>294.79</v>
      </c>
      <c r="O399" t="inlineStr">
        <is>
          <t>Net Banking</t>
        </is>
      </c>
      <c r="P399" t="inlineStr">
        <is>
          <t>Meera Joshi</t>
        </is>
      </c>
    </row>
    <row r="400">
      <c r="A400" t="inlineStr">
        <is>
          <t>ORD-2504-0399</t>
        </is>
      </c>
      <c r="B400" s="11" t="n">
        <v>45757</v>
      </c>
      <c r="C400" t="inlineStr">
        <is>
          <t>East</t>
        </is>
      </c>
      <c r="D400" t="inlineStr">
        <is>
          <t>Guwahati</t>
        </is>
      </c>
      <c r="E400" t="inlineStr">
        <is>
          <t>Small Business</t>
        </is>
      </c>
      <c r="F400" t="inlineStr">
        <is>
          <t>Partner</t>
        </is>
      </c>
      <c r="G400" t="inlineStr">
        <is>
          <t>Technology</t>
        </is>
      </c>
      <c r="H400" t="inlineStr">
        <is>
          <t>Keyboard</t>
        </is>
      </c>
      <c r="I400" t="n">
        <v>10</v>
      </c>
      <c r="J400" s="12" t="n">
        <v>1503.59</v>
      </c>
      <c r="K400" s="13" t="n">
        <v>0</v>
      </c>
      <c r="L400" s="12" t="n">
        <v>15035.9</v>
      </c>
      <c r="M400" s="12" t="n">
        <v>11276.92</v>
      </c>
      <c r="N400" s="12" t="n">
        <v>3758.98</v>
      </c>
      <c r="O400" t="inlineStr">
        <is>
          <t>Credit Card</t>
        </is>
      </c>
      <c r="P400" t="inlineStr">
        <is>
          <t>Vivaan Gupta</t>
        </is>
      </c>
    </row>
    <row r="401">
      <c r="A401" t="inlineStr">
        <is>
          <t>ORD-2501-0400</t>
        </is>
      </c>
      <c r="B401" s="11" t="n">
        <v>45678</v>
      </c>
      <c r="C401" t="inlineStr">
        <is>
          <t>West</t>
        </is>
      </c>
      <c r="D401" t="inlineStr">
        <is>
          <t>Ahmedabad</t>
        </is>
      </c>
      <c r="E401" t="inlineStr">
        <is>
          <t>Consumer</t>
        </is>
      </c>
      <c r="F401" t="inlineStr">
        <is>
          <t>Retail Store</t>
        </is>
      </c>
      <c r="G401" t="inlineStr">
        <is>
          <t>Furniture</t>
        </is>
      </c>
      <c r="H401" t="inlineStr">
        <is>
          <t>Storage Cabinet</t>
        </is>
      </c>
      <c r="I401" t="n">
        <v>2</v>
      </c>
      <c r="J401" s="12" t="n">
        <v>9392.719999999999</v>
      </c>
      <c r="K401" s="13" t="n">
        <v>0</v>
      </c>
      <c r="L401" s="12" t="n">
        <v>18785.44</v>
      </c>
      <c r="M401" s="12" t="n">
        <v>15028.35</v>
      </c>
      <c r="N401" s="12" t="n">
        <v>3757.09</v>
      </c>
      <c r="O401" t="inlineStr">
        <is>
          <t>Debit Card</t>
        </is>
      </c>
      <c r="P401" t="inlineStr">
        <is>
          <t>Kabir Singh</t>
        </is>
      </c>
    </row>
    <row r="402">
      <c r="A402" t="inlineStr">
        <is>
          <t>ORD-2501-0401</t>
        </is>
      </c>
      <c r="B402" s="11" t="n">
        <v>45678</v>
      </c>
      <c r="C402" t="inlineStr">
        <is>
          <t>South</t>
        </is>
      </c>
      <c r="D402" t="inlineStr">
        <is>
          <t>Hyderabad</t>
        </is>
      </c>
      <c r="E402" t="inlineStr">
        <is>
          <t>Small Business</t>
        </is>
      </c>
      <c r="F402" t="inlineStr">
        <is>
          <t>Retail Store</t>
        </is>
      </c>
      <c r="G402" t="inlineStr">
        <is>
          <t>Office Supplies</t>
        </is>
      </c>
      <c r="H402" t="inlineStr">
        <is>
          <t>Notebook Pack</t>
        </is>
      </c>
      <c r="I402" t="n">
        <v>1</v>
      </c>
      <c r="J402" s="12" t="n">
        <v>356.47</v>
      </c>
      <c r="K402" s="13" t="n">
        <v>0.15</v>
      </c>
      <c r="L402" s="12" t="n">
        <v>303</v>
      </c>
      <c r="M402" s="12" t="n">
        <v>242.4</v>
      </c>
      <c r="N402" s="12" t="n">
        <v>60.6</v>
      </c>
      <c r="O402" t="inlineStr">
        <is>
          <t>Debit Card</t>
        </is>
      </c>
      <c r="P402" t="inlineStr">
        <is>
          <t>Sara Khan</t>
        </is>
      </c>
    </row>
    <row r="403">
      <c r="A403" t="inlineStr">
        <is>
          <t>ORD-2502-0402</t>
        </is>
      </c>
      <c r="B403" s="11" t="n">
        <v>45695</v>
      </c>
      <c r="C403" t="inlineStr">
        <is>
          <t>East</t>
        </is>
      </c>
      <c r="D403" t="inlineStr">
        <is>
          <t>Patna</t>
        </is>
      </c>
      <c r="E403" t="inlineStr">
        <is>
          <t>Small Business</t>
        </is>
      </c>
      <c r="F403" t="inlineStr">
        <is>
          <t>Partner</t>
        </is>
      </c>
      <c r="G403" t="inlineStr">
        <is>
          <t>Technology</t>
        </is>
      </c>
      <c r="H403" t="inlineStr">
        <is>
          <t>Keyboard</t>
        </is>
      </c>
      <c r="I403" t="n">
        <v>3</v>
      </c>
      <c r="J403" s="12" t="n">
        <v>1323.7</v>
      </c>
      <c r="K403" s="13" t="n">
        <v>0.15</v>
      </c>
      <c r="L403" s="12" t="n">
        <v>3375.44</v>
      </c>
      <c r="M403" s="12" t="n">
        <v>2978.33</v>
      </c>
      <c r="N403" s="12" t="n">
        <v>397.11</v>
      </c>
      <c r="O403" t="inlineStr">
        <is>
          <t>Debit Card</t>
        </is>
      </c>
      <c r="P403" t="inlineStr">
        <is>
          <t>Diya Patel</t>
        </is>
      </c>
    </row>
    <row r="404">
      <c r="A404" t="inlineStr">
        <is>
          <t>ORD-2506-0403</t>
        </is>
      </c>
      <c r="B404" s="11" t="n">
        <v>45836</v>
      </c>
      <c r="C404" t="inlineStr">
        <is>
          <t>South</t>
        </is>
      </c>
      <c r="D404" t="inlineStr">
        <is>
          <t>Chennai</t>
        </is>
      </c>
      <c r="E404" t="inlineStr">
        <is>
          <t>Small Business</t>
        </is>
      </c>
      <c r="F404" t="inlineStr">
        <is>
          <t>Partner</t>
        </is>
      </c>
      <c r="G404" t="inlineStr">
        <is>
          <t>Office Supplies</t>
        </is>
      </c>
      <c r="H404" t="inlineStr">
        <is>
          <t>Pens Box</t>
        </is>
      </c>
      <c r="I404" t="n">
        <v>2</v>
      </c>
      <c r="J404" s="12" t="n">
        <v>171.89</v>
      </c>
      <c r="K404" s="13" t="n">
        <v>0.05</v>
      </c>
      <c r="L404" s="12" t="n">
        <v>326.59</v>
      </c>
      <c r="M404" s="12" t="n">
        <v>223.46</v>
      </c>
      <c r="N404" s="12" t="n">
        <v>103.13</v>
      </c>
      <c r="O404" t="inlineStr">
        <is>
          <t>Debit Card</t>
        </is>
      </c>
      <c r="P404" t="inlineStr">
        <is>
          <t>Aarav Sharma</t>
        </is>
      </c>
    </row>
    <row r="405">
      <c r="A405" t="inlineStr">
        <is>
          <t>ORD-2502-0404</t>
        </is>
      </c>
      <c r="B405" s="11" t="n">
        <v>45716</v>
      </c>
      <c r="C405" t="inlineStr">
        <is>
          <t>East</t>
        </is>
      </c>
      <c r="D405" t="inlineStr">
        <is>
          <t>Guwahati</t>
        </is>
      </c>
      <c r="E405" t="inlineStr">
        <is>
          <t>Consumer</t>
        </is>
      </c>
      <c r="F405" t="inlineStr">
        <is>
          <t>Partner</t>
        </is>
      </c>
      <c r="G405" t="inlineStr">
        <is>
          <t>Technology</t>
        </is>
      </c>
      <c r="H405" t="inlineStr">
        <is>
          <t>Printer</t>
        </is>
      </c>
      <c r="I405" t="n">
        <v>6</v>
      </c>
      <c r="J405" s="12" t="n">
        <v>9684.120000000001</v>
      </c>
      <c r="K405" s="13" t="n">
        <v>0.1</v>
      </c>
      <c r="L405" s="12" t="n">
        <v>52294.25</v>
      </c>
      <c r="M405" s="12" t="n">
        <v>48807.96</v>
      </c>
      <c r="N405" s="12" t="n">
        <v>3486.29</v>
      </c>
      <c r="O405" t="inlineStr">
        <is>
          <t>Net Banking</t>
        </is>
      </c>
      <c r="P405" t="inlineStr">
        <is>
          <t>Vivaan Gupta</t>
        </is>
      </c>
    </row>
    <row r="406">
      <c r="A406" t="inlineStr">
        <is>
          <t>ORD-2502-0405</t>
        </is>
      </c>
      <c r="B406" s="11" t="n">
        <v>45716</v>
      </c>
      <c r="C406" t="inlineStr">
        <is>
          <t>West</t>
        </is>
      </c>
      <c r="D406" t="inlineStr">
        <is>
          <t>Ahmedabad</t>
        </is>
      </c>
      <c r="E406" t="inlineStr">
        <is>
          <t>Corporate</t>
        </is>
      </c>
      <c r="F406" t="inlineStr">
        <is>
          <t>Partner</t>
        </is>
      </c>
      <c r="G406" t="inlineStr">
        <is>
          <t>Furniture</t>
        </is>
      </c>
      <c r="H406" t="inlineStr">
        <is>
          <t>Storage Cabinet</t>
        </is>
      </c>
      <c r="I406" t="n">
        <v>4</v>
      </c>
      <c r="J406" s="12" t="n">
        <v>8924.02</v>
      </c>
      <c r="K406" s="13" t="n">
        <v>0</v>
      </c>
      <c r="L406" s="12" t="n">
        <v>35696.08</v>
      </c>
      <c r="M406" s="12" t="n">
        <v>28556.86</v>
      </c>
      <c r="N406" s="12" t="n">
        <v>7139.22</v>
      </c>
      <c r="O406" t="inlineStr">
        <is>
          <t>Cash</t>
        </is>
      </c>
      <c r="P406" t="inlineStr">
        <is>
          <t>Anaya Rao</t>
        </is>
      </c>
    </row>
    <row r="407">
      <c r="A407" t="inlineStr">
        <is>
          <t>ORD-2509-0406</t>
        </is>
      </c>
      <c r="B407" s="11" t="n">
        <v>45907</v>
      </c>
      <c r="C407" t="inlineStr">
        <is>
          <t>North</t>
        </is>
      </c>
      <c r="D407" t="inlineStr">
        <is>
          <t>Chandigarh</t>
        </is>
      </c>
      <c r="E407" t="inlineStr">
        <is>
          <t>Consumer</t>
        </is>
      </c>
      <c r="F407" t="inlineStr">
        <is>
          <t>Partner</t>
        </is>
      </c>
      <c r="G407" t="inlineStr">
        <is>
          <t>Office Supplies</t>
        </is>
      </c>
      <c r="H407" t="inlineStr">
        <is>
          <t>Pens Box</t>
        </is>
      </c>
      <c r="I407" t="n">
        <v>1</v>
      </c>
      <c r="J407" s="12" t="n">
        <v>192.91</v>
      </c>
      <c r="K407" s="13" t="n">
        <v>0.1</v>
      </c>
      <c r="L407" s="12" t="n">
        <v>173.62</v>
      </c>
      <c r="M407" s="12" t="n">
        <v>125.39</v>
      </c>
      <c r="N407" s="12" t="n">
        <v>48.23</v>
      </c>
      <c r="O407" t="inlineStr">
        <is>
          <t>Cash</t>
        </is>
      </c>
      <c r="P407" t="inlineStr">
        <is>
          <t>Aarav Sharma</t>
        </is>
      </c>
    </row>
    <row r="408">
      <c r="A408" t="inlineStr">
        <is>
          <t>ORD-2511-0407</t>
        </is>
      </c>
      <c r="B408" s="11" t="n">
        <v>45978</v>
      </c>
      <c r="C408" t="inlineStr">
        <is>
          <t>North</t>
        </is>
      </c>
      <c r="D408" t="inlineStr">
        <is>
          <t>Jaipur</t>
        </is>
      </c>
      <c r="E408" t="inlineStr">
        <is>
          <t>Consumer</t>
        </is>
      </c>
      <c r="F408" t="inlineStr">
        <is>
          <t>Online</t>
        </is>
      </c>
      <c r="G408" t="inlineStr">
        <is>
          <t>Office Supplies</t>
        </is>
      </c>
      <c r="H408" t="inlineStr">
        <is>
          <t>Pens Box</t>
        </is>
      </c>
      <c r="I408" t="n">
        <v>3</v>
      </c>
      <c r="J408" s="12" t="n">
        <v>185.34</v>
      </c>
      <c r="K408" s="13" t="n">
        <v>0</v>
      </c>
      <c r="L408" s="12" t="n">
        <v>556.02</v>
      </c>
      <c r="M408" s="12" t="n">
        <v>361.41</v>
      </c>
      <c r="N408" s="12" t="n">
        <v>194.61</v>
      </c>
      <c r="O408" t="inlineStr">
        <is>
          <t>Cash</t>
        </is>
      </c>
      <c r="P408" t="inlineStr">
        <is>
          <t>Vivaan Gupta</t>
        </is>
      </c>
    </row>
    <row r="409">
      <c r="A409" t="inlineStr">
        <is>
          <t>ORD-2511-0408</t>
        </is>
      </c>
      <c r="B409" s="11" t="n">
        <v>45989</v>
      </c>
      <c r="C409" t="inlineStr">
        <is>
          <t>North</t>
        </is>
      </c>
      <c r="D409" t="inlineStr">
        <is>
          <t>Jaipur</t>
        </is>
      </c>
      <c r="E409" t="inlineStr">
        <is>
          <t>Consumer</t>
        </is>
      </c>
      <c r="F409" t="inlineStr">
        <is>
          <t>Online</t>
        </is>
      </c>
      <c r="G409" t="inlineStr">
        <is>
          <t>Technology</t>
        </is>
      </c>
      <c r="H409" t="inlineStr">
        <is>
          <t>Laptop</t>
        </is>
      </c>
      <c r="I409" t="n">
        <v>3</v>
      </c>
      <c r="J409" s="12" t="n">
        <v>39228.14</v>
      </c>
      <c r="K409" s="13" t="n">
        <v>0.05</v>
      </c>
      <c r="L409" s="12" t="n">
        <v>111800.2</v>
      </c>
      <c r="M409" s="12" t="n">
        <v>103562.29</v>
      </c>
      <c r="N409" s="12" t="n">
        <v>8237.91</v>
      </c>
      <c r="O409" t="inlineStr">
        <is>
          <t>Net Banking</t>
        </is>
      </c>
      <c r="P409" t="inlineStr">
        <is>
          <t>Diya Patel</t>
        </is>
      </c>
    </row>
    <row r="410">
      <c r="A410" t="inlineStr">
        <is>
          <t>ORD-2510-0409</t>
        </is>
      </c>
      <c r="B410" s="11" t="n">
        <v>45952</v>
      </c>
      <c r="C410" t="inlineStr">
        <is>
          <t>South</t>
        </is>
      </c>
      <c r="D410" t="inlineStr">
        <is>
          <t>Hyderabad</t>
        </is>
      </c>
      <c r="E410" t="inlineStr">
        <is>
          <t>Consumer</t>
        </is>
      </c>
      <c r="F410" t="inlineStr">
        <is>
          <t>Retail Store</t>
        </is>
      </c>
      <c r="G410" t="inlineStr">
        <is>
          <t>Furniture</t>
        </is>
      </c>
      <c r="H410" t="inlineStr">
        <is>
          <t>Desk</t>
        </is>
      </c>
      <c r="I410" t="n">
        <v>2</v>
      </c>
      <c r="J410" s="12" t="n">
        <v>11376.77</v>
      </c>
      <c r="K410" s="13" t="n">
        <v>0.1</v>
      </c>
      <c r="L410" s="12" t="n">
        <v>20478.19</v>
      </c>
      <c r="M410" s="12" t="n">
        <v>17292.69</v>
      </c>
      <c r="N410" s="12" t="n">
        <v>3185.5</v>
      </c>
      <c r="O410" t="inlineStr">
        <is>
          <t>Credit Card</t>
        </is>
      </c>
      <c r="P410" t="inlineStr">
        <is>
          <t>Aarav Sharma</t>
        </is>
      </c>
    </row>
    <row r="411">
      <c r="A411" t="inlineStr">
        <is>
          <t>ORD-2511-0410</t>
        </is>
      </c>
      <c r="B411" s="11" t="n">
        <v>45986</v>
      </c>
      <c r="C411" t="inlineStr">
        <is>
          <t>Central</t>
        </is>
      </c>
      <c r="D411" t="inlineStr">
        <is>
          <t>Bhopal</t>
        </is>
      </c>
      <c r="E411" t="inlineStr">
        <is>
          <t>Corporate</t>
        </is>
      </c>
      <c r="F411" t="inlineStr">
        <is>
          <t>Partner</t>
        </is>
      </c>
      <c r="G411" t="inlineStr">
        <is>
          <t>Office Supplies</t>
        </is>
      </c>
      <c r="H411" t="inlineStr">
        <is>
          <t>File Folder</t>
        </is>
      </c>
      <c r="I411" t="n">
        <v>4</v>
      </c>
      <c r="J411" s="12" t="n">
        <v>95.01000000000001</v>
      </c>
      <c r="K411" s="13" t="n">
        <v>0</v>
      </c>
      <c r="L411" s="12" t="n">
        <v>380.04</v>
      </c>
      <c r="M411" s="12" t="n">
        <v>235.62</v>
      </c>
      <c r="N411" s="12" t="n">
        <v>144.42</v>
      </c>
      <c r="O411" t="inlineStr">
        <is>
          <t>Credit Card</t>
        </is>
      </c>
      <c r="P411" t="inlineStr">
        <is>
          <t>Rohan Verma</t>
        </is>
      </c>
    </row>
    <row r="412">
      <c r="A412" t="inlineStr">
        <is>
          <t>ORD-2512-0411</t>
        </is>
      </c>
      <c r="B412" s="11" t="n">
        <v>46009</v>
      </c>
      <c r="C412" t="inlineStr">
        <is>
          <t>East</t>
        </is>
      </c>
      <c r="D412" t="inlineStr">
        <is>
          <t>Kolkata</t>
        </is>
      </c>
      <c r="E412" t="inlineStr">
        <is>
          <t>Small Business</t>
        </is>
      </c>
      <c r="F412" t="inlineStr">
        <is>
          <t>Online</t>
        </is>
      </c>
      <c r="G412" t="inlineStr">
        <is>
          <t>Technology</t>
        </is>
      </c>
      <c r="H412" t="inlineStr">
        <is>
          <t>Headphones</t>
        </is>
      </c>
      <c r="I412" t="n">
        <v>4</v>
      </c>
      <c r="J412" s="12" t="n">
        <v>2163.08</v>
      </c>
      <c r="K412" s="13" t="n">
        <v>0.05</v>
      </c>
      <c r="L412" s="12" t="n">
        <v>8219.700000000001</v>
      </c>
      <c r="M412" s="12" t="n">
        <v>6748.81</v>
      </c>
      <c r="N412" s="12" t="n">
        <v>1470.89</v>
      </c>
      <c r="O412" t="inlineStr">
        <is>
          <t>Debit Card</t>
        </is>
      </c>
      <c r="P412" t="inlineStr">
        <is>
          <t>Kabir Singh</t>
        </is>
      </c>
    </row>
    <row r="413">
      <c r="A413" t="inlineStr">
        <is>
          <t>ORD-2510-0412</t>
        </is>
      </c>
      <c r="B413" s="11" t="n">
        <v>45931</v>
      </c>
      <c r="C413" t="inlineStr">
        <is>
          <t>South</t>
        </is>
      </c>
      <c r="D413" t="inlineStr">
        <is>
          <t>Chennai</t>
        </is>
      </c>
      <c r="E413" t="inlineStr">
        <is>
          <t>Small Business</t>
        </is>
      </c>
      <c r="F413" t="inlineStr">
        <is>
          <t>Online</t>
        </is>
      </c>
      <c r="G413" t="inlineStr">
        <is>
          <t>Office Supplies</t>
        </is>
      </c>
      <c r="H413" t="inlineStr">
        <is>
          <t>Paper Ream</t>
        </is>
      </c>
      <c r="I413" t="n">
        <v>2</v>
      </c>
      <c r="J413" s="12" t="n">
        <v>423.07</v>
      </c>
      <c r="K413" s="13" t="n">
        <v>0.15</v>
      </c>
      <c r="L413" s="12" t="n">
        <v>719.22</v>
      </c>
      <c r="M413" s="12" t="n">
        <v>651.53</v>
      </c>
      <c r="N413" s="12" t="n">
        <v>67.69</v>
      </c>
      <c r="O413" t="inlineStr">
        <is>
          <t>Net Banking</t>
        </is>
      </c>
      <c r="P413" t="inlineStr">
        <is>
          <t>Sara Khan</t>
        </is>
      </c>
    </row>
    <row r="414">
      <c r="A414" t="inlineStr">
        <is>
          <t>ORD-2501-0413</t>
        </is>
      </c>
      <c r="B414" s="11" t="n">
        <v>45663</v>
      </c>
      <c r="C414" t="inlineStr">
        <is>
          <t>Central</t>
        </is>
      </c>
      <c r="D414" t="inlineStr">
        <is>
          <t>Indore</t>
        </is>
      </c>
      <c r="E414" t="inlineStr">
        <is>
          <t>Small Business</t>
        </is>
      </c>
      <c r="F414" t="inlineStr">
        <is>
          <t>Online</t>
        </is>
      </c>
      <c r="G414" t="inlineStr">
        <is>
          <t>Technology</t>
        </is>
      </c>
      <c r="H414" t="inlineStr">
        <is>
          <t>Monitor</t>
        </is>
      </c>
      <c r="I414" t="n">
        <v>1</v>
      </c>
      <c r="J414" s="12" t="n">
        <v>12288.16</v>
      </c>
      <c r="K414" s="13" t="n">
        <v>0.1</v>
      </c>
      <c r="L414" s="12" t="n">
        <v>11059.34</v>
      </c>
      <c r="M414" s="12" t="n">
        <v>10076.29</v>
      </c>
      <c r="N414" s="12" t="n">
        <v>983.05</v>
      </c>
      <c r="O414" t="inlineStr">
        <is>
          <t>Net Banking</t>
        </is>
      </c>
      <c r="P414" t="inlineStr">
        <is>
          <t>Meera Joshi</t>
        </is>
      </c>
    </row>
    <row r="415">
      <c r="A415" t="inlineStr">
        <is>
          <t>ORD-2506-0414</t>
        </is>
      </c>
      <c r="B415" s="11" t="n">
        <v>45834</v>
      </c>
      <c r="C415" t="inlineStr">
        <is>
          <t>South</t>
        </is>
      </c>
      <c r="D415" t="inlineStr">
        <is>
          <t>Kochi</t>
        </is>
      </c>
      <c r="E415" t="inlineStr">
        <is>
          <t>Small Business</t>
        </is>
      </c>
      <c r="F415" t="inlineStr">
        <is>
          <t>Retail Store</t>
        </is>
      </c>
      <c r="G415" t="inlineStr">
        <is>
          <t>Office Supplies</t>
        </is>
      </c>
      <c r="H415" t="inlineStr">
        <is>
          <t>Pens Box</t>
        </is>
      </c>
      <c r="I415" t="n">
        <v>5</v>
      </c>
      <c r="J415" s="12" t="n">
        <v>170.9</v>
      </c>
      <c r="K415" s="13" t="n">
        <v>0</v>
      </c>
      <c r="L415" s="12" t="n">
        <v>854.5</v>
      </c>
      <c r="M415" s="12" t="n">
        <v>555.4299999999999</v>
      </c>
      <c r="N415" s="12" t="n">
        <v>299.07</v>
      </c>
      <c r="O415" t="inlineStr">
        <is>
          <t>UPI</t>
        </is>
      </c>
      <c r="P415" t="inlineStr">
        <is>
          <t>Diya Patel</t>
        </is>
      </c>
    </row>
    <row r="416">
      <c r="A416" t="inlineStr">
        <is>
          <t>ORD-2504-0415</t>
        </is>
      </c>
      <c r="B416" s="11" t="n">
        <v>45750</v>
      </c>
      <c r="C416" t="inlineStr">
        <is>
          <t>Central</t>
        </is>
      </c>
      <c r="D416" t="inlineStr">
        <is>
          <t>Bhopal</t>
        </is>
      </c>
      <c r="E416" t="inlineStr">
        <is>
          <t>Small Business</t>
        </is>
      </c>
      <c r="F416" t="inlineStr">
        <is>
          <t>Partner</t>
        </is>
      </c>
      <c r="G416" t="inlineStr">
        <is>
          <t>Office Supplies</t>
        </is>
      </c>
      <c r="H416" t="inlineStr">
        <is>
          <t>Stapler</t>
        </is>
      </c>
      <c r="I416" t="n">
        <v>4</v>
      </c>
      <c r="J416" s="12" t="n">
        <v>262.03</v>
      </c>
      <c r="K416" s="13" t="n">
        <v>0.2</v>
      </c>
      <c r="L416" s="12" t="n">
        <v>838.5</v>
      </c>
      <c r="M416" s="12" t="n">
        <v>733.6799999999999</v>
      </c>
      <c r="N416" s="12" t="n">
        <v>104.82</v>
      </c>
      <c r="O416" t="inlineStr">
        <is>
          <t>Credit Card</t>
        </is>
      </c>
      <c r="P416" t="inlineStr">
        <is>
          <t>Rohan Verma</t>
        </is>
      </c>
    </row>
    <row r="417">
      <c r="A417" t="inlineStr">
        <is>
          <t>ORD-2512-0416</t>
        </is>
      </c>
      <c r="B417" s="11" t="n">
        <v>46001</v>
      </c>
      <c r="C417" t="inlineStr">
        <is>
          <t>North</t>
        </is>
      </c>
      <c r="D417" t="inlineStr">
        <is>
          <t>Chandigarh</t>
        </is>
      </c>
      <c r="E417" t="inlineStr">
        <is>
          <t>Corporate</t>
        </is>
      </c>
      <c r="F417" t="inlineStr">
        <is>
          <t>Online</t>
        </is>
      </c>
      <c r="G417" t="inlineStr">
        <is>
          <t>Technology</t>
        </is>
      </c>
      <c r="H417" t="inlineStr">
        <is>
          <t>Monitor</t>
        </is>
      </c>
      <c r="I417" t="n">
        <v>1</v>
      </c>
      <c r="J417" s="12" t="n">
        <v>13403.08</v>
      </c>
      <c r="K417" s="13" t="n">
        <v>0.1</v>
      </c>
      <c r="L417" s="12" t="n">
        <v>12062.77</v>
      </c>
      <c r="M417" s="12" t="n">
        <v>10990.53</v>
      </c>
      <c r="N417" s="12" t="n">
        <v>1072.24</v>
      </c>
      <c r="O417" t="inlineStr">
        <is>
          <t>UPI</t>
        </is>
      </c>
      <c r="P417" t="inlineStr">
        <is>
          <t>Diya Patel</t>
        </is>
      </c>
    </row>
    <row r="418">
      <c r="A418" t="inlineStr">
        <is>
          <t>ORD-2505-0417</t>
        </is>
      </c>
      <c r="B418" s="11" t="n">
        <v>45803</v>
      </c>
      <c r="C418" t="inlineStr">
        <is>
          <t>Central</t>
        </is>
      </c>
      <c r="D418" t="inlineStr">
        <is>
          <t>Bhopal</t>
        </is>
      </c>
      <c r="E418" t="inlineStr">
        <is>
          <t>Corporate</t>
        </is>
      </c>
      <c r="F418" t="inlineStr">
        <is>
          <t>Partner</t>
        </is>
      </c>
      <c r="G418" t="inlineStr">
        <is>
          <t>Technology</t>
        </is>
      </c>
      <c r="H418" t="inlineStr">
        <is>
          <t>Printer</t>
        </is>
      </c>
      <c r="I418" t="n">
        <v>2</v>
      </c>
      <c r="J418" s="12" t="n">
        <v>9676.84</v>
      </c>
      <c r="K418" s="13" t="n">
        <v>0.05</v>
      </c>
      <c r="L418" s="12" t="n">
        <v>18386</v>
      </c>
      <c r="M418" s="12" t="n">
        <v>16257.09</v>
      </c>
      <c r="N418" s="12" t="n">
        <v>2128.91</v>
      </c>
      <c r="O418" t="inlineStr">
        <is>
          <t>Cash</t>
        </is>
      </c>
      <c r="P418" t="inlineStr">
        <is>
          <t>Kabir Singh</t>
        </is>
      </c>
    </row>
    <row r="419">
      <c r="A419" t="inlineStr">
        <is>
          <t>ORD-2510-0418</t>
        </is>
      </c>
      <c r="B419" s="11" t="n">
        <v>45947</v>
      </c>
      <c r="C419" t="inlineStr">
        <is>
          <t>Central</t>
        </is>
      </c>
      <c r="D419" t="inlineStr">
        <is>
          <t>Raipur</t>
        </is>
      </c>
      <c r="E419" t="inlineStr">
        <is>
          <t>Consumer</t>
        </is>
      </c>
      <c r="F419" t="inlineStr">
        <is>
          <t>Online</t>
        </is>
      </c>
      <c r="G419" t="inlineStr">
        <is>
          <t>Office Supplies</t>
        </is>
      </c>
      <c r="H419" t="inlineStr">
        <is>
          <t>File Folder</t>
        </is>
      </c>
      <c r="I419" t="n">
        <v>2</v>
      </c>
      <c r="J419" s="12" t="n">
        <v>82.87</v>
      </c>
      <c r="K419" s="13" t="n">
        <v>0.05</v>
      </c>
      <c r="L419" s="12" t="n">
        <v>157.45</v>
      </c>
      <c r="M419" s="12" t="n">
        <v>102.76</v>
      </c>
      <c r="N419" s="12" t="n">
        <v>54.69</v>
      </c>
      <c r="O419" t="inlineStr">
        <is>
          <t>Debit Card</t>
        </is>
      </c>
      <c r="P419" t="inlineStr">
        <is>
          <t>Rohan Verma</t>
        </is>
      </c>
    </row>
    <row r="420">
      <c r="A420" t="inlineStr">
        <is>
          <t>ORD-2507-0419</t>
        </is>
      </c>
      <c r="B420" s="11" t="n">
        <v>45842</v>
      </c>
      <c r="C420" t="inlineStr">
        <is>
          <t>South</t>
        </is>
      </c>
      <c r="D420" t="inlineStr">
        <is>
          <t>Hyderabad</t>
        </is>
      </c>
      <c r="E420" t="inlineStr">
        <is>
          <t>Small Business</t>
        </is>
      </c>
      <c r="F420" t="inlineStr">
        <is>
          <t>Online</t>
        </is>
      </c>
      <c r="G420" t="inlineStr">
        <is>
          <t>Furniture</t>
        </is>
      </c>
      <c r="H420" t="inlineStr">
        <is>
          <t>Bookshelf</t>
        </is>
      </c>
      <c r="I420" t="n">
        <v>3</v>
      </c>
      <c r="J420" s="12" t="n">
        <v>5038.15</v>
      </c>
      <c r="K420" s="13" t="n">
        <v>0.05</v>
      </c>
      <c r="L420" s="12" t="n">
        <v>14358.73</v>
      </c>
      <c r="M420" s="12" t="n">
        <v>11184.69</v>
      </c>
      <c r="N420" s="12" t="n">
        <v>3174.04</v>
      </c>
      <c r="O420" t="inlineStr">
        <is>
          <t>UPI</t>
        </is>
      </c>
      <c r="P420" t="inlineStr">
        <is>
          <t>Diya Patel</t>
        </is>
      </c>
    </row>
    <row r="421">
      <c r="A421" t="inlineStr">
        <is>
          <t>ORD-2505-0420</t>
        </is>
      </c>
      <c r="B421" s="11" t="n">
        <v>45801</v>
      </c>
      <c r="C421" t="inlineStr">
        <is>
          <t>South</t>
        </is>
      </c>
      <c r="D421" t="inlineStr">
        <is>
          <t>Chennai</t>
        </is>
      </c>
      <c r="E421" t="inlineStr">
        <is>
          <t>Consumer</t>
        </is>
      </c>
      <c r="F421" t="inlineStr">
        <is>
          <t>Partner</t>
        </is>
      </c>
      <c r="G421" t="inlineStr">
        <is>
          <t>Technology</t>
        </is>
      </c>
      <c r="H421" t="inlineStr">
        <is>
          <t>Headphones</t>
        </is>
      </c>
      <c r="I421" t="n">
        <v>4</v>
      </c>
      <c r="J421" s="12" t="n">
        <v>2280.05</v>
      </c>
      <c r="K421" s="13" t="n">
        <v>0.1</v>
      </c>
      <c r="L421" s="12" t="n">
        <v>8208.18</v>
      </c>
      <c r="M421" s="12" t="n">
        <v>7113.76</v>
      </c>
      <c r="N421" s="12" t="n">
        <v>1094.42</v>
      </c>
      <c r="O421" t="inlineStr">
        <is>
          <t>Credit Card</t>
        </is>
      </c>
      <c r="P421" t="inlineStr">
        <is>
          <t>Vivaan Gupta</t>
        </is>
      </c>
    </row>
    <row r="422">
      <c r="A422" t="inlineStr">
        <is>
          <t>ORD-2510-0421</t>
        </is>
      </c>
      <c r="B422" s="11" t="n">
        <v>45960</v>
      </c>
      <c r="C422" t="inlineStr">
        <is>
          <t>South</t>
        </is>
      </c>
      <c r="D422" t="inlineStr">
        <is>
          <t>Bengaluru</t>
        </is>
      </c>
      <c r="E422" t="inlineStr">
        <is>
          <t>Small Business</t>
        </is>
      </c>
      <c r="F422" t="inlineStr">
        <is>
          <t>Online</t>
        </is>
      </c>
      <c r="G422" t="inlineStr">
        <is>
          <t>Furniture</t>
        </is>
      </c>
      <c r="H422" t="inlineStr">
        <is>
          <t>Storage Cabinet</t>
        </is>
      </c>
      <c r="I422" t="n">
        <v>2</v>
      </c>
      <c r="J422" s="12" t="n">
        <v>8956.5</v>
      </c>
      <c r="K422" s="13" t="n">
        <v>0.15</v>
      </c>
      <c r="L422" s="12" t="n">
        <v>15226.05</v>
      </c>
      <c r="M422" s="12" t="n">
        <v>14330.4</v>
      </c>
      <c r="N422" s="12" t="n">
        <v>895.65</v>
      </c>
      <c r="O422" t="inlineStr">
        <is>
          <t>Net Banking</t>
        </is>
      </c>
      <c r="P422" t="inlineStr">
        <is>
          <t>Vivaan Gupta</t>
        </is>
      </c>
    </row>
    <row r="423">
      <c r="A423" t="inlineStr">
        <is>
          <t>ORD-2504-0422</t>
        </is>
      </c>
      <c r="B423" s="11" t="n">
        <v>45772</v>
      </c>
      <c r="C423" t="inlineStr">
        <is>
          <t>Central</t>
        </is>
      </c>
      <c r="D423" t="inlineStr">
        <is>
          <t>Raipur</t>
        </is>
      </c>
      <c r="E423" t="inlineStr">
        <is>
          <t>Small Business</t>
        </is>
      </c>
      <c r="F423" t="inlineStr">
        <is>
          <t>Online</t>
        </is>
      </c>
      <c r="G423" t="inlineStr">
        <is>
          <t>Technology</t>
        </is>
      </c>
      <c r="H423" t="inlineStr">
        <is>
          <t>Keyboard</t>
        </is>
      </c>
      <c r="I423" t="n">
        <v>3</v>
      </c>
      <c r="J423" s="12" t="n">
        <v>1376.88</v>
      </c>
      <c r="K423" s="13" t="n">
        <v>0.1</v>
      </c>
      <c r="L423" s="12" t="n">
        <v>3717.58</v>
      </c>
      <c r="M423" s="12" t="n">
        <v>3097.98</v>
      </c>
      <c r="N423" s="12" t="n">
        <v>619.6</v>
      </c>
      <c r="O423" t="inlineStr">
        <is>
          <t>UPI</t>
        </is>
      </c>
      <c r="P423" t="inlineStr">
        <is>
          <t>Kabir Singh</t>
        </is>
      </c>
    </row>
    <row r="424">
      <c r="A424" t="inlineStr">
        <is>
          <t>ORD-2509-0423</t>
        </is>
      </c>
      <c r="B424" s="11" t="n">
        <v>45921</v>
      </c>
      <c r="C424" t="inlineStr">
        <is>
          <t>South</t>
        </is>
      </c>
      <c r="D424" t="inlineStr">
        <is>
          <t>Kochi</t>
        </is>
      </c>
      <c r="E424" t="inlineStr">
        <is>
          <t>Consumer</t>
        </is>
      </c>
      <c r="F424" t="inlineStr">
        <is>
          <t>Partner</t>
        </is>
      </c>
      <c r="G424" t="inlineStr">
        <is>
          <t>Technology</t>
        </is>
      </c>
      <c r="H424" t="inlineStr">
        <is>
          <t>Keyboard</t>
        </is>
      </c>
      <c r="I424" t="n">
        <v>1</v>
      </c>
      <c r="J424" s="12" t="n">
        <v>1435.71</v>
      </c>
      <c r="K424" s="13" t="n">
        <v>0.2</v>
      </c>
      <c r="L424" s="12" t="n">
        <v>1148.57</v>
      </c>
      <c r="M424" s="12" t="n">
        <v>1076.78</v>
      </c>
      <c r="N424" s="12" t="n">
        <v>71.79000000000001</v>
      </c>
      <c r="O424" t="inlineStr">
        <is>
          <t>Debit Card</t>
        </is>
      </c>
      <c r="P424" t="inlineStr">
        <is>
          <t>Sara Khan</t>
        </is>
      </c>
    </row>
    <row r="425">
      <c r="A425" t="inlineStr">
        <is>
          <t>ORD-2501-0424</t>
        </is>
      </c>
      <c r="B425" s="11" t="n">
        <v>45678</v>
      </c>
      <c r="C425" t="inlineStr">
        <is>
          <t>South</t>
        </is>
      </c>
      <c r="D425" t="inlineStr">
        <is>
          <t>Kochi</t>
        </is>
      </c>
      <c r="E425" t="inlineStr">
        <is>
          <t>Consumer</t>
        </is>
      </c>
      <c r="F425" t="inlineStr">
        <is>
          <t>Partner</t>
        </is>
      </c>
      <c r="G425" t="inlineStr">
        <is>
          <t>Technology</t>
        </is>
      </c>
      <c r="H425" t="inlineStr">
        <is>
          <t>Printer</t>
        </is>
      </c>
      <c r="I425" t="n">
        <v>1</v>
      </c>
      <c r="J425" s="12" t="n">
        <v>8805.07</v>
      </c>
      <c r="K425" s="13" t="n">
        <v>0.05</v>
      </c>
      <c r="L425" s="12" t="n">
        <v>8364.82</v>
      </c>
      <c r="M425" s="12" t="n">
        <v>7396.26</v>
      </c>
      <c r="N425" s="12" t="n">
        <v>968.5599999999999</v>
      </c>
      <c r="O425" t="inlineStr">
        <is>
          <t>Net Banking</t>
        </is>
      </c>
      <c r="P425" t="inlineStr">
        <is>
          <t>Vivaan Gupta</t>
        </is>
      </c>
    </row>
    <row r="426">
      <c r="A426" t="inlineStr">
        <is>
          <t>ORD-2508-0425</t>
        </is>
      </c>
      <c r="B426" s="11" t="n">
        <v>45898</v>
      </c>
      <c r="C426" t="inlineStr">
        <is>
          <t>West</t>
        </is>
      </c>
      <c r="D426" t="inlineStr">
        <is>
          <t>Mumbai</t>
        </is>
      </c>
      <c r="E426" t="inlineStr">
        <is>
          <t>Small Business</t>
        </is>
      </c>
      <c r="F426" t="inlineStr">
        <is>
          <t>Partner</t>
        </is>
      </c>
      <c r="G426" t="inlineStr">
        <is>
          <t>Technology</t>
        </is>
      </c>
      <c r="H426" t="inlineStr">
        <is>
          <t>Laptop</t>
        </is>
      </c>
      <c r="I426" t="n">
        <v>10</v>
      </c>
      <c r="J426" s="12" t="n">
        <v>43369.11</v>
      </c>
      <c r="K426" s="13" t="n">
        <v>0.05</v>
      </c>
      <c r="L426" s="12" t="n">
        <v>412006.54</v>
      </c>
      <c r="M426" s="12" t="n">
        <v>381648.17</v>
      </c>
      <c r="N426" s="12" t="n">
        <v>30358.37</v>
      </c>
      <c r="O426" t="inlineStr">
        <is>
          <t>Net Banking</t>
        </is>
      </c>
      <c r="P426" t="inlineStr">
        <is>
          <t>Rohan Verma</t>
        </is>
      </c>
    </row>
    <row r="427">
      <c r="A427" t="inlineStr">
        <is>
          <t>ORD-2510-0426</t>
        </is>
      </c>
      <c r="B427" s="11" t="n">
        <v>45954</v>
      </c>
      <c r="C427" t="inlineStr">
        <is>
          <t>Central</t>
        </is>
      </c>
      <c r="D427" t="inlineStr">
        <is>
          <t>Indore</t>
        </is>
      </c>
      <c r="E427" t="inlineStr">
        <is>
          <t>Consumer</t>
        </is>
      </c>
      <c r="F427" t="inlineStr">
        <is>
          <t>Partner</t>
        </is>
      </c>
      <c r="G427" t="inlineStr">
        <is>
          <t>Furniture</t>
        </is>
      </c>
      <c r="H427" t="inlineStr">
        <is>
          <t>Desk</t>
        </is>
      </c>
      <c r="I427" t="n">
        <v>4</v>
      </c>
      <c r="J427" s="12" t="n">
        <v>11782.14</v>
      </c>
      <c r="K427" s="13" t="n">
        <v>0.05</v>
      </c>
      <c r="L427" s="12" t="n">
        <v>44772.13</v>
      </c>
      <c r="M427" s="12" t="n">
        <v>35817.71</v>
      </c>
      <c r="N427" s="12" t="n">
        <v>8954.42</v>
      </c>
      <c r="O427" t="inlineStr">
        <is>
          <t>Net Banking</t>
        </is>
      </c>
      <c r="P427" t="inlineStr">
        <is>
          <t>Vivaan Gupta</t>
        </is>
      </c>
    </row>
    <row r="428">
      <c r="A428" t="inlineStr">
        <is>
          <t>ORD-2504-0427</t>
        </is>
      </c>
      <c r="B428" s="11" t="n">
        <v>45772</v>
      </c>
      <c r="C428" t="inlineStr">
        <is>
          <t>Central</t>
        </is>
      </c>
      <c r="D428" t="inlineStr">
        <is>
          <t>Nagpur</t>
        </is>
      </c>
      <c r="E428" t="inlineStr">
        <is>
          <t>Small Business</t>
        </is>
      </c>
      <c r="F428" t="inlineStr">
        <is>
          <t>Online</t>
        </is>
      </c>
      <c r="G428" t="inlineStr">
        <is>
          <t>Furniture</t>
        </is>
      </c>
      <c r="H428" t="inlineStr">
        <is>
          <t>Office Chair</t>
        </is>
      </c>
      <c r="I428" t="n">
        <v>5</v>
      </c>
      <c r="J428" s="12" t="n">
        <v>7118.41</v>
      </c>
      <c r="K428" s="13" t="n">
        <v>0.05</v>
      </c>
      <c r="L428" s="12" t="n">
        <v>33812.45</v>
      </c>
      <c r="M428" s="12" t="n">
        <v>25626.28</v>
      </c>
      <c r="N428" s="12" t="n">
        <v>8186.17</v>
      </c>
      <c r="O428" t="inlineStr">
        <is>
          <t>Cash</t>
        </is>
      </c>
      <c r="P428" t="inlineStr">
        <is>
          <t>Kabir Singh</t>
        </is>
      </c>
    </row>
    <row r="429">
      <c r="A429" t="inlineStr">
        <is>
          <t>ORD-2508-0428</t>
        </is>
      </c>
      <c r="B429" s="11" t="n">
        <v>45883</v>
      </c>
      <c r="C429" t="inlineStr">
        <is>
          <t>South</t>
        </is>
      </c>
      <c r="D429" t="inlineStr">
        <is>
          <t>Chennai</t>
        </is>
      </c>
      <c r="E429" t="inlineStr">
        <is>
          <t>Consumer</t>
        </is>
      </c>
      <c r="F429" t="inlineStr">
        <is>
          <t>Retail Store</t>
        </is>
      </c>
      <c r="G429" t="inlineStr">
        <is>
          <t>Technology</t>
        </is>
      </c>
      <c r="H429" t="inlineStr">
        <is>
          <t>Monitor</t>
        </is>
      </c>
      <c r="I429" t="n">
        <v>3</v>
      </c>
      <c r="J429" s="12" t="n">
        <v>11800.48</v>
      </c>
      <c r="K429" s="13" t="n">
        <v>0.05</v>
      </c>
      <c r="L429" s="12" t="n">
        <v>33631.37</v>
      </c>
      <c r="M429" s="12" t="n">
        <v>29029.18</v>
      </c>
      <c r="N429" s="12" t="n">
        <v>4602.19</v>
      </c>
      <c r="O429" t="inlineStr">
        <is>
          <t>Cash</t>
        </is>
      </c>
      <c r="P429" t="inlineStr">
        <is>
          <t>Diya Patel</t>
        </is>
      </c>
    </row>
    <row r="430">
      <c r="A430" t="inlineStr">
        <is>
          <t>ORD-2512-0429</t>
        </is>
      </c>
      <c r="B430" s="11" t="n">
        <v>45996</v>
      </c>
      <c r="C430" t="inlineStr">
        <is>
          <t>South</t>
        </is>
      </c>
      <c r="D430" t="inlineStr">
        <is>
          <t>Kochi</t>
        </is>
      </c>
      <c r="E430" t="inlineStr">
        <is>
          <t>Corporate</t>
        </is>
      </c>
      <c r="F430" t="inlineStr">
        <is>
          <t>Online</t>
        </is>
      </c>
      <c r="G430" t="inlineStr">
        <is>
          <t>Office Supplies</t>
        </is>
      </c>
      <c r="H430" t="inlineStr">
        <is>
          <t>File Folder</t>
        </is>
      </c>
      <c r="I430" t="n">
        <v>2</v>
      </c>
      <c r="J430" s="12" t="n">
        <v>92.52</v>
      </c>
      <c r="K430" s="13" t="n">
        <v>0</v>
      </c>
      <c r="L430" s="12" t="n">
        <v>185.04</v>
      </c>
      <c r="M430" s="12" t="n">
        <v>114.72</v>
      </c>
      <c r="N430" s="12" t="n">
        <v>70.31999999999999</v>
      </c>
      <c r="O430" t="inlineStr">
        <is>
          <t>Cash</t>
        </is>
      </c>
      <c r="P430" t="inlineStr">
        <is>
          <t>Kabir Singh</t>
        </is>
      </c>
    </row>
    <row r="431">
      <c r="A431" t="inlineStr">
        <is>
          <t>ORD-2511-0430</t>
        </is>
      </c>
      <c r="B431" s="11" t="n">
        <v>45989</v>
      </c>
      <c r="C431" t="inlineStr">
        <is>
          <t>West</t>
        </is>
      </c>
      <c r="D431" t="inlineStr">
        <is>
          <t>Mumbai</t>
        </is>
      </c>
      <c r="E431" t="inlineStr">
        <is>
          <t>Small Business</t>
        </is>
      </c>
      <c r="F431" t="inlineStr">
        <is>
          <t>Partner</t>
        </is>
      </c>
      <c r="G431" t="inlineStr">
        <is>
          <t>Technology</t>
        </is>
      </c>
      <c r="H431" t="inlineStr">
        <is>
          <t>Printer</t>
        </is>
      </c>
      <c r="I431" t="n">
        <v>1</v>
      </c>
      <c r="J431" s="12" t="n">
        <v>8984.92</v>
      </c>
      <c r="K431" s="13" t="n">
        <v>0.1</v>
      </c>
      <c r="L431" s="12" t="n">
        <v>8086.43</v>
      </c>
      <c r="M431" s="12" t="n">
        <v>7547.33</v>
      </c>
      <c r="N431" s="12" t="n">
        <v>539.1</v>
      </c>
      <c r="O431" t="inlineStr">
        <is>
          <t>Credit Card</t>
        </is>
      </c>
      <c r="P431" t="inlineStr">
        <is>
          <t>Kabir Singh</t>
        </is>
      </c>
    </row>
    <row r="432">
      <c r="A432" t="inlineStr">
        <is>
          <t>ORD-2501-0431</t>
        </is>
      </c>
      <c r="B432" s="11" t="n">
        <v>45686</v>
      </c>
      <c r="C432" t="inlineStr">
        <is>
          <t>South</t>
        </is>
      </c>
      <c r="D432" t="inlineStr">
        <is>
          <t>Hyderabad</t>
        </is>
      </c>
      <c r="E432" t="inlineStr">
        <is>
          <t>Small Business</t>
        </is>
      </c>
      <c r="F432" t="inlineStr">
        <is>
          <t>Online</t>
        </is>
      </c>
      <c r="G432" t="inlineStr">
        <is>
          <t>Technology</t>
        </is>
      </c>
      <c r="H432" t="inlineStr">
        <is>
          <t>Keyboard</t>
        </is>
      </c>
      <c r="I432" t="n">
        <v>3</v>
      </c>
      <c r="J432" s="12" t="n">
        <v>1505.11</v>
      </c>
      <c r="K432" s="13" t="n">
        <v>0.05</v>
      </c>
      <c r="L432" s="12" t="n">
        <v>4289.56</v>
      </c>
      <c r="M432" s="12" t="n">
        <v>3386.5</v>
      </c>
      <c r="N432" s="12" t="n">
        <v>903.0599999999999</v>
      </c>
      <c r="O432" t="inlineStr">
        <is>
          <t>Net Banking</t>
        </is>
      </c>
      <c r="P432" t="inlineStr">
        <is>
          <t>Diya Patel</t>
        </is>
      </c>
    </row>
    <row r="433">
      <c r="A433" t="inlineStr">
        <is>
          <t>ORD-2504-0432</t>
        </is>
      </c>
      <c r="B433" s="11" t="n">
        <v>45768</v>
      </c>
      <c r="C433" t="inlineStr">
        <is>
          <t>West</t>
        </is>
      </c>
      <c r="D433" t="inlineStr">
        <is>
          <t>Surat</t>
        </is>
      </c>
      <c r="E433" t="inlineStr">
        <is>
          <t>Consumer</t>
        </is>
      </c>
      <c r="F433" t="inlineStr">
        <is>
          <t>Partner</t>
        </is>
      </c>
      <c r="G433" t="inlineStr">
        <is>
          <t>Office Supplies</t>
        </is>
      </c>
      <c r="H433" t="inlineStr">
        <is>
          <t>Stapler</t>
        </is>
      </c>
      <c r="I433" t="n">
        <v>3</v>
      </c>
      <c r="J433" s="12" t="n">
        <v>256.29</v>
      </c>
      <c r="K433" s="13" t="n">
        <v>0</v>
      </c>
      <c r="L433" s="12" t="n">
        <v>768.87</v>
      </c>
      <c r="M433" s="12" t="n">
        <v>538.21</v>
      </c>
      <c r="N433" s="12" t="n">
        <v>230.66</v>
      </c>
      <c r="O433" t="inlineStr">
        <is>
          <t>UPI</t>
        </is>
      </c>
      <c r="P433" t="inlineStr">
        <is>
          <t>Rohan Verma</t>
        </is>
      </c>
    </row>
    <row r="434">
      <c r="A434" t="inlineStr">
        <is>
          <t>ORD-2503-0433</t>
        </is>
      </c>
      <c r="B434" s="11" t="n">
        <v>45743</v>
      </c>
      <c r="C434" t="inlineStr">
        <is>
          <t>East</t>
        </is>
      </c>
      <c r="D434" t="inlineStr">
        <is>
          <t>Guwahati</t>
        </is>
      </c>
      <c r="E434" t="inlineStr">
        <is>
          <t>Consumer</t>
        </is>
      </c>
      <c r="F434" t="inlineStr">
        <is>
          <t>Online</t>
        </is>
      </c>
      <c r="G434" t="inlineStr">
        <is>
          <t>Office Supplies</t>
        </is>
      </c>
      <c r="H434" t="inlineStr">
        <is>
          <t>Notebook Pack</t>
        </is>
      </c>
      <c r="I434" t="n">
        <v>3</v>
      </c>
      <c r="J434" s="12" t="n">
        <v>343.59</v>
      </c>
      <c r="K434" s="13" t="n">
        <v>0</v>
      </c>
      <c r="L434" s="12" t="n">
        <v>1030.77</v>
      </c>
      <c r="M434" s="12" t="n">
        <v>700.92</v>
      </c>
      <c r="N434" s="12" t="n">
        <v>329.85</v>
      </c>
      <c r="O434" t="inlineStr">
        <is>
          <t>UPI</t>
        </is>
      </c>
      <c r="P434" t="inlineStr">
        <is>
          <t>Vivaan Gupta</t>
        </is>
      </c>
    </row>
    <row r="435">
      <c r="A435" t="inlineStr">
        <is>
          <t>ORD-2503-0434</t>
        </is>
      </c>
      <c r="B435" s="11" t="n">
        <v>45734</v>
      </c>
      <c r="C435" t="inlineStr">
        <is>
          <t>Central</t>
        </is>
      </c>
      <c r="D435" t="inlineStr">
        <is>
          <t>Bhopal</t>
        </is>
      </c>
      <c r="E435" t="inlineStr">
        <is>
          <t>Small Business</t>
        </is>
      </c>
      <c r="F435" t="inlineStr">
        <is>
          <t>Partner</t>
        </is>
      </c>
      <c r="G435" t="inlineStr">
        <is>
          <t>Technology</t>
        </is>
      </c>
      <c r="H435" t="inlineStr">
        <is>
          <t>Keyboard</t>
        </is>
      </c>
      <c r="I435" t="n">
        <v>3</v>
      </c>
      <c r="J435" s="12" t="n">
        <v>1296.74</v>
      </c>
      <c r="K435" s="13" t="n">
        <v>0.1</v>
      </c>
      <c r="L435" s="12" t="n">
        <v>3501.2</v>
      </c>
      <c r="M435" s="12" t="n">
        <v>2917.66</v>
      </c>
      <c r="N435" s="12" t="n">
        <v>583.54</v>
      </c>
      <c r="O435" t="inlineStr">
        <is>
          <t>Credit Card</t>
        </is>
      </c>
      <c r="P435" t="inlineStr">
        <is>
          <t>Diya Patel</t>
        </is>
      </c>
    </row>
    <row r="436">
      <c r="A436" t="inlineStr">
        <is>
          <t>ORD-2509-0435</t>
        </is>
      </c>
      <c r="B436" s="11" t="n">
        <v>45904</v>
      </c>
      <c r="C436" t="inlineStr">
        <is>
          <t>South</t>
        </is>
      </c>
      <c r="D436" t="inlineStr">
        <is>
          <t>Bengaluru</t>
        </is>
      </c>
      <c r="E436" t="inlineStr">
        <is>
          <t>Consumer</t>
        </is>
      </c>
      <c r="F436" t="inlineStr">
        <is>
          <t>Partner</t>
        </is>
      </c>
      <c r="G436" t="inlineStr">
        <is>
          <t>Office Supplies</t>
        </is>
      </c>
      <c r="H436" t="inlineStr">
        <is>
          <t>File Folder</t>
        </is>
      </c>
      <c r="I436" t="n">
        <v>4</v>
      </c>
      <c r="J436" s="12" t="n">
        <v>88.86</v>
      </c>
      <c r="K436" s="13" t="n">
        <v>0.05</v>
      </c>
      <c r="L436" s="12" t="n">
        <v>337.67</v>
      </c>
      <c r="M436" s="12" t="n">
        <v>220.37</v>
      </c>
      <c r="N436" s="12" t="n">
        <v>117.3</v>
      </c>
      <c r="O436" t="inlineStr">
        <is>
          <t>Cash</t>
        </is>
      </c>
      <c r="P436" t="inlineStr">
        <is>
          <t>Vivaan Gupta</t>
        </is>
      </c>
    </row>
    <row r="437">
      <c r="A437" t="inlineStr">
        <is>
          <t>ORD-2504-0436</t>
        </is>
      </c>
      <c r="B437" s="11" t="n">
        <v>45775</v>
      </c>
      <c r="C437" t="inlineStr">
        <is>
          <t>West</t>
        </is>
      </c>
      <c r="D437" t="inlineStr">
        <is>
          <t>Surat</t>
        </is>
      </c>
      <c r="E437" t="inlineStr">
        <is>
          <t>Small Business</t>
        </is>
      </c>
      <c r="F437" t="inlineStr">
        <is>
          <t>Partner</t>
        </is>
      </c>
      <c r="G437" t="inlineStr">
        <is>
          <t>Furniture</t>
        </is>
      </c>
      <c r="H437" t="inlineStr">
        <is>
          <t>Office Chair</t>
        </is>
      </c>
      <c r="I437" t="n">
        <v>3</v>
      </c>
      <c r="J437" s="12" t="n">
        <v>7084.55</v>
      </c>
      <c r="K437" s="13" t="n">
        <v>0.1</v>
      </c>
      <c r="L437" s="12" t="n">
        <v>19128.29</v>
      </c>
      <c r="M437" s="12" t="n">
        <v>15302.63</v>
      </c>
      <c r="N437" s="12" t="n">
        <v>3825.66</v>
      </c>
      <c r="O437" t="inlineStr">
        <is>
          <t>Credit Card</t>
        </is>
      </c>
      <c r="P437" t="inlineStr">
        <is>
          <t>Vivaan Gupta</t>
        </is>
      </c>
    </row>
    <row r="438">
      <c r="A438" t="inlineStr">
        <is>
          <t>ORD-2503-0437</t>
        </is>
      </c>
      <c r="B438" s="11" t="n">
        <v>45726</v>
      </c>
      <c r="C438" t="inlineStr">
        <is>
          <t>East</t>
        </is>
      </c>
      <c r="D438" t="inlineStr">
        <is>
          <t>Guwahati</t>
        </is>
      </c>
      <c r="E438" t="inlineStr">
        <is>
          <t>Small Business</t>
        </is>
      </c>
      <c r="F438" t="inlineStr">
        <is>
          <t>Retail Store</t>
        </is>
      </c>
      <c r="G438" t="inlineStr">
        <is>
          <t>Office Supplies</t>
        </is>
      </c>
      <c r="H438" t="inlineStr">
        <is>
          <t>File Folder</t>
        </is>
      </c>
      <c r="I438" t="n">
        <v>2</v>
      </c>
      <c r="J438" s="12" t="n">
        <v>86.88</v>
      </c>
      <c r="K438" s="13" t="n">
        <v>0.15</v>
      </c>
      <c r="L438" s="12" t="n">
        <v>147.7</v>
      </c>
      <c r="M438" s="12" t="n">
        <v>107.73</v>
      </c>
      <c r="N438" s="12" t="n">
        <v>39.97</v>
      </c>
      <c r="O438" t="inlineStr">
        <is>
          <t>Net Banking</t>
        </is>
      </c>
      <c r="P438" t="inlineStr">
        <is>
          <t>Meera Joshi</t>
        </is>
      </c>
    </row>
    <row r="439">
      <c r="A439" t="inlineStr">
        <is>
          <t>ORD-2501-0438</t>
        </is>
      </c>
      <c r="B439" s="11" t="n">
        <v>45660</v>
      </c>
      <c r="C439" t="inlineStr">
        <is>
          <t>North</t>
        </is>
      </c>
      <c r="D439" t="inlineStr">
        <is>
          <t>Delhi</t>
        </is>
      </c>
      <c r="E439" t="inlineStr">
        <is>
          <t>Corporate</t>
        </is>
      </c>
      <c r="F439" t="inlineStr">
        <is>
          <t>Retail Store</t>
        </is>
      </c>
      <c r="G439" t="inlineStr">
        <is>
          <t>Furniture</t>
        </is>
      </c>
      <c r="H439" t="inlineStr">
        <is>
          <t>Storage Cabinet</t>
        </is>
      </c>
      <c r="I439" t="n">
        <v>1</v>
      </c>
      <c r="J439" s="12" t="n">
        <v>9167.379999999999</v>
      </c>
      <c r="K439" s="13" t="n">
        <v>0.1</v>
      </c>
      <c r="L439" s="12" t="n">
        <v>8250.639999999999</v>
      </c>
      <c r="M439" s="12" t="n">
        <v>7333.9</v>
      </c>
      <c r="N439" s="12" t="n">
        <v>916.74</v>
      </c>
      <c r="O439" t="inlineStr">
        <is>
          <t>Net Banking</t>
        </is>
      </c>
      <c r="P439" t="inlineStr">
        <is>
          <t>Diya Patel</t>
        </is>
      </c>
    </row>
    <row r="440">
      <c r="A440" t="inlineStr">
        <is>
          <t>ORD-2503-0439</t>
        </is>
      </c>
      <c r="B440" s="11" t="n">
        <v>45737</v>
      </c>
      <c r="C440" t="inlineStr">
        <is>
          <t>West</t>
        </is>
      </c>
      <c r="D440" t="inlineStr">
        <is>
          <t>Ahmedabad</t>
        </is>
      </c>
      <c r="E440" t="inlineStr">
        <is>
          <t>Corporate</t>
        </is>
      </c>
      <c r="F440" t="inlineStr">
        <is>
          <t>Partner</t>
        </is>
      </c>
      <c r="G440" t="inlineStr">
        <is>
          <t>Technology</t>
        </is>
      </c>
      <c r="H440" t="inlineStr">
        <is>
          <t>Headphones</t>
        </is>
      </c>
      <c r="I440" t="n">
        <v>5</v>
      </c>
      <c r="J440" s="12" t="n">
        <v>2152.71</v>
      </c>
      <c r="K440" s="13" t="n">
        <v>0.05</v>
      </c>
      <c r="L440" s="12" t="n">
        <v>10225.37</v>
      </c>
      <c r="M440" s="12" t="n">
        <v>8395.57</v>
      </c>
      <c r="N440" s="12" t="n">
        <v>1829.8</v>
      </c>
      <c r="O440" t="inlineStr">
        <is>
          <t>Debit Card</t>
        </is>
      </c>
      <c r="P440" t="inlineStr">
        <is>
          <t>Meera Joshi</t>
        </is>
      </c>
    </row>
    <row r="441">
      <c r="A441" t="inlineStr">
        <is>
          <t>ORD-2507-0440</t>
        </is>
      </c>
      <c r="B441" s="11" t="n">
        <v>45869</v>
      </c>
      <c r="C441" t="inlineStr">
        <is>
          <t>Central</t>
        </is>
      </c>
      <c r="D441" t="inlineStr">
        <is>
          <t>Nagpur</t>
        </is>
      </c>
      <c r="E441" t="inlineStr">
        <is>
          <t>Corporate</t>
        </is>
      </c>
      <c r="F441" t="inlineStr">
        <is>
          <t>Partner</t>
        </is>
      </c>
      <c r="G441" t="inlineStr">
        <is>
          <t>Technology</t>
        </is>
      </c>
      <c r="H441" t="inlineStr">
        <is>
          <t>Keyboard</t>
        </is>
      </c>
      <c r="I441" t="n">
        <v>2</v>
      </c>
      <c r="J441" s="12" t="n">
        <v>1344.85</v>
      </c>
      <c r="K441" s="13" t="n">
        <v>0.1</v>
      </c>
      <c r="L441" s="12" t="n">
        <v>2420.73</v>
      </c>
      <c r="M441" s="12" t="n">
        <v>2017.27</v>
      </c>
      <c r="N441" s="12" t="n">
        <v>403.46</v>
      </c>
      <c r="O441" t="inlineStr">
        <is>
          <t>Net Banking</t>
        </is>
      </c>
      <c r="P441" t="inlineStr">
        <is>
          <t>Vivaan Gupta</t>
        </is>
      </c>
    </row>
    <row r="442">
      <c r="A442" t="inlineStr">
        <is>
          <t>ORD-2503-0441</t>
        </is>
      </c>
      <c r="B442" s="11" t="n">
        <v>45728</v>
      </c>
      <c r="C442" t="inlineStr">
        <is>
          <t>North</t>
        </is>
      </c>
      <c r="D442" t="inlineStr">
        <is>
          <t>Jaipur</t>
        </is>
      </c>
      <c r="E442" t="inlineStr">
        <is>
          <t>Small Business</t>
        </is>
      </c>
      <c r="F442" t="inlineStr">
        <is>
          <t>Retail Store</t>
        </is>
      </c>
      <c r="G442" t="inlineStr">
        <is>
          <t>Furniture</t>
        </is>
      </c>
      <c r="H442" t="inlineStr">
        <is>
          <t>Bookshelf</t>
        </is>
      </c>
      <c r="I442" t="n">
        <v>5</v>
      </c>
      <c r="J442" s="12" t="n">
        <v>4867.43</v>
      </c>
      <c r="K442" s="13" t="n">
        <v>0.2</v>
      </c>
      <c r="L442" s="12" t="n">
        <v>19469.72</v>
      </c>
      <c r="M442" s="12" t="n">
        <v>18009.49</v>
      </c>
      <c r="N442" s="12" t="n">
        <v>1460.23</v>
      </c>
      <c r="O442" t="inlineStr">
        <is>
          <t>Net Banking</t>
        </is>
      </c>
      <c r="P442" t="inlineStr">
        <is>
          <t>Aarav Sharma</t>
        </is>
      </c>
    </row>
    <row r="443">
      <c r="A443" t="inlineStr">
        <is>
          <t>ORD-2503-0442</t>
        </is>
      </c>
      <c r="B443" s="11" t="n">
        <v>45740</v>
      </c>
      <c r="C443" t="inlineStr">
        <is>
          <t>West</t>
        </is>
      </c>
      <c r="D443" t="inlineStr">
        <is>
          <t>Mumbai</t>
        </is>
      </c>
      <c r="E443" t="inlineStr">
        <is>
          <t>Corporate</t>
        </is>
      </c>
      <c r="F443" t="inlineStr">
        <is>
          <t>Online</t>
        </is>
      </c>
      <c r="G443" t="inlineStr">
        <is>
          <t>Office Supplies</t>
        </is>
      </c>
      <c r="H443" t="inlineStr">
        <is>
          <t>File Folder</t>
        </is>
      </c>
      <c r="I443" t="n">
        <v>1</v>
      </c>
      <c r="J443" s="12" t="n">
        <v>96.13</v>
      </c>
      <c r="K443" s="13" t="n">
        <v>0</v>
      </c>
      <c r="L443" s="12" t="n">
        <v>96.13</v>
      </c>
      <c r="M443" s="12" t="n">
        <v>59.6</v>
      </c>
      <c r="N443" s="12" t="n">
        <v>36.53</v>
      </c>
      <c r="O443" t="inlineStr">
        <is>
          <t>Credit Card</t>
        </is>
      </c>
      <c r="P443" t="inlineStr">
        <is>
          <t>Rohan Verma</t>
        </is>
      </c>
    </row>
    <row r="444">
      <c r="A444" t="inlineStr">
        <is>
          <t>ORD-2504-0443</t>
        </is>
      </c>
      <c r="B444" s="11" t="n">
        <v>45771</v>
      </c>
      <c r="C444" t="inlineStr">
        <is>
          <t>East</t>
        </is>
      </c>
      <c r="D444" t="inlineStr">
        <is>
          <t>Kolkata</t>
        </is>
      </c>
      <c r="E444" t="inlineStr">
        <is>
          <t>Small Business</t>
        </is>
      </c>
      <c r="F444" t="inlineStr">
        <is>
          <t>Partner</t>
        </is>
      </c>
      <c r="G444" t="inlineStr">
        <is>
          <t>Office Supplies</t>
        </is>
      </c>
      <c r="H444" t="inlineStr">
        <is>
          <t>Notebook Pack</t>
        </is>
      </c>
      <c r="I444" t="n">
        <v>1</v>
      </c>
      <c r="J444" s="12" t="n">
        <v>377.13</v>
      </c>
      <c r="K444" s="13" t="n">
        <v>0.05</v>
      </c>
      <c r="L444" s="12" t="n">
        <v>358.27</v>
      </c>
      <c r="M444" s="12" t="n">
        <v>256.45</v>
      </c>
      <c r="N444" s="12" t="n">
        <v>101.82</v>
      </c>
      <c r="O444" t="inlineStr">
        <is>
          <t>Cash</t>
        </is>
      </c>
      <c r="P444" t="inlineStr">
        <is>
          <t>Rohan Verma</t>
        </is>
      </c>
    </row>
    <row r="445">
      <c r="A445" t="inlineStr">
        <is>
          <t>ORD-2512-0444</t>
        </is>
      </c>
      <c r="B445" s="11" t="n">
        <v>46022</v>
      </c>
      <c r="C445" t="inlineStr">
        <is>
          <t>Central</t>
        </is>
      </c>
      <c r="D445" t="inlineStr">
        <is>
          <t>Bhopal</t>
        </is>
      </c>
      <c r="E445" t="inlineStr">
        <is>
          <t>Consumer</t>
        </is>
      </c>
      <c r="F445" t="inlineStr">
        <is>
          <t>Partner</t>
        </is>
      </c>
      <c r="G445" t="inlineStr">
        <is>
          <t>Office Supplies</t>
        </is>
      </c>
      <c r="H445" t="inlineStr">
        <is>
          <t>File Folder</t>
        </is>
      </c>
      <c r="I445" t="n">
        <v>5</v>
      </c>
      <c r="J445" s="12" t="n">
        <v>89.12</v>
      </c>
      <c r="K445" s="13" t="n">
        <v>0.1</v>
      </c>
      <c r="L445" s="12" t="n">
        <v>401.04</v>
      </c>
      <c r="M445" s="12" t="n">
        <v>276.27</v>
      </c>
      <c r="N445" s="12" t="n">
        <v>124.77</v>
      </c>
      <c r="O445" t="inlineStr">
        <is>
          <t>Cash</t>
        </is>
      </c>
      <c r="P445" t="inlineStr">
        <is>
          <t>Rohan Verma</t>
        </is>
      </c>
    </row>
    <row r="446">
      <c r="A446" t="inlineStr">
        <is>
          <t>ORD-2504-0445</t>
        </is>
      </c>
      <c r="B446" s="11" t="n">
        <v>45757</v>
      </c>
      <c r="C446" t="inlineStr">
        <is>
          <t>North</t>
        </is>
      </c>
      <c r="D446" t="inlineStr">
        <is>
          <t>Jaipur</t>
        </is>
      </c>
      <c r="E446" t="inlineStr">
        <is>
          <t>Consumer</t>
        </is>
      </c>
      <c r="F446" t="inlineStr">
        <is>
          <t>Online</t>
        </is>
      </c>
      <c r="G446" t="inlineStr">
        <is>
          <t>Office Supplies</t>
        </is>
      </c>
      <c r="H446" t="inlineStr">
        <is>
          <t>Notebook Pack</t>
        </is>
      </c>
      <c r="I446" t="n">
        <v>1</v>
      </c>
      <c r="J446" s="12" t="n">
        <v>335.4</v>
      </c>
      <c r="K446" s="13" t="n">
        <v>0</v>
      </c>
      <c r="L446" s="12" t="n">
        <v>335.4</v>
      </c>
      <c r="M446" s="12" t="n">
        <v>228.07</v>
      </c>
      <c r="N446" s="12" t="n">
        <v>107.33</v>
      </c>
      <c r="O446" t="inlineStr">
        <is>
          <t>Credit Card</t>
        </is>
      </c>
      <c r="P446" t="inlineStr">
        <is>
          <t>Rohan Verma</t>
        </is>
      </c>
    </row>
    <row r="447">
      <c r="A447" t="inlineStr">
        <is>
          <t>ORD-2507-0446</t>
        </is>
      </c>
      <c r="B447" s="11" t="n">
        <v>45862</v>
      </c>
      <c r="C447" t="inlineStr">
        <is>
          <t>East</t>
        </is>
      </c>
      <c r="D447" t="inlineStr">
        <is>
          <t>Guwahati</t>
        </is>
      </c>
      <c r="E447" t="inlineStr">
        <is>
          <t>Consumer</t>
        </is>
      </c>
      <c r="F447" t="inlineStr">
        <is>
          <t>Online</t>
        </is>
      </c>
      <c r="G447" t="inlineStr">
        <is>
          <t>Furniture</t>
        </is>
      </c>
      <c r="H447" t="inlineStr">
        <is>
          <t>Desk</t>
        </is>
      </c>
      <c r="I447" t="n">
        <v>3</v>
      </c>
      <c r="J447" s="12" t="n">
        <v>11935.94</v>
      </c>
      <c r="K447" s="13" t="n">
        <v>0.1</v>
      </c>
      <c r="L447" s="12" t="n">
        <v>32227.04</v>
      </c>
      <c r="M447" s="12" t="n">
        <v>27213.94</v>
      </c>
      <c r="N447" s="12" t="n">
        <v>5013.1</v>
      </c>
      <c r="O447" t="inlineStr">
        <is>
          <t>Cash</t>
        </is>
      </c>
      <c r="P447" t="inlineStr">
        <is>
          <t>Rohan Verma</t>
        </is>
      </c>
    </row>
    <row r="448">
      <c r="A448" t="inlineStr">
        <is>
          <t>ORD-2510-0447</t>
        </is>
      </c>
      <c r="B448" s="11" t="n">
        <v>45944</v>
      </c>
      <c r="C448" t="inlineStr">
        <is>
          <t>Central</t>
        </is>
      </c>
      <c r="D448" t="inlineStr">
        <is>
          <t>Raipur</t>
        </is>
      </c>
      <c r="E448" t="inlineStr">
        <is>
          <t>Consumer</t>
        </is>
      </c>
      <c r="F448" t="inlineStr">
        <is>
          <t>Retail Store</t>
        </is>
      </c>
      <c r="G448" t="inlineStr">
        <is>
          <t>Furniture</t>
        </is>
      </c>
      <c r="H448" t="inlineStr">
        <is>
          <t>Office Chair</t>
        </is>
      </c>
      <c r="I448" t="n">
        <v>8</v>
      </c>
      <c r="J448" s="12" t="n">
        <v>6915.72</v>
      </c>
      <c r="K448" s="13" t="n">
        <v>0</v>
      </c>
      <c r="L448" s="12" t="n">
        <v>55325.76</v>
      </c>
      <c r="M448" s="12" t="n">
        <v>39834.55</v>
      </c>
      <c r="N448" s="12" t="n">
        <v>15491.21</v>
      </c>
      <c r="O448" t="inlineStr">
        <is>
          <t>Debit Card</t>
        </is>
      </c>
      <c r="P448" t="inlineStr">
        <is>
          <t>Aarav Sharma</t>
        </is>
      </c>
    </row>
    <row r="449">
      <c r="A449" t="inlineStr">
        <is>
          <t>ORD-2505-0448</t>
        </is>
      </c>
      <c r="B449" s="11" t="n">
        <v>45791</v>
      </c>
      <c r="C449" t="inlineStr">
        <is>
          <t>South</t>
        </is>
      </c>
      <c r="D449" t="inlineStr">
        <is>
          <t>Kochi</t>
        </is>
      </c>
      <c r="E449" t="inlineStr">
        <is>
          <t>Consumer</t>
        </is>
      </c>
      <c r="F449" t="inlineStr">
        <is>
          <t>Partner</t>
        </is>
      </c>
      <c r="G449" t="inlineStr">
        <is>
          <t>Furniture</t>
        </is>
      </c>
      <c r="H449" t="inlineStr">
        <is>
          <t>Storage Cabinet</t>
        </is>
      </c>
      <c r="I449" t="n">
        <v>1</v>
      </c>
      <c r="J449" s="12" t="n">
        <v>8607.01</v>
      </c>
      <c r="K449" s="13" t="n">
        <v>0</v>
      </c>
      <c r="L449" s="12" t="n">
        <v>8607.01</v>
      </c>
      <c r="M449" s="12" t="n">
        <v>6885.61</v>
      </c>
      <c r="N449" s="12" t="n">
        <v>1721.4</v>
      </c>
      <c r="O449" t="inlineStr">
        <is>
          <t>Net Banking</t>
        </is>
      </c>
      <c r="P449" t="inlineStr">
        <is>
          <t>Rohan Verma</t>
        </is>
      </c>
    </row>
    <row r="450">
      <c r="A450" t="inlineStr">
        <is>
          <t>ORD-2512-0449</t>
        </is>
      </c>
      <c r="B450" s="11" t="n">
        <v>46013</v>
      </c>
      <c r="C450" t="inlineStr">
        <is>
          <t>West</t>
        </is>
      </c>
      <c r="D450" t="inlineStr">
        <is>
          <t>Surat</t>
        </is>
      </c>
      <c r="E450" t="inlineStr">
        <is>
          <t>Corporate</t>
        </is>
      </c>
      <c r="F450" t="inlineStr">
        <is>
          <t>Partner</t>
        </is>
      </c>
      <c r="G450" t="inlineStr">
        <is>
          <t>Office Supplies</t>
        </is>
      </c>
      <c r="H450" t="inlineStr">
        <is>
          <t>Notebook Pack</t>
        </is>
      </c>
      <c r="I450" t="n">
        <v>3</v>
      </c>
      <c r="J450" s="12" t="n">
        <v>341.02</v>
      </c>
      <c r="K450" s="13" t="n">
        <v>0</v>
      </c>
      <c r="L450" s="12" t="n">
        <v>1023.06</v>
      </c>
      <c r="M450" s="12" t="n">
        <v>695.6799999999999</v>
      </c>
      <c r="N450" s="12" t="n">
        <v>327.38</v>
      </c>
      <c r="O450" t="inlineStr">
        <is>
          <t>Debit Card</t>
        </is>
      </c>
      <c r="P450" t="inlineStr">
        <is>
          <t>Aarav Sharma</t>
        </is>
      </c>
    </row>
    <row r="451">
      <c r="A451" t="inlineStr">
        <is>
          <t>ORD-2509-0450</t>
        </is>
      </c>
      <c r="B451" s="11" t="n">
        <v>45904</v>
      </c>
      <c r="C451" t="inlineStr">
        <is>
          <t>North</t>
        </is>
      </c>
      <c r="D451" t="inlineStr">
        <is>
          <t>Chandigarh</t>
        </is>
      </c>
      <c r="E451" t="inlineStr">
        <is>
          <t>Small Business</t>
        </is>
      </c>
      <c r="F451" t="inlineStr">
        <is>
          <t>Online</t>
        </is>
      </c>
      <c r="G451" t="inlineStr">
        <is>
          <t>Technology</t>
        </is>
      </c>
      <c r="H451" t="inlineStr">
        <is>
          <t>Monitor</t>
        </is>
      </c>
      <c r="I451" t="n">
        <v>2</v>
      </c>
      <c r="J451" s="12" t="n">
        <v>11940.76</v>
      </c>
      <c r="K451" s="13" t="n">
        <v>0.15</v>
      </c>
      <c r="L451" s="12" t="n">
        <v>20299.29</v>
      </c>
      <c r="M451" s="12" t="n">
        <v>19582.85</v>
      </c>
      <c r="N451" s="12" t="n">
        <v>716.4400000000001</v>
      </c>
      <c r="O451" t="inlineStr">
        <is>
          <t>Net Banking</t>
        </is>
      </c>
      <c r="P451" t="inlineStr">
        <is>
          <t>Vivaan Gupta</t>
        </is>
      </c>
    </row>
    <row r="452">
      <c r="A452" t="inlineStr">
        <is>
          <t>ORD-2506-0451</t>
        </is>
      </c>
      <c r="B452" s="11" t="n">
        <v>45838</v>
      </c>
      <c r="C452" t="inlineStr">
        <is>
          <t>Central</t>
        </is>
      </c>
      <c r="D452" t="inlineStr">
        <is>
          <t>Bhopal</t>
        </is>
      </c>
      <c r="E452" t="inlineStr">
        <is>
          <t>Small Business</t>
        </is>
      </c>
      <c r="F452" t="inlineStr">
        <is>
          <t>Partner</t>
        </is>
      </c>
      <c r="G452" t="inlineStr">
        <is>
          <t>Office Supplies</t>
        </is>
      </c>
      <c r="H452" t="inlineStr">
        <is>
          <t>Paper Ream</t>
        </is>
      </c>
      <c r="I452" t="n">
        <v>5</v>
      </c>
      <c r="J452" s="12" t="n">
        <v>392.65</v>
      </c>
      <c r="K452" s="13" t="n">
        <v>0</v>
      </c>
      <c r="L452" s="12" t="n">
        <v>1963.25</v>
      </c>
      <c r="M452" s="12" t="n">
        <v>1511.7</v>
      </c>
      <c r="N452" s="12" t="n">
        <v>451.55</v>
      </c>
      <c r="O452" t="inlineStr">
        <is>
          <t>Net Banking</t>
        </is>
      </c>
      <c r="P452" t="inlineStr">
        <is>
          <t>Diya Patel</t>
        </is>
      </c>
    </row>
    <row r="453">
      <c r="A453" t="inlineStr">
        <is>
          <t>ORD-2510-0452</t>
        </is>
      </c>
      <c r="B453" s="11" t="n">
        <v>45941</v>
      </c>
      <c r="C453" t="inlineStr">
        <is>
          <t>South</t>
        </is>
      </c>
      <c r="D453" t="inlineStr">
        <is>
          <t>Kochi</t>
        </is>
      </c>
      <c r="E453" t="inlineStr">
        <is>
          <t>Small Business</t>
        </is>
      </c>
      <c r="F453" t="inlineStr">
        <is>
          <t>Partner</t>
        </is>
      </c>
      <c r="G453" t="inlineStr">
        <is>
          <t>Furniture</t>
        </is>
      </c>
      <c r="H453" t="inlineStr">
        <is>
          <t>Office Chair</t>
        </is>
      </c>
      <c r="I453" t="n">
        <v>2</v>
      </c>
      <c r="J453" s="12" t="n">
        <v>6548.75</v>
      </c>
      <c r="K453" s="13" t="n">
        <v>0.15</v>
      </c>
      <c r="L453" s="12" t="n">
        <v>11132.88</v>
      </c>
      <c r="M453" s="12" t="n">
        <v>9430.200000000001</v>
      </c>
      <c r="N453" s="12" t="n">
        <v>1702.68</v>
      </c>
      <c r="O453" t="inlineStr">
        <is>
          <t>UPI</t>
        </is>
      </c>
      <c r="P453" t="inlineStr">
        <is>
          <t>Anaya Rao</t>
        </is>
      </c>
    </row>
    <row r="454">
      <c r="A454" t="inlineStr">
        <is>
          <t>ORD-2504-0453</t>
        </is>
      </c>
      <c r="B454" s="11" t="n">
        <v>45760</v>
      </c>
      <c r="C454" t="inlineStr">
        <is>
          <t>South</t>
        </is>
      </c>
      <c r="D454" t="inlineStr">
        <is>
          <t>Chennai</t>
        </is>
      </c>
      <c r="E454" t="inlineStr">
        <is>
          <t>Small Business</t>
        </is>
      </c>
      <c r="F454" t="inlineStr">
        <is>
          <t>Retail Store</t>
        </is>
      </c>
      <c r="G454" t="inlineStr">
        <is>
          <t>Office Supplies</t>
        </is>
      </c>
      <c r="H454" t="inlineStr">
        <is>
          <t>Stapler</t>
        </is>
      </c>
      <c r="I454" t="n">
        <v>2</v>
      </c>
      <c r="J454" s="12" t="n">
        <v>273.93</v>
      </c>
      <c r="K454" s="13" t="n">
        <v>0</v>
      </c>
      <c r="L454" s="12" t="n">
        <v>547.86</v>
      </c>
      <c r="M454" s="12" t="n">
        <v>383.5</v>
      </c>
      <c r="N454" s="12" t="n">
        <v>164.36</v>
      </c>
      <c r="O454" t="inlineStr">
        <is>
          <t>UPI</t>
        </is>
      </c>
      <c r="P454" t="inlineStr">
        <is>
          <t>Diya Patel</t>
        </is>
      </c>
    </row>
    <row r="455">
      <c r="A455" t="inlineStr">
        <is>
          <t>ORD-2503-0454</t>
        </is>
      </c>
      <c r="B455" s="11" t="n">
        <v>45719</v>
      </c>
      <c r="C455" t="inlineStr">
        <is>
          <t>North</t>
        </is>
      </c>
      <c r="D455" t="inlineStr">
        <is>
          <t>Lucknow</t>
        </is>
      </c>
      <c r="E455" t="inlineStr">
        <is>
          <t>Corporate</t>
        </is>
      </c>
      <c r="F455" t="inlineStr">
        <is>
          <t>Retail Store</t>
        </is>
      </c>
      <c r="G455" t="inlineStr">
        <is>
          <t>Office Supplies</t>
        </is>
      </c>
      <c r="H455" t="inlineStr">
        <is>
          <t>Notebook Pack</t>
        </is>
      </c>
      <c r="I455" t="n">
        <v>1</v>
      </c>
      <c r="J455" s="12" t="n">
        <v>375.65</v>
      </c>
      <c r="K455" s="13" t="n">
        <v>0.15</v>
      </c>
      <c r="L455" s="12" t="n">
        <v>319.3</v>
      </c>
      <c r="M455" s="12" t="n">
        <v>255.44</v>
      </c>
      <c r="N455" s="12" t="n">
        <v>63.86</v>
      </c>
      <c r="O455" t="inlineStr">
        <is>
          <t>Cash</t>
        </is>
      </c>
      <c r="P455" t="inlineStr">
        <is>
          <t>Sara Khan</t>
        </is>
      </c>
    </row>
    <row r="456">
      <c r="A456" t="inlineStr">
        <is>
          <t>ORD-2509-0455</t>
        </is>
      </c>
      <c r="B456" s="11" t="n">
        <v>45910</v>
      </c>
      <c r="C456" t="inlineStr">
        <is>
          <t>Central</t>
        </is>
      </c>
      <c r="D456" t="inlineStr">
        <is>
          <t>Raipur</t>
        </is>
      </c>
      <c r="E456" t="inlineStr">
        <is>
          <t>Corporate</t>
        </is>
      </c>
      <c r="F456" t="inlineStr">
        <is>
          <t>Online</t>
        </is>
      </c>
      <c r="G456" t="inlineStr">
        <is>
          <t>Furniture</t>
        </is>
      </c>
      <c r="H456" t="inlineStr">
        <is>
          <t>Bookshelf</t>
        </is>
      </c>
      <c r="I456" t="n">
        <v>1</v>
      </c>
      <c r="J456" s="12" t="n">
        <v>5209.26</v>
      </c>
      <c r="K456" s="13" t="n">
        <v>0.1</v>
      </c>
      <c r="L456" s="12" t="n">
        <v>4688.33</v>
      </c>
      <c r="M456" s="12" t="n">
        <v>3854.85</v>
      </c>
      <c r="N456" s="12" t="n">
        <v>833.48</v>
      </c>
      <c r="O456" t="inlineStr">
        <is>
          <t>Cash</t>
        </is>
      </c>
      <c r="P456" t="inlineStr">
        <is>
          <t>Kabir Singh</t>
        </is>
      </c>
    </row>
    <row r="457">
      <c r="A457" t="inlineStr">
        <is>
          <t>ORD-2501-0456</t>
        </is>
      </c>
      <c r="B457" s="11" t="n">
        <v>45685</v>
      </c>
      <c r="C457" t="inlineStr">
        <is>
          <t>Central</t>
        </is>
      </c>
      <c r="D457" t="inlineStr">
        <is>
          <t>Nagpur</t>
        </is>
      </c>
      <c r="E457" t="inlineStr">
        <is>
          <t>Small Business</t>
        </is>
      </c>
      <c r="F457" t="inlineStr">
        <is>
          <t>Online</t>
        </is>
      </c>
      <c r="G457" t="inlineStr">
        <is>
          <t>Furniture</t>
        </is>
      </c>
      <c r="H457" t="inlineStr">
        <is>
          <t>Bookshelf</t>
        </is>
      </c>
      <c r="I457" t="n">
        <v>8</v>
      </c>
      <c r="J457" s="12" t="n">
        <v>5072.94</v>
      </c>
      <c r="K457" s="13" t="n">
        <v>0</v>
      </c>
      <c r="L457" s="12" t="n">
        <v>40583.52</v>
      </c>
      <c r="M457" s="12" t="n">
        <v>30031.8</v>
      </c>
      <c r="N457" s="12" t="n">
        <v>10551.72</v>
      </c>
      <c r="O457" t="inlineStr">
        <is>
          <t>Debit Card</t>
        </is>
      </c>
      <c r="P457" t="inlineStr">
        <is>
          <t>Diya Patel</t>
        </is>
      </c>
    </row>
    <row r="458">
      <c r="A458" t="inlineStr">
        <is>
          <t>ORD-2512-0457</t>
        </is>
      </c>
      <c r="B458" s="11" t="n">
        <v>46015</v>
      </c>
      <c r="C458" t="inlineStr">
        <is>
          <t>Central</t>
        </is>
      </c>
      <c r="D458" t="inlineStr">
        <is>
          <t>Nagpur</t>
        </is>
      </c>
      <c r="E458" t="inlineStr">
        <is>
          <t>Small Business</t>
        </is>
      </c>
      <c r="F458" t="inlineStr">
        <is>
          <t>Online</t>
        </is>
      </c>
      <c r="G458" t="inlineStr">
        <is>
          <t>Furniture</t>
        </is>
      </c>
      <c r="H458" t="inlineStr">
        <is>
          <t>Office Chair</t>
        </is>
      </c>
      <c r="I458" t="n">
        <v>4</v>
      </c>
      <c r="J458" s="12" t="n">
        <v>6485.3</v>
      </c>
      <c r="K458" s="13" t="n">
        <v>0</v>
      </c>
      <c r="L458" s="12" t="n">
        <v>25941.2</v>
      </c>
      <c r="M458" s="12" t="n">
        <v>18677.66</v>
      </c>
      <c r="N458" s="12" t="n">
        <v>7263.54</v>
      </c>
      <c r="O458" t="inlineStr">
        <is>
          <t>Net Banking</t>
        </is>
      </c>
      <c r="P458" t="inlineStr">
        <is>
          <t>Sara Khan</t>
        </is>
      </c>
    </row>
    <row r="459">
      <c r="A459" t="inlineStr">
        <is>
          <t>ORD-2511-0458</t>
        </is>
      </c>
      <c r="B459" s="11" t="n">
        <v>45971</v>
      </c>
      <c r="C459" t="inlineStr">
        <is>
          <t>East</t>
        </is>
      </c>
      <c r="D459" t="inlineStr">
        <is>
          <t>Patna</t>
        </is>
      </c>
      <c r="E459" t="inlineStr">
        <is>
          <t>Corporate</t>
        </is>
      </c>
      <c r="F459" t="inlineStr">
        <is>
          <t>Retail Store</t>
        </is>
      </c>
      <c r="G459" t="inlineStr">
        <is>
          <t>Furniture</t>
        </is>
      </c>
      <c r="H459" t="inlineStr">
        <is>
          <t>Storage Cabinet</t>
        </is>
      </c>
      <c r="I459" t="n">
        <v>2</v>
      </c>
      <c r="J459" s="12" t="n">
        <v>9552.940000000001</v>
      </c>
      <c r="K459" s="13" t="n">
        <v>0</v>
      </c>
      <c r="L459" s="12" t="n">
        <v>19105.88</v>
      </c>
      <c r="M459" s="12" t="n">
        <v>15284.7</v>
      </c>
      <c r="N459" s="12" t="n">
        <v>3821.18</v>
      </c>
      <c r="O459" t="inlineStr">
        <is>
          <t>UPI</t>
        </is>
      </c>
      <c r="P459" t="inlineStr">
        <is>
          <t>Anaya Rao</t>
        </is>
      </c>
    </row>
    <row r="460">
      <c r="A460" t="inlineStr">
        <is>
          <t>ORD-2508-0459</t>
        </is>
      </c>
      <c r="B460" s="11" t="n">
        <v>45875</v>
      </c>
      <c r="C460" t="inlineStr">
        <is>
          <t>South</t>
        </is>
      </c>
      <c r="D460" t="inlineStr">
        <is>
          <t>Kochi</t>
        </is>
      </c>
      <c r="E460" t="inlineStr">
        <is>
          <t>Corporate</t>
        </is>
      </c>
      <c r="F460" t="inlineStr">
        <is>
          <t>Online</t>
        </is>
      </c>
      <c r="G460" t="inlineStr">
        <is>
          <t>Office Supplies</t>
        </is>
      </c>
      <c r="H460" t="inlineStr">
        <is>
          <t>Paper Ream</t>
        </is>
      </c>
      <c r="I460" t="n">
        <v>4</v>
      </c>
      <c r="J460" s="12" t="n">
        <v>413.32</v>
      </c>
      <c r="K460" s="13" t="n">
        <v>0.05</v>
      </c>
      <c r="L460" s="12" t="n">
        <v>1570.62</v>
      </c>
      <c r="M460" s="12" t="n">
        <v>1273.03</v>
      </c>
      <c r="N460" s="12" t="n">
        <v>297.59</v>
      </c>
      <c r="O460" t="inlineStr">
        <is>
          <t>Cash</t>
        </is>
      </c>
      <c r="P460" t="inlineStr">
        <is>
          <t>Kabir Singh</t>
        </is>
      </c>
    </row>
    <row r="461">
      <c r="A461" t="inlineStr">
        <is>
          <t>ORD-2510-0460</t>
        </is>
      </c>
      <c r="B461" s="11" t="n">
        <v>45952</v>
      </c>
      <c r="C461" t="inlineStr">
        <is>
          <t>South</t>
        </is>
      </c>
      <c r="D461" t="inlineStr">
        <is>
          <t>Bengaluru</t>
        </is>
      </c>
      <c r="E461" t="inlineStr">
        <is>
          <t>Corporate</t>
        </is>
      </c>
      <c r="F461" t="inlineStr">
        <is>
          <t>Online</t>
        </is>
      </c>
      <c r="G461" t="inlineStr">
        <is>
          <t>Office Supplies</t>
        </is>
      </c>
      <c r="H461" t="inlineStr">
        <is>
          <t>Paper Ream</t>
        </is>
      </c>
      <c r="I461" t="n">
        <v>2</v>
      </c>
      <c r="J461" s="12" t="n">
        <v>415.45</v>
      </c>
      <c r="K461" s="13" t="n">
        <v>0</v>
      </c>
      <c r="L461" s="12" t="n">
        <v>830.9</v>
      </c>
      <c r="M461" s="12" t="n">
        <v>639.79</v>
      </c>
      <c r="N461" s="12" t="n">
        <v>191.11</v>
      </c>
      <c r="O461" t="inlineStr">
        <is>
          <t>UPI</t>
        </is>
      </c>
      <c r="P461" t="inlineStr">
        <is>
          <t>Kabir Singh</t>
        </is>
      </c>
    </row>
    <row r="462">
      <c r="A462" t="inlineStr">
        <is>
          <t>ORD-2508-0461</t>
        </is>
      </c>
      <c r="B462" s="11" t="n">
        <v>45900</v>
      </c>
      <c r="C462" t="inlineStr">
        <is>
          <t>North</t>
        </is>
      </c>
      <c r="D462" t="inlineStr">
        <is>
          <t>Jaipur</t>
        </is>
      </c>
      <c r="E462" t="inlineStr">
        <is>
          <t>Small Business</t>
        </is>
      </c>
      <c r="F462" t="inlineStr">
        <is>
          <t>Partner</t>
        </is>
      </c>
      <c r="G462" t="inlineStr">
        <is>
          <t>Furniture</t>
        </is>
      </c>
      <c r="H462" t="inlineStr">
        <is>
          <t>Desk</t>
        </is>
      </c>
      <c r="I462" t="n">
        <v>3</v>
      </c>
      <c r="J462" s="12" t="n">
        <v>12142.88</v>
      </c>
      <c r="K462" s="13" t="n">
        <v>0.2</v>
      </c>
      <c r="L462" s="12" t="n">
        <v>29142.91</v>
      </c>
      <c r="M462" s="12" t="n">
        <v>27685.77</v>
      </c>
      <c r="N462" s="12" t="n">
        <v>1457.14</v>
      </c>
      <c r="O462" t="inlineStr">
        <is>
          <t>Net Banking</t>
        </is>
      </c>
      <c r="P462" t="inlineStr">
        <is>
          <t>Anaya Rao</t>
        </is>
      </c>
    </row>
    <row r="463">
      <c r="A463" t="inlineStr">
        <is>
          <t>ORD-2506-0462</t>
        </is>
      </c>
      <c r="B463" s="11" t="n">
        <v>45811</v>
      </c>
      <c r="C463" t="inlineStr">
        <is>
          <t>East</t>
        </is>
      </c>
      <c r="D463" t="inlineStr">
        <is>
          <t>Kolkata</t>
        </is>
      </c>
      <c r="E463" t="inlineStr">
        <is>
          <t>Corporate</t>
        </is>
      </c>
      <c r="F463" t="inlineStr">
        <is>
          <t>Retail Store</t>
        </is>
      </c>
      <c r="G463" t="inlineStr">
        <is>
          <t>Furniture</t>
        </is>
      </c>
      <c r="H463" t="inlineStr">
        <is>
          <t>Desk</t>
        </is>
      </c>
      <c r="I463" t="n">
        <v>1</v>
      </c>
      <c r="J463" s="12" t="n">
        <v>10976.46</v>
      </c>
      <c r="K463" s="13" t="n">
        <v>0</v>
      </c>
      <c r="L463" s="12" t="n">
        <v>10976.46</v>
      </c>
      <c r="M463" s="12" t="n">
        <v>8342.110000000001</v>
      </c>
      <c r="N463" s="12" t="n">
        <v>2634.35</v>
      </c>
      <c r="O463" t="inlineStr">
        <is>
          <t>Credit Card</t>
        </is>
      </c>
      <c r="P463" t="inlineStr">
        <is>
          <t>Anaya Rao</t>
        </is>
      </c>
    </row>
    <row r="464">
      <c r="A464" t="inlineStr">
        <is>
          <t>ORD-2506-0463</t>
        </is>
      </c>
      <c r="B464" s="11" t="n">
        <v>45829</v>
      </c>
      <c r="C464" t="inlineStr">
        <is>
          <t>East</t>
        </is>
      </c>
      <c r="D464" t="inlineStr">
        <is>
          <t>Bhubaneswar</t>
        </is>
      </c>
      <c r="E464" t="inlineStr">
        <is>
          <t>Consumer</t>
        </is>
      </c>
      <c r="F464" t="inlineStr">
        <is>
          <t>Retail Store</t>
        </is>
      </c>
      <c r="G464" t="inlineStr">
        <is>
          <t>Furniture</t>
        </is>
      </c>
      <c r="H464" t="inlineStr">
        <is>
          <t>Office Chair</t>
        </is>
      </c>
      <c r="I464" t="n">
        <v>3</v>
      </c>
      <c r="J464" s="12" t="n">
        <v>6536.39</v>
      </c>
      <c r="K464" s="13" t="n">
        <v>0.15</v>
      </c>
      <c r="L464" s="12" t="n">
        <v>16667.79</v>
      </c>
      <c r="M464" s="12" t="n">
        <v>14118.6</v>
      </c>
      <c r="N464" s="12" t="n">
        <v>2549.19</v>
      </c>
      <c r="O464" t="inlineStr">
        <is>
          <t>Credit Card</t>
        </is>
      </c>
      <c r="P464" t="inlineStr">
        <is>
          <t>Sara Khan</t>
        </is>
      </c>
    </row>
    <row r="465">
      <c r="A465" t="inlineStr">
        <is>
          <t>ORD-2512-0464</t>
        </is>
      </c>
      <c r="B465" s="11" t="n">
        <v>46005</v>
      </c>
      <c r="C465" t="inlineStr">
        <is>
          <t>Central</t>
        </is>
      </c>
      <c r="D465" t="inlineStr">
        <is>
          <t>Indore</t>
        </is>
      </c>
      <c r="E465" t="inlineStr">
        <is>
          <t>Corporate</t>
        </is>
      </c>
      <c r="F465" t="inlineStr">
        <is>
          <t>Retail Store</t>
        </is>
      </c>
      <c r="G465" t="inlineStr">
        <is>
          <t>Office Supplies</t>
        </is>
      </c>
      <c r="H465" t="inlineStr">
        <is>
          <t>Notebook Pack</t>
        </is>
      </c>
      <c r="I465" t="n">
        <v>3</v>
      </c>
      <c r="J465" s="12" t="n">
        <v>331.77</v>
      </c>
      <c r="K465" s="13" t="n">
        <v>0.1</v>
      </c>
      <c r="L465" s="12" t="n">
        <v>895.78</v>
      </c>
      <c r="M465" s="12" t="n">
        <v>676.8099999999999</v>
      </c>
      <c r="N465" s="12" t="n">
        <v>218.97</v>
      </c>
      <c r="O465" t="inlineStr">
        <is>
          <t>Net Banking</t>
        </is>
      </c>
      <c r="P465" t="inlineStr">
        <is>
          <t>Anaya Rao</t>
        </is>
      </c>
    </row>
    <row r="466">
      <c r="A466" t="inlineStr">
        <is>
          <t>ORD-2508-0465</t>
        </is>
      </c>
      <c r="B466" s="11" t="n">
        <v>45886</v>
      </c>
      <c r="C466" t="inlineStr">
        <is>
          <t>North</t>
        </is>
      </c>
      <c r="D466" t="inlineStr">
        <is>
          <t>Lucknow</t>
        </is>
      </c>
      <c r="E466" t="inlineStr">
        <is>
          <t>Consumer</t>
        </is>
      </c>
      <c r="F466" t="inlineStr">
        <is>
          <t>Partner</t>
        </is>
      </c>
      <c r="G466" t="inlineStr">
        <is>
          <t>Office Supplies</t>
        </is>
      </c>
      <c r="H466" t="inlineStr">
        <is>
          <t>Notebook Pack</t>
        </is>
      </c>
      <c r="I466" t="n">
        <v>2</v>
      </c>
      <c r="J466" s="12" t="n">
        <v>330.11</v>
      </c>
      <c r="K466" s="13" t="n">
        <v>0.1</v>
      </c>
      <c r="L466" s="12" t="n">
        <v>594.2</v>
      </c>
      <c r="M466" s="12" t="n">
        <v>448.95</v>
      </c>
      <c r="N466" s="12" t="n">
        <v>145.25</v>
      </c>
      <c r="O466" t="inlineStr">
        <is>
          <t>Net Banking</t>
        </is>
      </c>
      <c r="P466" t="inlineStr">
        <is>
          <t>Vivaan Gupta</t>
        </is>
      </c>
    </row>
    <row r="467">
      <c r="A467" t="inlineStr">
        <is>
          <t>ORD-2511-0466</t>
        </is>
      </c>
      <c r="B467" s="11" t="n">
        <v>45981</v>
      </c>
      <c r="C467" t="inlineStr">
        <is>
          <t>Central</t>
        </is>
      </c>
      <c r="D467" t="inlineStr">
        <is>
          <t>Nagpur</t>
        </is>
      </c>
      <c r="E467" t="inlineStr">
        <is>
          <t>Corporate</t>
        </is>
      </c>
      <c r="F467" t="inlineStr">
        <is>
          <t>Retail Store</t>
        </is>
      </c>
      <c r="G467" t="inlineStr">
        <is>
          <t>Office Supplies</t>
        </is>
      </c>
      <c r="H467" t="inlineStr">
        <is>
          <t>Stapler</t>
        </is>
      </c>
      <c r="I467" t="n">
        <v>6</v>
      </c>
      <c r="J467" s="12" t="n">
        <v>253.49</v>
      </c>
      <c r="K467" s="13" t="n">
        <v>0</v>
      </c>
      <c r="L467" s="12" t="n">
        <v>1520.94</v>
      </c>
      <c r="M467" s="12" t="n">
        <v>1064.66</v>
      </c>
      <c r="N467" s="12" t="n">
        <v>456.28</v>
      </c>
      <c r="O467" t="inlineStr">
        <is>
          <t>Net Banking</t>
        </is>
      </c>
      <c r="P467" t="inlineStr">
        <is>
          <t>Rohan Verma</t>
        </is>
      </c>
    </row>
    <row r="468">
      <c r="A468" t="inlineStr">
        <is>
          <t>ORD-2511-0467</t>
        </is>
      </c>
      <c r="B468" s="11" t="n">
        <v>45967</v>
      </c>
      <c r="C468" t="inlineStr">
        <is>
          <t>West</t>
        </is>
      </c>
      <c r="D468" t="inlineStr">
        <is>
          <t>Ahmedabad</t>
        </is>
      </c>
      <c r="E468" t="inlineStr">
        <is>
          <t>Small Business</t>
        </is>
      </c>
      <c r="F468" t="inlineStr">
        <is>
          <t>Retail Store</t>
        </is>
      </c>
      <c r="G468" t="inlineStr">
        <is>
          <t>Furniture</t>
        </is>
      </c>
      <c r="H468" t="inlineStr">
        <is>
          <t>Bookshelf</t>
        </is>
      </c>
      <c r="I468" t="n">
        <v>5</v>
      </c>
      <c r="J468" s="12" t="n">
        <v>5406.25</v>
      </c>
      <c r="K468" s="13" t="n">
        <v>0.15</v>
      </c>
      <c r="L468" s="12" t="n">
        <v>22976.56</v>
      </c>
      <c r="M468" s="12" t="n">
        <v>20003.12</v>
      </c>
      <c r="N468" s="12" t="n">
        <v>2973.44</v>
      </c>
      <c r="O468" t="inlineStr">
        <is>
          <t>Debit Card</t>
        </is>
      </c>
      <c r="P468" t="inlineStr">
        <is>
          <t>Kabir Singh</t>
        </is>
      </c>
    </row>
    <row r="469">
      <c r="A469" t="inlineStr">
        <is>
          <t>ORD-2504-0468</t>
        </is>
      </c>
      <c r="B469" s="11" t="n">
        <v>45752</v>
      </c>
      <c r="C469" t="inlineStr">
        <is>
          <t>North</t>
        </is>
      </c>
      <c r="D469" t="inlineStr">
        <is>
          <t>Jaipur</t>
        </is>
      </c>
      <c r="E469" t="inlineStr">
        <is>
          <t>Small Business</t>
        </is>
      </c>
      <c r="F469" t="inlineStr">
        <is>
          <t>Online</t>
        </is>
      </c>
      <c r="G469" t="inlineStr">
        <is>
          <t>Office Supplies</t>
        </is>
      </c>
      <c r="H469" t="inlineStr">
        <is>
          <t>Paper Ream</t>
        </is>
      </c>
      <c r="I469" t="n">
        <v>2</v>
      </c>
      <c r="J469" s="12" t="n">
        <v>436.39</v>
      </c>
      <c r="K469" s="13" t="n">
        <v>0</v>
      </c>
      <c r="L469" s="12" t="n">
        <v>872.78</v>
      </c>
      <c r="M469" s="12" t="n">
        <v>672.04</v>
      </c>
      <c r="N469" s="12" t="n">
        <v>200.74</v>
      </c>
      <c r="O469" t="inlineStr">
        <is>
          <t>UPI</t>
        </is>
      </c>
      <c r="P469" t="inlineStr">
        <is>
          <t>Kabir Singh</t>
        </is>
      </c>
    </row>
    <row r="470">
      <c r="A470" t="inlineStr">
        <is>
          <t>ORD-2507-0469</t>
        </is>
      </c>
      <c r="B470" s="11" t="n">
        <v>45861</v>
      </c>
      <c r="C470" t="inlineStr">
        <is>
          <t>North</t>
        </is>
      </c>
      <c r="D470" t="inlineStr">
        <is>
          <t>Delhi</t>
        </is>
      </c>
      <c r="E470" t="inlineStr">
        <is>
          <t>Corporate</t>
        </is>
      </c>
      <c r="F470" t="inlineStr">
        <is>
          <t>Partner</t>
        </is>
      </c>
      <c r="G470" t="inlineStr">
        <is>
          <t>Technology</t>
        </is>
      </c>
      <c r="H470" t="inlineStr">
        <is>
          <t>Monitor</t>
        </is>
      </c>
      <c r="I470" t="n">
        <v>8</v>
      </c>
      <c r="J470" s="12" t="n">
        <v>11607.65</v>
      </c>
      <c r="K470" s="13" t="n">
        <v>0.05</v>
      </c>
      <c r="L470" s="12" t="n">
        <v>88218.14</v>
      </c>
      <c r="M470" s="12" t="n">
        <v>76146.17999999999</v>
      </c>
      <c r="N470" s="12" t="n">
        <v>12071.96</v>
      </c>
      <c r="O470" t="inlineStr">
        <is>
          <t>Credit Card</t>
        </is>
      </c>
      <c r="P470" t="inlineStr">
        <is>
          <t>Diya Patel</t>
        </is>
      </c>
    </row>
    <row r="471">
      <c r="A471" t="inlineStr">
        <is>
          <t>ORD-2505-0470</t>
        </is>
      </c>
      <c r="B471" s="11" t="n">
        <v>45792</v>
      </c>
      <c r="C471" t="inlineStr">
        <is>
          <t>Central</t>
        </is>
      </c>
      <c r="D471" t="inlineStr">
        <is>
          <t>Indore</t>
        </is>
      </c>
      <c r="E471" t="inlineStr">
        <is>
          <t>Consumer</t>
        </is>
      </c>
      <c r="F471" t="inlineStr">
        <is>
          <t>Partner</t>
        </is>
      </c>
      <c r="G471" t="inlineStr">
        <is>
          <t>Technology</t>
        </is>
      </c>
      <c r="H471" t="inlineStr">
        <is>
          <t>Monitor</t>
        </is>
      </c>
      <c r="I471" t="n">
        <v>4</v>
      </c>
      <c r="J471" s="12" t="n">
        <v>12118.74</v>
      </c>
      <c r="K471" s="13" t="n">
        <v>0.15</v>
      </c>
      <c r="L471" s="12" t="n">
        <v>41203.72</v>
      </c>
      <c r="M471" s="12" t="n">
        <v>39749.47</v>
      </c>
      <c r="N471" s="12" t="n">
        <v>1454.25</v>
      </c>
      <c r="O471" t="inlineStr">
        <is>
          <t>Net Banking</t>
        </is>
      </c>
      <c r="P471" t="inlineStr">
        <is>
          <t>Anaya Rao</t>
        </is>
      </c>
    </row>
    <row r="472">
      <c r="A472" t="inlineStr">
        <is>
          <t>ORD-2511-0471</t>
        </is>
      </c>
      <c r="B472" s="11" t="n">
        <v>45978</v>
      </c>
      <c r="C472" t="inlineStr">
        <is>
          <t>South</t>
        </is>
      </c>
      <c r="D472" t="inlineStr">
        <is>
          <t>Chennai</t>
        </is>
      </c>
      <c r="E472" t="inlineStr">
        <is>
          <t>Corporate</t>
        </is>
      </c>
      <c r="F472" t="inlineStr">
        <is>
          <t>Retail Store</t>
        </is>
      </c>
      <c r="G472" t="inlineStr">
        <is>
          <t>Furniture</t>
        </is>
      </c>
      <c r="H472" t="inlineStr">
        <is>
          <t>Storage Cabinet</t>
        </is>
      </c>
      <c r="I472" t="n">
        <v>5</v>
      </c>
      <c r="J472" s="12" t="n">
        <v>9132.889999999999</v>
      </c>
      <c r="K472" s="13" t="n">
        <v>0</v>
      </c>
      <c r="L472" s="12" t="n">
        <v>45664.45</v>
      </c>
      <c r="M472" s="12" t="n">
        <v>36531.56</v>
      </c>
      <c r="N472" s="12" t="n">
        <v>9132.889999999999</v>
      </c>
      <c r="O472" t="inlineStr">
        <is>
          <t>Debit Card</t>
        </is>
      </c>
      <c r="P472" t="inlineStr">
        <is>
          <t>Rohan Verma</t>
        </is>
      </c>
    </row>
    <row r="473">
      <c r="A473" t="inlineStr">
        <is>
          <t>ORD-2510-0472</t>
        </is>
      </c>
      <c r="B473" s="11" t="n">
        <v>45938</v>
      </c>
      <c r="C473" t="inlineStr">
        <is>
          <t>West</t>
        </is>
      </c>
      <c r="D473" t="inlineStr">
        <is>
          <t>Pune</t>
        </is>
      </c>
      <c r="E473" t="inlineStr">
        <is>
          <t>Small Business</t>
        </is>
      </c>
      <c r="F473" t="inlineStr">
        <is>
          <t>Partner</t>
        </is>
      </c>
      <c r="G473" t="inlineStr">
        <is>
          <t>Office Supplies</t>
        </is>
      </c>
      <c r="H473" t="inlineStr">
        <is>
          <t>Paper Ream</t>
        </is>
      </c>
      <c r="I473" t="n">
        <v>3</v>
      </c>
      <c r="J473" s="12" t="n">
        <v>417.08</v>
      </c>
      <c r="K473" s="13" t="n">
        <v>0.1</v>
      </c>
      <c r="L473" s="12" t="n">
        <v>1126.12</v>
      </c>
      <c r="M473" s="12" t="n">
        <v>963.45</v>
      </c>
      <c r="N473" s="12" t="n">
        <v>162.67</v>
      </c>
      <c r="O473" t="inlineStr">
        <is>
          <t>Cash</t>
        </is>
      </c>
      <c r="P473" t="inlineStr">
        <is>
          <t>Vivaan Gupta</t>
        </is>
      </c>
    </row>
    <row r="474">
      <c r="A474" t="inlineStr">
        <is>
          <t>ORD-2509-0473</t>
        </is>
      </c>
      <c r="B474" s="11" t="n">
        <v>45926</v>
      </c>
      <c r="C474" t="inlineStr">
        <is>
          <t>Central</t>
        </is>
      </c>
      <c r="D474" t="inlineStr">
        <is>
          <t>Raipur</t>
        </is>
      </c>
      <c r="E474" t="inlineStr">
        <is>
          <t>Corporate</t>
        </is>
      </c>
      <c r="F474" t="inlineStr">
        <is>
          <t>Retail Store</t>
        </is>
      </c>
      <c r="G474" t="inlineStr">
        <is>
          <t>Furniture</t>
        </is>
      </c>
      <c r="H474" t="inlineStr">
        <is>
          <t>Office Chair</t>
        </is>
      </c>
      <c r="I474" t="n">
        <v>3</v>
      </c>
      <c r="J474" s="12" t="n">
        <v>6353.43</v>
      </c>
      <c r="K474" s="13" t="n">
        <v>0</v>
      </c>
      <c r="L474" s="12" t="n">
        <v>19060.29</v>
      </c>
      <c r="M474" s="12" t="n">
        <v>13723.41</v>
      </c>
      <c r="N474" s="12" t="n">
        <v>5336.88</v>
      </c>
      <c r="O474" t="inlineStr">
        <is>
          <t>Debit Card</t>
        </is>
      </c>
      <c r="P474" t="inlineStr">
        <is>
          <t>Rohan Verma</t>
        </is>
      </c>
    </row>
    <row r="475">
      <c r="A475" t="inlineStr">
        <is>
          <t>ORD-2503-0474</t>
        </is>
      </c>
      <c r="B475" s="11" t="n">
        <v>45737</v>
      </c>
      <c r="C475" t="inlineStr">
        <is>
          <t>East</t>
        </is>
      </c>
      <c r="D475" t="inlineStr">
        <is>
          <t>Kolkata</t>
        </is>
      </c>
      <c r="E475" t="inlineStr">
        <is>
          <t>Corporate</t>
        </is>
      </c>
      <c r="F475" t="inlineStr">
        <is>
          <t>Retail Store</t>
        </is>
      </c>
      <c r="G475" t="inlineStr">
        <is>
          <t>Technology</t>
        </is>
      </c>
      <c r="H475" t="inlineStr">
        <is>
          <t>Laptop</t>
        </is>
      </c>
      <c r="I475" t="n">
        <v>3</v>
      </c>
      <c r="J475" s="12" t="n">
        <v>39555.94</v>
      </c>
      <c r="K475" s="13" t="n">
        <v>0.1</v>
      </c>
      <c r="L475" s="12" t="n">
        <v>106801.04</v>
      </c>
      <c r="M475" s="12" t="n">
        <v>104427.68</v>
      </c>
      <c r="N475" s="12" t="n">
        <v>2373.36</v>
      </c>
      <c r="O475" t="inlineStr">
        <is>
          <t>Cash</t>
        </is>
      </c>
      <c r="P475" t="inlineStr">
        <is>
          <t>Aarav Sharma</t>
        </is>
      </c>
    </row>
    <row r="476">
      <c r="A476" t="inlineStr">
        <is>
          <t>ORD-2512-0475</t>
        </is>
      </c>
      <c r="B476" s="11" t="n">
        <v>46010</v>
      </c>
      <c r="C476" t="inlineStr">
        <is>
          <t>West</t>
        </is>
      </c>
      <c r="D476" t="inlineStr">
        <is>
          <t>Surat</t>
        </is>
      </c>
      <c r="E476" t="inlineStr">
        <is>
          <t>Consumer</t>
        </is>
      </c>
      <c r="F476" t="inlineStr">
        <is>
          <t>Online</t>
        </is>
      </c>
      <c r="G476" t="inlineStr">
        <is>
          <t>Technology</t>
        </is>
      </c>
      <c r="H476" t="inlineStr">
        <is>
          <t>Headphones</t>
        </is>
      </c>
      <c r="I476" t="n">
        <v>1</v>
      </c>
      <c r="J476" s="12" t="n">
        <v>2127.11</v>
      </c>
      <c r="K476" s="13" t="n">
        <v>0.05</v>
      </c>
      <c r="L476" s="12" t="n">
        <v>2020.75</v>
      </c>
      <c r="M476" s="12" t="n">
        <v>1659.15</v>
      </c>
      <c r="N476" s="12" t="n">
        <v>361.6</v>
      </c>
      <c r="O476" t="inlineStr">
        <is>
          <t>Cash</t>
        </is>
      </c>
      <c r="P476" t="inlineStr">
        <is>
          <t>Sara Khan</t>
        </is>
      </c>
    </row>
    <row r="477">
      <c r="A477" t="inlineStr">
        <is>
          <t>ORD-2504-0476</t>
        </is>
      </c>
      <c r="B477" s="11" t="n">
        <v>45754</v>
      </c>
      <c r="C477" t="inlineStr">
        <is>
          <t>West</t>
        </is>
      </c>
      <c r="D477" t="inlineStr">
        <is>
          <t>Surat</t>
        </is>
      </c>
      <c r="E477" t="inlineStr">
        <is>
          <t>Corporate</t>
        </is>
      </c>
      <c r="F477" t="inlineStr">
        <is>
          <t>Online</t>
        </is>
      </c>
      <c r="G477" t="inlineStr">
        <is>
          <t>Furniture</t>
        </is>
      </c>
      <c r="H477" t="inlineStr">
        <is>
          <t>Desk</t>
        </is>
      </c>
      <c r="I477" t="n">
        <v>2</v>
      </c>
      <c r="J477" s="12" t="n">
        <v>11768.62</v>
      </c>
      <c r="K477" s="13" t="n">
        <v>0.1</v>
      </c>
      <c r="L477" s="12" t="n">
        <v>21183.52</v>
      </c>
      <c r="M477" s="12" t="n">
        <v>17888.3</v>
      </c>
      <c r="N477" s="12" t="n">
        <v>3295.22</v>
      </c>
      <c r="O477" t="inlineStr">
        <is>
          <t>Net Banking</t>
        </is>
      </c>
      <c r="P477" t="inlineStr">
        <is>
          <t>Diya Patel</t>
        </is>
      </c>
    </row>
    <row r="478">
      <c r="A478" t="inlineStr">
        <is>
          <t>ORD-2508-0477</t>
        </is>
      </c>
      <c r="B478" s="11" t="n">
        <v>45874</v>
      </c>
      <c r="C478" t="inlineStr">
        <is>
          <t>South</t>
        </is>
      </c>
      <c r="D478" t="inlineStr">
        <is>
          <t>Hyderabad</t>
        </is>
      </c>
      <c r="E478" t="inlineStr">
        <is>
          <t>Consumer</t>
        </is>
      </c>
      <c r="F478" t="inlineStr">
        <is>
          <t>Online</t>
        </is>
      </c>
      <c r="G478" t="inlineStr">
        <is>
          <t>Technology</t>
        </is>
      </c>
      <c r="H478" t="inlineStr">
        <is>
          <t>Headphones</t>
        </is>
      </c>
      <c r="I478" t="n">
        <v>4</v>
      </c>
      <c r="J478" s="12" t="n">
        <v>2118.63</v>
      </c>
      <c r="K478" s="13" t="n">
        <v>0.1</v>
      </c>
      <c r="L478" s="12" t="n">
        <v>7627.07</v>
      </c>
      <c r="M478" s="12" t="n">
        <v>6610.13</v>
      </c>
      <c r="N478" s="12" t="n">
        <v>1016.94</v>
      </c>
      <c r="O478" t="inlineStr">
        <is>
          <t>UPI</t>
        </is>
      </c>
      <c r="P478" t="inlineStr">
        <is>
          <t>Kabir Singh</t>
        </is>
      </c>
    </row>
    <row r="479">
      <c r="A479" t="inlineStr">
        <is>
          <t>ORD-2505-0478</t>
        </is>
      </c>
      <c r="B479" s="11" t="n">
        <v>45806</v>
      </c>
      <c r="C479" t="inlineStr">
        <is>
          <t>North</t>
        </is>
      </c>
      <c r="D479" t="inlineStr">
        <is>
          <t>Lucknow</t>
        </is>
      </c>
      <c r="E479" t="inlineStr">
        <is>
          <t>Corporate</t>
        </is>
      </c>
      <c r="F479" t="inlineStr">
        <is>
          <t>Online</t>
        </is>
      </c>
      <c r="G479" t="inlineStr">
        <is>
          <t>Office Supplies</t>
        </is>
      </c>
      <c r="H479" t="inlineStr">
        <is>
          <t>Notebook Pack</t>
        </is>
      </c>
      <c r="I479" t="n">
        <v>3</v>
      </c>
      <c r="J479" s="12" t="n">
        <v>349.55</v>
      </c>
      <c r="K479" s="13" t="n">
        <v>0.1</v>
      </c>
      <c r="L479" s="12" t="n">
        <v>943.79</v>
      </c>
      <c r="M479" s="12" t="n">
        <v>713.08</v>
      </c>
      <c r="N479" s="12" t="n">
        <v>230.71</v>
      </c>
      <c r="O479" t="inlineStr">
        <is>
          <t>UPI</t>
        </is>
      </c>
      <c r="P479" t="inlineStr">
        <is>
          <t>Aarav Sharma</t>
        </is>
      </c>
    </row>
    <row r="480">
      <c r="A480" t="inlineStr">
        <is>
          <t>ORD-2510-0479</t>
        </is>
      </c>
      <c r="B480" s="11" t="n">
        <v>45931</v>
      </c>
      <c r="C480" t="inlineStr">
        <is>
          <t>North</t>
        </is>
      </c>
      <c r="D480" t="inlineStr">
        <is>
          <t>Jaipur</t>
        </is>
      </c>
      <c r="E480" t="inlineStr">
        <is>
          <t>Consumer</t>
        </is>
      </c>
      <c r="F480" t="inlineStr">
        <is>
          <t>Online</t>
        </is>
      </c>
      <c r="G480" t="inlineStr">
        <is>
          <t>Technology</t>
        </is>
      </c>
      <c r="H480" t="inlineStr">
        <is>
          <t>Monitor</t>
        </is>
      </c>
      <c r="I480" t="n">
        <v>2</v>
      </c>
      <c r="J480" s="12" t="n">
        <v>12376.83</v>
      </c>
      <c r="K480" s="13" t="n">
        <v>0</v>
      </c>
      <c r="L480" s="12" t="n">
        <v>24753.66</v>
      </c>
      <c r="M480" s="12" t="n">
        <v>20298</v>
      </c>
      <c r="N480" s="12" t="n">
        <v>4455.66</v>
      </c>
      <c r="O480" t="inlineStr">
        <is>
          <t>Credit Card</t>
        </is>
      </c>
      <c r="P480" t="inlineStr">
        <is>
          <t>Kabir Singh</t>
        </is>
      </c>
    </row>
    <row r="481">
      <c r="A481" t="inlineStr">
        <is>
          <t>ORD-2501-0480</t>
        </is>
      </c>
      <c r="B481" s="11" t="n">
        <v>45665</v>
      </c>
      <c r="C481" t="inlineStr">
        <is>
          <t>West</t>
        </is>
      </c>
      <c r="D481" t="inlineStr">
        <is>
          <t>Pune</t>
        </is>
      </c>
      <c r="E481" t="inlineStr">
        <is>
          <t>Corporate</t>
        </is>
      </c>
      <c r="F481" t="inlineStr">
        <is>
          <t>Retail Store</t>
        </is>
      </c>
      <c r="G481" t="inlineStr">
        <is>
          <t>Furniture</t>
        </is>
      </c>
      <c r="H481" t="inlineStr">
        <is>
          <t>Office Chair</t>
        </is>
      </c>
      <c r="I481" t="n">
        <v>2</v>
      </c>
      <c r="J481" s="12" t="n">
        <v>6798.25</v>
      </c>
      <c r="K481" s="13" t="n">
        <v>0.15</v>
      </c>
      <c r="L481" s="12" t="n">
        <v>11557.02</v>
      </c>
      <c r="M481" s="12" t="n">
        <v>9789.48</v>
      </c>
      <c r="N481" s="12" t="n">
        <v>1767.54</v>
      </c>
      <c r="O481" t="inlineStr">
        <is>
          <t>Credit Card</t>
        </is>
      </c>
      <c r="P481" t="inlineStr">
        <is>
          <t>Sara Khan</t>
        </is>
      </c>
    </row>
    <row r="482">
      <c r="A482" t="inlineStr">
        <is>
          <t>ORD-2502-0481</t>
        </is>
      </c>
      <c r="B482" s="11" t="n">
        <v>45699</v>
      </c>
      <c r="C482" t="inlineStr">
        <is>
          <t>South</t>
        </is>
      </c>
      <c r="D482" t="inlineStr">
        <is>
          <t>Bengaluru</t>
        </is>
      </c>
      <c r="E482" t="inlineStr">
        <is>
          <t>Consumer</t>
        </is>
      </c>
      <c r="F482" t="inlineStr">
        <is>
          <t>Retail Store</t>
        </is>
      </c>
      <c r="G482" t="inlineStr">
        <is>
          <t>Technology</t>
        </is>
      </c>
      <c r="H482" t="inlineStr">
        <is>
          <t>Headphones</t>
        </is>
      </c>
      <c r="I482" t="n">
        <v>4</v>
      </c>
      <c r="J482" s="12" t="n">
        <v>2189.49</v>
      </c>
      <c r="K482" s="13" t="n">
        <v>0</v>
      </c>
      <c r="L482" s="12" t="n">
        <v>8757.959999999999</v>
      </c>
      <c r="M482" s="12" t="n">
        <v>6831.21</v>
      </c>
      <c r="N482" s="12" t="n">
        <v>1926.75</v>
      </c>
      <c r="O482" t="inlineStr">
        <is>
          <t>Debit Card</t>
        </is>
      </c>
      <c r="P482" t="inlineStr">
        <is>
          <t>Aarav Sharma</t>
        </is>
      </c>
    </row>
    <row r="483">
      <c r="A483" t="inlineStr">
        <is>
          <t>ORD-2503-0482</t>
        </is>
      </c>
      <c r="B483" s="11" t="n">
        <v>45720</v>
      </c>
      <c r="C483" t="inlineStr">
        <is>
          <t>South</t>
        </is>
      </c>
      <c r="D483" t="inlineStr">
        <is>
          <t>Kochi</t>
        </is>
      </c>
      <c r="E483" t="inlineStr">
        <is>
          <t>Consumer</t>
        </is>
      </c>
      <c r="F483" t="inlineStr">
        <is>
          <t>Retail Store</t>
        </is>
      </c>
      <c r="G483" t="inlineStr">
        <is>
          <t>Office Supplies</t>
        </is>
      </c>
      <c r="H483" t="inlineStr">
        <is>
          <t>File Folder</t>
        </is>
      </c>
      <c r="I483" t="n">
        <v>10</v>
      </c>
      <c r="J483" s="12" t="n">
        <v>97.12</v>
      </c>
      <c r="K483" s="13" t="n">
        <v>0</v>
      </c>
      <c r="L483" s="12" t="n">
        <v>971.2</v>
      </c>
      <c r="M483" s="12" t="n">
        <v>602.14</v>
      </c>
      <c r="N483" s="12" t="n">
        <v>369.06</v>
      </c>
      <c r="O483" t="inlineStr">
        <is>
          <t>Credit Card</t>
        </is>
      </c>
      <c r="P483" t="inlineStr">
        <is>
          <t>Meera Joshi</t>
        </is>
      </c>
    </row>
    <row r="484">
      <c r="A484" t="inlineStr">
        <is>
          <t>ORD-2508-0483</t>
        </is>
      </c>
      <c r="B484" s="11" t="n">
        <v>45900</v>
      </c>
      <c r="C484" t="inlineStr">
        <is>
          <t>West</t>
        </is>
      </c>
      <c r="D484" t="inlineStr">
        <is>
          <t>Ahmedabad</t>
        </is>
      </c>
      <c r="E484" t="inlineStr">
        <is>
          <t>Small Business</t>
        </is>
      </c>
      <c r="F484" t="inlineStr">
        <is>
          <t>Partner</t>
        </is>
      </c>
      <c r="G484" t="inlineStr">
        <is>
          <t>Furniture</t>
        </is>
      </c>
      <c r="H484" t="inlineStr">
        <is>
          <t>Office Chair</t>
        </is>
      </c>
      <c r="I484" t="n">
        <v>1</v>
      </c>
      <c r="J484" s="12" t="n">
        <v>7066.26</v>
      </c>
      <c r="K484" s="13" t="n">
        <v>0.1</v>
      </c>
      <c r="L484" s="12" t="n">
        <v>6359.63</v>
      </c>
      <c r="M484" s="12" t="n">
        <v>5087.71</v>
      </c>
      <c r="N484" s="12" t="n">
        <v>1271.92</v>
      </c>
      <c r="O484" t="inlineStr">
        <is>
          <t>Credit Card</t>
        </is>
      </c>
      <c r="P484" t="inlineStr">
        <is>
          <t>Rohan Verma</t>
        </is>
      </c>
    </row>
    <row r="485">
      <c r="A485" t="inlineStr">
        <is>
          <t>ORD-2509-0484</t>
        </is>
      </c>
      <c r="B485" s="11" t="n">
        <v>45904</v>
      </c>
      <c r="C485" t="inlineStr">
        <is>
          <t>East</t>
        </is>
      </c>
      <c r="D485" t="inlineStr">
        <is>
          <t>Patna</t>
        </is>
      </c>
      <c r="E485" t="inlineStr">
        <is>
          <t>Consumer</t>
        </is>
      </c>
      <c r="F485" t="inlineStr">
        <is>
          <t>Online</t>
        </is>
      </c>
      <c r="G485" t="inlineStr">
        <is>
          <t>Furniture</t>
        </is>
      </c>
      <c r="H485" t="inlineStr">
        <is>
          <t>Office Chair</t>
        </is>
      </c>
      <c r="I485" t="n">
        <v>6</v>
      </c>
      <c r="J485" s="12" t="n">
        <v>6492.95</v>
      </c>
      <c r="K485" s="13" t="n">
        <v>0.15</v>
      </c>
      <c r="L485" s="12" t="n">
        <v>33114.04</v>
      </c>
      <c r="M485" s="12" t="n">
        <v>28049.54</v>
      </c>
      <c r="N485" s="12" t="n">
        <v>5064.5</v>
      </c>
      <c r="O485" t="inlineStr">
        <is>
          <t>Debit Card</t>
        </is>
      </c>
      <c r="P485" t="inlineStr">
        <is>
          <t>Sara Khan</t>
        </is>
      </c>
    </row>
    <row r="486">
      <c r="A486" t="inlineStr">
        <is>
          <t>ORD-2501-0485</t>
        </is>
      </c>
      <c r="B486" s="11" t="n">
        <v>45665</v>
      </c>
      <c r="C486" t="inlineStr">
        <is>
          <t>South</t>
        </is>
      </c>
      <c r="D486" t="inlineStr">
        <is>
          <t>Hyderabad</t>
        </is>
      </c>
      <c r="E486" t="inlineStr">
        <is>
          <t>Consumer</t>
        </is>
      </c>
      <c r="F486" t="inlineStr">
        <is>
          <t>Partner</t>
        </is>
      </c>
      <c r="G486" t="inlineStr">
        <is>
          <t>Office Supplies</t>
        </is>
      </c>
      <c r="H486" t="inlineStr">
        <is>
          <t>Notebook Pack</t>
        </is>
      </c>
      <c r="I486" t="n">
        <v>1</v>
      </c>
      <c r="J486" s="12" t="n">
        <v>322.5</v>
      </c>
      <c r="K486" s="13" t="n">
        <v>0.15</v>
      </c>
      <c r="L486" s="12" t="n">
        <v>274.12</v>
      </c>
      <c r="M486" s="12" t="n">
        <v>219.3</v>
      </c>
      <c r="N486" s="12" t="n">
        <v>54.82</v>
      </c>
      <c r="O486" t="inlineStr">
        <is>
          <t>Debit Card</t>
        </is>
      </c>
      <c r="P486" t="inlineStr">
        <is>
          <t>Kabir Singh</t>
        </is>
      </c>
    </row>
    <row r="487">
      <c r="A487" t="inlineStr">
        <is>
          <t>ORD-2507-0486</t>
        </is>
      </c>
      <c r="B487" s="11" t="n">
        <v>45848</v>
      </c>
      <c r="C487" t="inlineStr">
        <is>
          <t>North</t>
        </is>
      </c>
      <c r="D487" t="inlineStr">
        <is>
          <t>Jaipur</t>
        </is>
      </c>
      <c r="E487" t="inlineStr">
        <is>
          <t>Small Business</t>
        </is>
      </c>
      <c r="F487" t="inlineStr">
        <is>
          <t>Online</t>
        </is>
      </c>
      <c r="G487" t="inlineStr">
        <is>
          <t>Technology</t>
        </is>
      </c>
      <c r="H487" t="inlineStr">
        <is>
          <t>Keyboard</t>
        </is>
      </c>
      <c r="I487" t="n">
        <v>3</v>
      </c>
      <c r="J487" s="12" t="n">
        <v>1363.81</v>
      </c>
      <c r="K487" s="13" t="n">
        <v>0.1</v>
      </c>
      <c r="L487" s="12" t="n">
        <v>3682.29</v>
      </c>
      <c r="M487" s="12" t="n">
        <v>3068.57</v>
      </c>
      <c r="N487" s="12" t="n">
        <v>613.72</v>
      </c>
      <c r="O487" t="inlineStr">
        <is>
          <t>Credit Card</t>
        </is>
      </c>
      <c r="P487" t="inlineStr">
        <is>
          <t>Sara Khan</t>
        </is>
      </c>
    </row>
    <row r="488">
      <c r="A488" t="inlineStr">
        <is>
          <t>ORD-2511-0487</t>
        </is>
      </c>
      <c r="B488" s="11" t="n">
        <v>45988</v>
      </c>
      <c r="C488" t="inlineStr">
        <is>
          <t>South</t>
        </is>
      </c>
      <c r="D488" t="inlineStr">
        <is>
          <t>Bengaluru</t>
        </is>
      </c>
      <c r="E488" t="inlineStr">
        <is>
          <t>Small Business</t>
        </is>
      </c>
      <c r="F488" t="inlineStr">
        <is>
          <t>Retail Store</t>
        </is>
      </c>
      <c r="G488" t="inlineStr">
        <is>
          <t>Technology</t>
        </is>
      </c>
      <c r="H488" t="inlineStr">
        <is>
          <t>Keyboard</t>
        </is>
      </c>
      <c r="I488" t="n">
        <v>3</v>
      </c>
      <c r="J488" s="12" t="n">
        <v>1413.07</v>
      </c>
      <c r="K488" s="13" t="n">
        <v>0.05</v>
      </c>
      <c r="L488" s="12" t="n">
        <v>4027.25</v>
      </c>
      <c r="M488" s="12" t="n">
        <v>3179.41</v>
      </c>
      <c r="N488" s="12" t="n">
        <v>847.84</v>
      </c>
      <c r="O488" t="inlineStr">
        <is>
          <t>Debit Card</t>
        </is>
      </c>
      <c r="P488" t="inlineStr">
        <is>
          <t>Meera Joshi</t>
        </is>
      </c>
    </row>
    <row r="489">
      <c r="A489" t="inlineStr">
        <is>
          <t>ORD-2501-0488</t>
        </is>
      </c>
      <c r="B489" s="11" t="n">
        <v>45668</v>
      </c>
      <c r="C489" t="inlineStr">
        <is>
          <t>West</t>
        </is>
      </c>
      <c r="D489" t="inlineStr">
        <is>
          <t>Ahmedabad</t>
        </is>
      </c>
      <c r="E489" t="inlineStr">
        <is>
          <t>Corporate</t>
        </is>
      </c>
      <c r="F489" t="inlineStr">
        <is>
          <t>Partner</t>
        </is>
      </c>
      <c r="G489" t="inlineStr">
        <is>
          <t>Office Supplies</t>
        </is>
      </c>
      <c r="H489" t="inlineStr">
        <is>
          <t>Paper Ream</t>
        </is>
      </c>
      <c r="I489" t="n">
        <v>1</v>
      </c>
      <c r="J489" s="12" t="n">
        <v>419.01</v>
      </c>
      <c r="K489" s="13" t="n">
        <v>0.15</v>
      </c>
      <c r="L489" s="12" t="n">
        <v>356.16</v>
      </c>
      <c r="M489" s="12" t="n">
        <v>322.64</v>
      </c>
      <c r="N489" s="12" t="n">
        <v>33.52</v>
      </c>
      <c r="O489" t="inlineStr">
        <is>
          <t>Net Banking</t>
        </is>
      </c>
      <c r="P489" t="inlineStr">
        <is>
          <t>Anaya Rao</t>
        </is>
      </c>
    </row>
    <row r="490">
      <c r="A490" t="inlineStr">
        <is>
          <t>ORD-2504-0489</t>
        </is>
      </c>
      <c r="B490" s="11" t="n">
        <v>45755</v>
      </c>
      <c r="C490" t="inlineStr">
        <is>
          <t>Central</t>
        </is>
      </c>
      <c r="D490" t="inlineStr">
        <is>
          <t>Indore</t>
        </is>
      </c>
      <c r="E490" t="inlineStr">
        <is>
          <t>Small Business</t>
        </is>
      </c>
      <c r="F490" t="inlineStr">
        <is>
          <t>Partner</t>
        </is>
      </c>
      <c r="G490" t="inlineStr">
        <is>
          <t>Furniture</t>
        </is>
      </c>
      <c r="H490" t="inlineStr">
        <is>
          <t>Storage Cabinet</t>
        </is>
      </c>
      <c r="I490" t="n">
        <v>2</v>
      </c>
      <c r="J490" s="12" t="n">
        <v>8580.059999999999</v>
      </c>
      <c r="K490" s="13" t="n">
        <v>0.1</v>
      </c>
      <c r="L490" s="12" t="n">
        <v>15444.11</v>
      </c>
      <c r="M490" s="12" t="n">
        <v>13728.1</v>
      </c>
      <c r="N490" s="12" t="n">
        <v>1716.01</v>
      </c>
      <c r="O490" t="inlineStr">
        <is>
          <t>UPI</t>
        </is>
      </c>
      <c r="P490" t="inlineStr">
        <is>
          <t>Diya Patel</t>
        </is>
      </c>
    </row>
    <row r="491">
      <c r="A491" t="inlineStr">
        <is>
          <t>ORD-2509-0490</t>
        </is>
      </c>
      <c r="B491" s="11" t="n">
        <v>45929</v>
      </c>
      <c r="C491" t="inlineStr">
        <is>
          <t>South</t>
        </is>
      </c>
      <c r="D491" t="inlineStr">
        <is>
          <t>Kochi</t>
        </is>
      </c>
      <c r="E491" t="inlineStr">
        <is>
          <t>Small Business</t>
        </is>
      </c>
      <c r="F491" t="inlineStr">
        <is>
          <t>Partner</t>
        </is>
      </c>
      <c r="G491" t="inlineStr">
        <is>
          <t>Technology</t>
        </is>
      </c>
      <c r="H491" t="inlineStr">
        <is>
          <t>Headphones</t>
        </is>
      </c>
      <c r="I491" t="n">
        <v>5</v>
      </c>
      <c r="J491" s="12" t="n">
        <v>2183.84</v>
      </c>
      <c r="K491" s="13" t="n">
        <v>0.1</v>
      </c>
      <c r="L491" s="12" t="n">
        <v>9827.280000000001</v>
      </c>
      <c r="M491" s="12" t="n">
        <v>8516.98</v>
      </c>
      <c r="N491" s="12" t="n">
        <v>1310.3</v>
      </c>
      <c r="O491" t="inlineStr">
        <is>
          <t>Debit Card</t>
        </is>
      </c>
      <c r="P491" t="inlineStr">
        <is>
          <t>Kabir Singh</t>
        </is>
      </c>
    </row>
    <row r="492">
      <c r="A492" t="inlineStr">
        <is>
          <t>ORD-2501-0491</t>
        </is>
      </c>
      <c r="B492" s="11" t="n">
        <v>45667</v>
      </c>
      <c r="C492" t="inlineStr">
        <is>
          <t>Central</t>
        </is>
      </c>
      <c r="D492" t="inlineStr">
        <is>
          <t>Raipur</t>
        </is>
      </c>
      <c r="E492" t="inlineStr">
        <is>
          <t>Small Business</t>
        </is>
      </c>
      <c r="F492" t="inlineStr">
        <is>
          <t>Retail Store</t>
        </is>
      </c>
      <c r="G492" t="inlineStr">
        <is>
          <t>Office Supplies</t>
        </is>
      </c>
      <c r="H492" t="inlineStr">
        <is>
          <t>File Folder</t>
        </is>
      </c>
      <c r="I492" t="n">
        <v>3</v>
      </c>
      <c r="J492" s="12" t="n">
        <v>83.70999999999999</v>
      </c>
      <c r="K492" s="13" t="n">
        <v>0.05</v>
      </c>
      <c r="L492" s="12" t="n">
        <v>238.57</v>
      </c>
      <c r="M492" s="12" t="n">
        <v>155.7</v>
      </c>
      <c r="N492" s="12" t="n">
        <v>82.87</v>
      </c>
      <c r="O492" t="inlineStr">
        <is>
          <t>UPI</t>
        </is>
      </c>
      <c r="P492" t="inlineStr">
        <is>
          <t>Anaya Rao</t>
        </is>
      </c>
    </row>
    <row r="493">
      <c r="A493" t="inlineStr">
        <is>
          <t>ORD-2510-0492</t>
        </is>
      </c>
      <c r="B493" s="11" t="n">
        <v>45940</v>
      </c>
      <c r="C493" t="inlineStr">
        <is>
          <t>South</t>
        </is>
      </c>
      <c r="D493" t="inlineStr">
        <is>
          <t>Hyderabad</t>
        </is>
      </c>
      <c r="E493" t="inlineStr">
        <is>
          <t>Small Business</t>
        </is>
      </c>
      <c r="F493" t="inlineStr">
        <is>
          <t>Online</t>
        </is>
      </c>
      <c r="G493" t="inlineStr">
        <is>
          <t>Furniture</t>
        </is>
      </c>
      <c r="H493" t="inlineStr">
        <is>
          <t>Office Chair</t>
        </is>
      </c>
      <c r="I493" t="n">
        <v>2</v>
      </c>
      <c r="J493" s="12" t="n">
        <v>6360.73</v>
      </c>
      <c r="K493" s="13" t="n">
        <v>0.05</v>
      </c>
      <c r="L493" s="12" t="n">
        <v>12085.39</v>
      </c>
      <c r="M493" s="12" t="n">
        <v>9159.450000000001</v>
      </c>
      <c r="N493" s="12" t="n">
        <v>2925.94</v>
      </c>
      <c r="O493" t="inlineStr">
        <is>
          <t>Credit Card</t>
        </is>
      </c>
      <c r="P493" t="inlineStr">
        <is>
          <t>Kabir Singh</t>
        </is>
      </c>
    </row>
    <row r="494">
      <c r="A494" t="inlineStr">
        <is>
          <t>ORD-2504-0493</t>
        </is>
      </c>
      <c r="B494" s="11" t="n">
        <v>45749</v>
      </c>
      <c r="C494" t="inlineStr">
        <is>
          <t>North</t>
        </is>
      </c>
      <c r="D494" t="inlineStr">
        <is>
          <t>Jaipur</t>
        </is>
      </c>
      <c r="E494" t="inlineStr">
        <is>
          <t>Corporate</t>
        </is>
      </c>
      <c r="F494" t="inlineStr">
        <is>
          <t>Partner</t>
        </is>
      </c>
      <c r="G494" t="inlineStr">
        <is>
          <t>Technology</t>
        </is>
      </c>
      <c r="H494" t="inlineStr">
        <is>
          <t>Monitor</t>
        </is>
      </c>
      <c r="I494" t="n">
        <v>3</v>
      </c>
      <c r="J494" s="12" t="n">
        <v>12642.02</v>
      </c>
      <c r="K494" s="13" t="n">
        <v>0</v>
      </c>
      <c r="L494" s="12" t="n">
        <v>37926.06</v>
      </c>
      <c r="M494" s="12" t="n">
        <v>31099.37</v>
      </c>
      <c r="N494" s="12" t="n">
        <v>6826.69</v>
      </c>
      <c r="O494" t="inlineStr">
        <is>
          <t>Debit Card</t>
        </is>
      </c>
      <c r="P494" t="inlineStr">
        <is>
          <t>Rohan Verma</t>
        </is>
      </c>
    </row>
    <row r="495">
      <c r="A495" t="inlineStr">
        <is>
          <t>ORD-2501-0494</t>
        </is>
      </c>
      <c r="B495" s="11" t="n">
        <v>45683</v>
      </c>
      <c r="C495" t="inlineStr">
        <is>
          <t>East</t>
        </is>
      </c>
      <c r="D495" t="inlineStr">
        <is>
          <t>Patna</t>
        </is>
      </c>
      <c r="E495" t="inlineStr">
        <is>
          <t>Small Business</t>
        </is>
      </c>
      <c r="F495" t="inlineStr">
        <is>
          <t>Retail Store</t>
        </is>
      </c>
      <c r="G495" t="inlineStr">
        <is>
          <t>Office Supplies</t>
        </is>
      </c>
      <c r="H495" t="inlineStr">
        <is>
          <t>Notebook Pack</t>
        </is>
      </c>
      <c r="I495" t="n">
        <v>4</v>
      </c>
      <c r="J495" s="12" t="n">
        <v>373.58</v>
      </c>
      <c r="K495" s="13" t="n">
        <v>0</v>
      </c>
      <c r="L495" s="12" t="n">
        <v>1494.32</v>
      </c>
      <c r="M495" s="12" t="n">
        <v>1016.14</v>
      </c>
      <c r="N495" s="12" t="n">
        <v>478.18</v>
      </c>
      <c r="O495" t="inlineStr">
        <is>
          <t>Credit Card</t>
        </is>
      </c>
      <c r="P495" t="inlineStr">
        <is>
          <t>Anaya Rao</t>
        </is>
      </c>
    </row>
    <row r="496">
      <c r="A496" t="inlineStr">
        <is>
          <t>ORD-2511-0495</t>
        </is>
      </c>
      <c r="B496" s="11" t="n">
        <v>45985</v>
      </c>
      <c r="C496" t="inlineStr">
        <is>
          <t>North</t>
        </is>
      </c>
      <c r="D496" t="inlineStr">
        <is>
          <t>Chandigarh</t>
        </is>
      </c>
      <c r="E496" t="inlineStr">
        <is>
          <t>Small Business</t>
        </is>
      </c>
      <c r="F496" t="inlineStr">
        <is>
          <t>Online</t>
        </is>
      </c>
      <c r="G496" t="inlineStr">
        <is>
          <t>Furniture</t>
        </is>
      </c>
      <c r="H496" t="inlineStr">
        <is>
          <t>Storage Cabinet</t>
        </is>
      </c>
      <c r="I496" t="n">
        <v>4</v>
      </c>
      <c r="J496" s="12" t="n">
        <v>9358.57</v>
      </c>
      <c r="K496" s="13" t="n">
        <v>0.15</v>
      </c>
      <c r="L496" s="12" t="n">
        <v>31819.14</v>
      </c>
      <c r="M496" s="12" t="n">
        <v>29947.42</v>
      </c>
      <c r="N496" s="12" t="n">
        <v>1871.72</v>
      </c>
      <c r="O496" t="inlineStr">
        <is>
          <t>Cash</t>
        </is>
      </c>
      <c r="P496" t="inlineStr">
        <is>
          <t>Rohan Verma</t>
        </is>
      </c>
    </row>
    <row r="497">
      <c r="A497" t="inlineStr">
        <is>
          <t>ORD-2509-0496</t>
        </is>
      </c>
      <c r="B497" s="11" t="n">
        <v>45928</v>
      </c>
      <c r="C497" t="inlineStr">
        <is>
          <t>North</t>
        </is>
      </c>
      <c r="D497" t="inlineStr">
        <is>
          <t>Delhi</t>
        </is>
      </c>
      <c r="E497" t="inlineStr">
        <is>
          <t>Consumer</t>
        </is>
      </c>
      <c r="F497" t="inlineStr">
        <is>
          <t>Online</t>
        </is>
      </c>
      <c r="G497" t="inlineStr">
        <is>
          <t>Office Supplies</t>
        </is>
      </c>
      <c r="H497" t="inlineStr">
        <is>
          <t>Stapler</t>
        </is>
      </c>
      <c r="I497" t="n">
        <v>2</v>
      </c>
      <c r="J497" s="12" t="n">
        <v>279.16</v>
      </c>
      <c r="K497" s="13" t="n">
        <v>0.2</v>
      </c>
      <c r="L497" s="12" t="n">
        <v>446.66</v>
      </c>
      <c r="M497" s="12" t="n">
        <v>390.82</v>
      </c>
      <c r="N497" s="12" t="n">
        <v>55.84</v>
      </c>
      <c r="O497" t="inlineStr">
        <is>
          <t>UPI</t>
        </is>
      </c>
      <c r="P497" t="inlineStr">
        <is>
          <t>Vivaan Gupta</t>
        </is>
      </c>
    </row>
    <row r="498">
      <c r="A498" t="inlineStr">
        <is>
          <t>ORD-2504-0497</t>
        </is>
      </c>
      <c r="B498" s="11" t="n">
        <v>45755</v>
      </c>
      <c r="C498" t="inlineStr">
        <is>
          <t>South</t>
        </is>
      </c>
      <c r="D498" t="inlineStr">
        <is>
          <t>Chennai</t>
        </is>
      </c>
      <c r="E498" t="inlineStr">
        <is>
          <t>Corporate</t>
        </is>
      </c>
      <c r="F498" t="inlineStr">
        <is>
          <t>Partner</t>
        </is>
      </c>
      <c r="G498" t="inlineStr">
        <is>
          <t>Office Supplies</t>
        </is>
      </c>
      <c r="H498" t="inlineStr">
        <is>
          <t>Notebook Pack</t>
        </is>
      </c>
      <c r="I498" t="n">
        <v>3</v>
      </c>
      <c r="J498" s="12" t="n">
        <v>363.95</v>
      </c>
      <c r="K498" s="13" t="n">
        <v>0</v>
      </c>
      <c r="L498" s="12" t="n">
        <v>1091.85</v>
      </c>
      <c r="M498" s="12" t="n">
        <v>742.46</v>
      </c>
      <c r="N498" s="12" t="n">
        <v>349.39</v>
      </c>
      <c r="O498" t="inlineStr">
        <is>
          <t>Credit Card</t>
        </is>
      </c>
      <c r="P498" t="inlineStr">
        <is>
          <t>Sara Khan</t>
        </is>
      </c>
    </row>
    <row r="499">
      <c r="A499" t="inlineStr">
        <is>
          <t>ORD-2512-0498</t>
        </is>
      </c>
      <c r="B499" s="11" t="n">
        <v>46003</v>
      </c>
      <c r="C499" t="inlineStr">
        <is>
          <t>West</t>
        </is>
      </c>
      <c r="D499" t="inlineStr">
        <is>
          <t>Surat</t>
        </is>
      </c>
      <c r="E499" t="inlineStr">
        <is>
          <t>Corporate</t>
        </is>
      </c>
      <c r="F499" t="inlineStr">
        <is>
          <t>Partner</t>
        </is>
      </c>
      <c r="G499" t="inlineStr">
        <is>
          <t>Technology</t>
        </is>
      </c>
      <c r="H499" t="inlineStr">
        <is>
          <t>Monitor</t>
        </is>
      </c>
      <c r="I499" t="n">
        <v>1</v>
      </c>
      <c r="J499" s="12" t="n">
        <v>12303.11</v>
      </c>
      <c r="K499" s="13" t="n">
        <v>0</v>
      </c>
      <c r="L499" s="12" t="n">
        <v>12303.11</v>
      </c>
      <c r="M499" s="12" t="n">
        <v>10088.55</v>
      </c>
      <c r="N499" s="12" t="n">
        <v>2214.56</v>
      </c>
      <c r="O499" t="inlineStr">
        <is>
          <t>UPI</t>
        </is>
      </c>
      <c r="P499" t="inlineStr">
        <is>
          <t>Anaya Rao</t>
        </is>
      </c>
    </row>
    <row r="500">
      <c r="A500" t="inlineStr">
        <is>
          <t>ORD-2506-0499</t>
        </is>
      </c>
      <c r="B500" s="11" t="n">
        <v>45838</v>
      </c>
      <c r="C500" t="inlineStr">
        <is>
          <t>East</t>
        </is>
      </c>
      <c r="D500" t="inlineStr">
        <is>
          <t>Bhubaneswar</t>
        </is>
      </c>
      <c r="E500" t="inlineStr">
        <is>
          <t>Small Business</t>
        </is>
      </c>
      <c r="F500" t="inlineStr">
        <is>
          <t>Retail Store</t>
        </is>
      </c>
      <c r="G500" t="inlineStr">
        <is>
          <t>Office Supplies</t>
        </is>
      </c>
      <c r="H500" t="inlineStr">
        <is>
          <t>Stapler</t>
        </is>
      </c>
      <c r="I500" t="n">
        <v>2</v>
      </c>
      <c r="J500" s="12" t="n">
        <v>257.11</v>
      </c>
      <c r="K500" s="13" t="n">
        <v>0.1</v>
      </c>
      <c r="L500" s="12" t="n">
        <v>462.8</v>
      </c>
      <c r="M500" s="12" t="n">
        <v>359.95</v>
      </c>
      <c r="N500" s="12" t="n">
        <v>102.85</v>
      </c>
      <c r="O500" t="inlineStr">
        <is>
          <t>Cash</t>
        </is>
      </c>
      <c r="P500" t="inlineStr">
        <is>
          <t>Meera Joshi</t>
        </is>
      </c>
    </row>
    <row r="501">
      <c r="A501" t="inlineStr">
        <is>
          <t>ORD-2510-0500</t>
        </is>
      </c>
      <c r="B501" s="11" t="n">
        <v>45946</v>
      </c>
      <c r="C501" t="inlineStr">
        <is>
          <t>Central</t>
        </is>
      </c>
      <c r="D501" t="inlineStr">
        <is>
          <t>Indore</t>
        </is>
      </c>
      <c r="E501" t="inlineStr">
        <is>
          <t>Corporate</t>
        </is>
      </c>
      <c r="F501" t="inlineStr">
        <is>
          <t>Retail Store</t>
        </is>
      </c>
      <c r="G501" t="inlineStr">
        <is>
          <t>Furniture</t>
        </is>
      </c>
      <c r="H501" t="inlineStr">
        <is>
          <t>Desk</t>
        </is>
      </c>
      <c r="I501" t="n">
        <v>4</v>
      </c>
      <c r="J501" s="12" t="n">
        <v>11047.52</v>
      </c>
      <c r="K501" s="13" t="n">
        <v>0.15</v>
      </c>
      <c r="L501" s="12" t="n">
        <v>37561.57</v>
      </c>
      <c r="M501" s="12" t="n">
        <v>33584.46</v>
      </c>
      <c r="N501" s="12" t="n">
        <v>3977.11</v>
      </c>
      <c r="O501" t="inlineStr">
        <is>
          <t>Debit Card</t>
        </is>
      </c>
      <c r="P501" t="inlineStr">
        <is>
          <t>Aarav Sharma</t>
        </is>
      </c>
    </row>
    <row r="502">
      <c r="A502" t="inlineStr">
        <is>
          <t>ORD-2501-0501</t>
        </is>
      </c>
      <c r="B502" s="11" t="n">
        <v>45675</v>
      </c>
      <c r="C502" t="inlineStr">
        <is>
          <t>East</t>
        </is>
      </c>
      <c r="D502" t="inlineStr">
        <is>
          <t>Kolkata</t>
        </is>
      </c>
      <c r="E502" t="inlineStr">
        <is>
          <t>Consumer</t>
        </is>
      </c>
      <c r="F502" t="inlineStr">
        <is>
          <t>Online</t>
        </is>
      </c>
      <c r="G502" t="inlineStr">
        <is>
          <t>Furniture</t>
        </is>
      </c>
      <c r="H502" t="inlineStr">
        <is>
          <t>Storage Cabinet</t>
        </is>
      </c>
      <c r="I502" t="n">
        <v>1</v>
      </c>
      <c r="J502" s="12" t="n">
        <v>8197.35</v>
      </c>
      <c r="K502" s="13" t="n">
        <v>0.15</v>
      </c>
      <c r="L502" s="12" t="n">
        <v>6967.75</v>
      </c>
      <c r="M502" s="12" t="n">
        <v>6557.88</v>
      </c>
      <c r="N502" s="12" t="n">
        <v>409.87</v>
      </c>
      <c r="O502" t="inlineStr">
        <is>
          <t>Net Banking</t>
        </is>
      </c>
      <c r="P502" t="inlineStr">
        <is>
          <t>Aarav Sharma</t>
        </is>
      </c>
    </row>
    <row r="503">
      <c r="A503" t="inlineStr">
        <is>
          <t>ORD-2512-0502</t>
        </is>
      </c>
      <c r="B503" s="11" t="n">
        <v>46011</v>
      </c>
      <c r="C503" t="inlineStr">
        <is>
          <t>East</t>
        </is>
      </c>
      <c r="D503" t="inlineStr">
        <is>
          <t>Patna</t>
        </is>
      </c>
      <c r="E503" t="inlineStr">
        <is>
          <t>Corporate</t>
        </is>
      </c>
      <c r="F503" t="inlineStr">
        <is>
          <t>Partner</t>
        </is>
      </c>
      <c r="G503" t="inlineStr">
        <is>
          <t>Technology</t>
        </is>
      </c>
      <c r="H503" t="inlineStr">
        <is>
          <t>Monitor</t>
        </is>
      </c>
      <c r="I503" t="n">
        <v>1</v>
      </c>
      <c r="J503" s="12" t="n">
        <v>11776.82</v>
      </c>
      <c r="K503" s="13" t="n">
        <v>0.05</v>
      </c>
      <c r="L503" s="12" t="n">
        <v>11187.98</v>
      </c>
      <c r="M503" s="12" t="n">
        <v>9656.99</v>
      </c>
      <c r="N503" s="12" t="n">
        <v>1530.99</v>
      </c>
      <c r="O503" t="inlineStr">
        <is>
          <t>UPI</t>
        </is>
      </c>
      <c r="P503" t="inlineStr">
        <is>
          <t>Meera Joshi</t>
        </is>
      </c>
    </row>
    <row r="504">
      <c r="A504" t="inlineStr">
        <is>
          <t>ORD-2505-0503</t>
        </is>
      </c>
      <c r="B504" s="11" t="n">
        <v>45789</v>
      </c>
      <c r="C504" t="inlineStr">
        <is>
          <t>East</t>
        </is>
      </c>
      <c r="D504" t="inlineStr">
        <is>
          <t>Kolkata</t>
        </is>
      </c>
      <c r="E504" t="inlineStr">
        <is>
          <t>Small Business</t>
        </is>
      </c>
      <c r="F504" t="inlineStr">
        <is>
          <t>Retail Store</t>
        </is>
      </c>
      <c r="G504" t="inlineStr">
        <is>
          <t>Office Supplies</t>
        </is>
      </c>
      <c r="H504" t="inlineStr">
        <is>
          <t>Notebook Pack</t>
        </is>
      </c>
      <c r="I504" t="n">
        <v>2</v>
      </c>
      <c r="J504" s="12" t="n">
        <v>363.12</v>
      </c>
      <c r="K504" s="13" t="n">
        <v>0.15</v>
      </c>
      <c r="L504" s="12" t="n">
        <v>617.3</v>
      </c>
      <c r="M504" s="12" t="n">
        <v>493.84</v>
      </c>
      <c r="N504" s="12" t="n">
        <v>123.46</v>
      </c>
      <c r="O504" t="inlineStr">
        <is>
          <t>Debit Card</t>
        </is>
      </c>
      <c r="P504" t="inlineStr">
        <is>
          <t>Kabir Singh</t>
        </is>
      </c>
    </row>
    <row r="505">
      <c r="A505" t="inlineStr">
        <is>
          <t>ORD-2509-0504</t>
        </is>
      </c>
      <c r="B505" s="11" t="n">
        <v>45907</v>
      </c>
      <c r="C505" t="inlineStr">
        <is>
          <t>Central</t>
        </is>
      </c>
      <c r="D505" t="inlineStr">
        <is>
          <t>Bhopal</t>
        </is>
      </c>
      <c r="E505" t="inlineStr">
        <is>
          <t>Corporate</t>
        </is>
      </c>
      <c r="F505" t="inlineStr">
        <is>
          <t>Online</t>
        </is>
      </c>
      <c r="G505" t="inlineStr">
        <is>
          <t>Office Supplies</t>
        </is>
      </c>
      <c r="H505" t="inlineStr">
        <is>
          <t>Notebook Pack</t>
        </is>
      </c>
      <c r="I505" t="n">
        <v>4</v>
      </c>
      <c r="J505" s="12" t="n">
        <v>367.27</v>
      </c>
      <c r="K505" s="13" t="n">
        <v>0</v>
      </c>
      <c r="L505" s="12" t="n">
        <v>1469.08</v>
      </c>
      <c r="M505" s="12" t="n">
        <v>998.97</v>
      </c>
      <c r="N505" s="12" t="n">
        <v>470.11</v>
      </c>
      <c r="O505" t="inlineStr">
        <is>
          <t>Credit Card</t>
        </is>
      </c>
      <c r="P505" t="inlineStr">
        <is>
          <t>Sara Khan</t>
        </is>
      </c>
    </row>
    <row r="506">
      <c r="A506" t="inlineStr">
        <is>
          <t>ORD-2506-0505</t>
        </is>
      </c>
      <c r="B506" s="11" t="n">
        <v>45836</v>
      </c>
      <c r="C506" t="inlineStr">
        <is>
          <t>West</t>
        </is>
      </c>
      <c r="D506" t="inlineStr">
        <is>
          <t>Surat</t>
        </is>
      </c>
      <c r="E506" t="inlineStr">
        <is>
          <t>Small Business</t>
        </is>
      </c>
      <c r="F506" t="inlineStr">
        <is>
          <t>Online</t>
        </is>
      </c>
      <c r="G506" t="inlineStr">
        <is>
          <t>Office Supplies</t>
        </is>
      </c>
      <c r="H506" t="inlineStr">
        <is>
          <t>Stapler</t>
        </is>
      </c>
      <c r="I506" t="n">
        <v>1</v>
      </c>
      <c r="J506" s="12" t="n">
        <v>270.3</v>
      </c>
      <c r="K506" s="13" t="n">
        <v>0.1</v>
      </c>
      <c r="L506" s="12" t="n">
        <v>243.27</v>
      </c>
      <c r="M506" s="12" t="n">
        <v>189.21</v>
      </c>
      <c r="N506" s="12" t="n">
        <v>54.06</v>
      </c>
      <c r="O506" t="inlineStr">
        <is>
          <t>Debit Card</t>
        </is>
      </c>
      <c r="P506" t="inlineStr">
        <is>
          <t>Aarav Sharma</t>
        </is>
      </c>
    </row>
    <row r="507">
      <c r="A507" t="inlineStr">
        <is>
          <t>ORD-2506-0506</t>
        </is>
      </c>
      <c r="B507" s="11" t="n">
        <v>45814</v>
      </c>
      <c r="C507" t="inlineStr">
        <is>
          <t>Central</t>
        </is>
      </c>
      <c r="D507" t="inlineStr">
        <is>
          <t>Bhopal</t>
        </is>
      </c>
      <c r="E507" t="inlineStr">
        <is>
          <t>Consumer</t>
        </is>
      </c>
      <c r="F507" t="inlineStr">
        <is>
          <t>Online</t>
        </is>
      </c>
      <c r="G507" t="inlineStr">
        <is>
          <t>Furniture</t>
        </is>
      </c>
      <c r="H507" t="inlineStr">
        <is>
          <t>Office Chair</t>
        </is>
      </c>
      <c r="I507" t="n">
        <v>3</v>
      </c>
      <c r="J507" s="12" t="n">
        <v>6802.61</v>
      </c>
      <c r="K507" s="13" t="n">
        <v>0</v>
      </c>
      <c r="L507" s="12" t="n">
        <v>20407.83</v>
      </c>
      <c r="M507" s="12" t="n">
        <v>14693.64</v>
      </c>
      <c r="N507" s="12" t="n">
        <v>5714.19</v>
      </c>
      <c r="O507" t="inlineStr">
        <is>
          <t>Credit Card</t>
        </is>
      </c>
      <c r="P507" t="inlineStr">
        <is>
          <t>Vivaan Gupta</t>
        </is>
      </c>
    </row>
    <row r="508">
      <c r="A508" t="inlineStr">
        <is>
          <t>ORD-2508-0507</t>
        </is>
      </c>
      <c r="B508" s="11" t="n">
        <v>45886</v>
      </c>
      <c r="C508" t="inlineStr">
        <is>
          <t>Central</t>
        </is>
      </c>
      <c r="D508" t="inlineStr">
        <is>
          <t>Bhopal</t>
        </is>
      </c>
      <c r="E508" t="inlineStr">
        <is>
          <t>Corporate</t>
        </is>
      </c>
      <c r="F508" t="inlineStr">
        <is>
          <t>Online</t>
        </is>
      </c>
      <c r="G508" t="inlineStr">
        <is>
          <t>Technology</t>
        </is>
      </c>
      <c r="H508" t="inlineStr">
        <is>
          <t>Printer</t>
        </is>
      </c>
      <c r="I508" t="n">
        <v>2</v>
      </c>
      <c r="J508" s="12" t="n">
        <v>8964.98</v>
      </c>
      <c r="K508" s="13" t="n">
        <v>0.15</v>
      </c>
      <c r="L508" s="12" t="n">
        <v>15240.47</v>
      </c>
      <c r="M508" s="12" t="n">
        <v>15061.17</v>
      </c>
      <c r="N508" s="12" t="n">
        <v>179.3</v>
      </c>
      <c r="O508" t="inlineStr">
        <is>
          <t>Debit Card</t>
        </is>
      </c>
      <c r="P508" t="inlineStr">
        <is>
          <t>Aarav Sharma</t>
        </is>
      </c>
    </row>
    <row r="509">
      <c r="A509" t="inlineStr">
        <is>
          <t>ORD-2510-0508</t>
        </is>
      </c>
      <c r="B509" s="11" t="n">
        <v>45938</v>
      </c>
      <c r="C509" t="inlineStr">
        <is>
          <t>West</t>
        </is>
      </c>
      <c r="D509" t="inlineStr">
        <is>
          <t>Ahmedabad</t>
        </is>
      </c>
      <c r="E509" t="inlineStr">
        <is>
          <t>Consumer</t>
        </is>
      </c>
      <c r="F509" t="inlineStr">
        <is>
          <t>Retail Store</t>
        </is>
      </c>
      <c r="G509" t="inlineStr">
        <is>
          <t>Technology</t>
        </is>
      </c>
      <c r="H509" t="inlineStr">
        <is>
          <t>Monitor</t>
        </is>
      </c>
      <c r="I509" t="n">
        <v>2</v>
      </c>
      <c r="J509" s="12" t="n">
        <v>12895.74</v>
      </c>
      <c r="K509" s="13" t="n">
        <v>0.05</v>
      </c>
      <c r="L509" s="12" t="n">
        <v>24501.91</v>
      </c>
      <c r="M509" s="12" t="n">
        <v>21149.01</v>
      </c>
      <c r="N509" s="12" t="n">
        <v>3352.9</v>
      </c>
      <c r="O509" t="inlineStr">
        <is>
          <t>Cash</t>
        </is>
      </c>
      <c r="P509" t="inlineStr">
        <is>
          <t>Meera Joshi</t>
        </is>
      </c>
    </row>
    <row r="510">
      <c r="A510" t="inlineStr">
        <is>
          <t>ORD-2509-0509</t>
        </is>
      </c>
      <c r="B510" s="11" t="n">
        <v>45907</v>
      </c>
      <c r="C510" t="inlineStr">
        <is>
          <t>West</t>
        </is>
      </c>
      <c r="D510" t="inlineStr">
        <is>
          <t>Pune</t>
        </is>
      </c>
      <c r="E510" t="inlineStr">
        <is>
          <t>Consumer</t>
        </is>
      </c>
      <c r="F510" t="inlineStr">
        <is>
          <t>Retail Store</t>
        </is>
      </c>
      <c r="G510" t="inlineStr">
        <is>
          <t>Furniture</t>
        </is>
      </c>
      <c r="H510" t="inlineStr">
        <is>
          <t>Storage Cabinet</t>
        </is>
      </c>
      <c r="I510" t="n">
        <v>3</v>
      </c>
      <c r="J510" s="12" t="n">
        <v>8538.65</v>
      </c>
      <c r="K510" s="13" t="n">
        <v>0.1</v>
      </c>
      <c r="L510" s="12" t="n">
        <v>23054.35</v>
      </c>
      <c r="M510" s="12" t="n">
        <v>20492.76</v>
      </c>
      <c r="N510" s="12" t="n">
        <v>2561.59</v>
      </c>
      <c r="O510" t="inlineStr">
        <is>
          <t>Debit Card</t>
        </is>
      </c>
      <c r="P510" t="inlineStr">
        <is>
          <t>Sara Khan</t>
        </is>
      </c>
    </row>
    <row r="511">
      <c r="A511" t="inlineStr">
        <is>
          <t>ORD-2512-0510</t>
        </is>
      </c>
      <c r="B511" s="11" t="n">
        <v>46008</v>
      </c>
      <c r="C511" t="inlineStr">
        <is>
          <t>Central</t>
        </is>
      </c>
      <c r="D511" t="inlineStr">
        <is>
          <t>Bhopal</t>
        </is>
      </c>
      <c r="E511" t="inlineStr">
        <is>
          <t>Corporate</t>
        </is>
      </c>
      <c r="F511" t="inlineStr">
        <is>
          <t>Retail Store</t>
        </is>
      </c>
      <c r="G511" t="inlineStr">
        <is>
          <t>Technology</t>
        </is>
      </c>
      <c r="H511" t="inlineStr">
        <is>
          <t>Monitor</t>
        </is>
      </c>
      <c r="I511" t="n">
        <v>4</v>
      </c>
      <c r="J511" s="12" t="n">
        <v>12196.62</v>
      </c>
      <c r="K511" s="13" t="n">
        <v>0.05</v>
      </c>
      <c r="L511" s="12" t="n">
        <v>46347.16</v>
      </c>
      <c r="M511" s="12" t="n">
        <v>40004.91</v>
      </c>
      <c r="N511" s="12" t="n">
        <v>6342.25</v>
      </c>
      <c r="O511" t="inlineStr">
        <is>
          <t>Cash</t>
        </is>
      </c>
      <c r="P511" t="inlineStr">
        <is>
          <t>Aarav Sharma</t>
        </is>
      </c>
    </row>
    <row r="512">
      <c r="A512" t="inlineStr">
        <is>
          <t>ORD-2506-0511</t>
        </is>
      </c>
      <c r="B512" s="11" t="n">
        <v>45814</v>
      </c>
      <c r="C512" t="inlineStr">
        <is>
          <t>South</t>
        </is>
      </c>
      <c r="D512" t="inlineStr">
        <is>
          <t>Hyderabad</t>
        </is>
      </c>
      <c r="E512" t="inlineStr">
        <is>
          <t>Corporate</t>
        </is>
      </c>
      <c r="F512" t="inlineStr">
        <is>
          <t>Online</t>
        </is>
      </c>
      <c r="G512" t="inlineStr">
        <is>
          <t>Office Supplies</t>
        </is>
      </c>
      <c r="H512" t="inlineStr">
        <is>
          <t>Notebook Pack</t>
        </is>
      </c>
      <c r="I512" t="n">
        <v>5</v>
      </c>
      <c r="J512" s="12" t="n">
        <v>356.9</v>
      </c>
      <c r="K512" s="13" t="n">
        <v>0.15</v>
      </c>
      <c r="L512" s="12" t="n">
        <v>1516.83</v>
      </c>
      <c r="M512" s="12" t="n">
        <v>1213.46</v>
      </c>
      <c r="N512" s="12" t="n">
        <v>303.37</v>
      </c>
      <c r="O512" t="inlineStr">
        <is>
          <t>UPI</t>
        </is>
      </c>
      <c r="P512" t="inlineStr">
        <is>
          <t>Meera Joshi</t>
        </is>
      </c>
    </row>
    <row r="513">
      <c r="A513" t="inlineStr">
        <is>
          <t>ORD-2512-0512</t>
        </is>
      </c>
      <c r="B513" s="11" t="n">
        <v>46008</v>
      </c>
      <c r="C513" t="inlineStr">
        <is>
          <t>East</t>
        </is>
      </c>
      <c r="D513" t="inlineStr">
        <is>
          <t>Patna</t>
        </is>
      </c>
      <c r="E513" t="inlineStr">
        <is>
          <t>Consumer</t>
        </is>
      </c>
      <c r="F513" t="inlineStr">
        <is>
          <t>Partner</t>
        </is>
      </c>
      <c r="G513" t="inlineStr">
        <is>
          <t>Office Supplies</t>
        </is>
      </c>
      <c r="H513" t="inlineStr">
        <is>
          <t>File Folder</t>
        </is>
      </c>
      <c r="I513" t="n">
        <v>4</v>
      </c>
      <c r="J513" s="12" t="n">
        <v>93.45</v>
      </c>
      <c r="K513" s="13" t="n">
        <v>0</v>
      </c>
      <c r="L513" s="12" t="n">
        <v>373.8</v>
      </c>
      <c r="M513" s="12" t="n">
        <v>231.76</v>
      </c>
      <c r="N513" s="12" t="n">
        <v>142.04</v>
      </c>
      <c r="O513" t="inlineStr">
        <is>
          <t>UPI</t>
        </is>
      </c>
      <c r="P513" t="inlineStr">
        <is>
          <t>Rohan Verma</t>
        </is>
      </c>
    </row>
    <row r="514">
      <c r="A514" t="inlineStr">
        <is>
          <t>ORD-2501-0513</t>
        </is>
      </c>
      <c r="B514" s="11" t="n">
        <v>45665</v>
      </c>
      <c r="C514" t="inlineStr">
        <is>
          <t>East</t>
        </is>
      </c>
      <c r="D514" t="inlineStr">
        <is>
          <t>Kolkata</t>
        </is>
      </c>
      <c r="E514" t="inlineStr">
        <is>
          <t>Small Business</t>
        </is>
      </c>
      <c r="F514" t="inlineStr">
        <is>
          <t>Online</t>
        </is>
      </c>
      <c r="G514" t="inlineStr">
        <is>
          <t>Technology</t>
        </is>
      </c>
      <c r="H514" t="inlineStr">
        <is>
          <t>Headphones</t>
        </is>
      </c>
      <c r="I514" t="n">
        <v>3</v>
      </c>
      <c r="J514" s="12" t="n">
        <v>2097.57</v>
      </c>
      <c r="K514" s="13" t="n">
        <v>0</v>
      </c>
      <c r="L514" s="12" t="n">
        <v>6292.71</v>
      </c>
      <c r="M514" s="12" t="n">
        <v>4908.31</v>
      </c>
      <c r="N514" s="12" t="n">
        <v>1384.4</v>
      </c>
      <c r="O514" t="inlineStr">
        <is>
          <t>UPI</t>
        </is>
      </c>
      <c r="P514" t="inlineStr">
        <is>
          <t>Rohan Verma</t>
        </is>
      </c>
    </row>
    <row r="515">
      <c r="A515" t="inlineStr">
        <is>
          <t>ORD-2510-0514</t>
        </is>
      </c>
      <c r="B515" s="11" t="n">
        <v>45938</v>
      </c>
      <c r="C515" t="inlineStr">
        <is>
          <t>West</t>
        </is>
      </c>
      <c r="D515" t="inlineStr">
        <is>
          <t>Pune</t>
        </is>
      </c>
      <c r="E515" t="inlineStr">
        <is>
          <t>Small Business</t>
        </is>
      </c>
      <c r="F515" t="inlineStr">
        <is>
          <t>Partner</t>
        </is>
      </c>
      <c r="G515" t="inlineStr">
        <is>
          <t>Office Supplies</t>
        </is>
      </c>
      <c r="H515" t="inlineStr">
        <is>
          <t>Paper Ream</t>
        </is>
      </c>
      <c r="I515" t="n">
        <v>4</v>
      </c>
      <c r="J515" s="12" t="n">
        <v>425.58</v>
      </c>
      <c r="K515" s="13" t="n">
        <v>0</v>
      </c>
      <c r="L515" s="12" t="n">
        <v>1702.32</v>
      </c>
      <c r="M515" s="12" t="n">
        <v>1310.79</v>
      </c>
      <c r="N515" s="12" t="n">
        <v>391.53</v>
      </c>
      <c r="O515" t="inlineStr">
        <is>
          <t>Credit Card</t>
        </is>
      </c>
      <c r="P515" t="inlineStr">
        <is>
          <t>Rohan Verma</t>
        </is>
      </c>
    </row>
    <row r="516">
      <c r="A516" t="inlineStr">
        <is>
          <t>ORD-2503-0515</t>
        </is>
      </c>
      <c r="B516" s="11" t="n">
        <v>45745</v>
      </c>
      <c r="C516" t="inlineStr">
        <is>
          <t>North</t>
        </is>
      </c>
      <c r="D516" t="inlineStr">
        <is>
          <t>Chandigarh</t>
        </is>
      </c>
      <c r="E516" t="inlineStr">
        <is>
          <t>Small Business</t>
        </is>
      </c>
      <c r="F516" t="inlineStr">
        <is>
          <t>Online</t>
        </is>
      </c>
      <c r="G516" t="inlineStr">
        <is>
          <t>Technology</t>
        </is>
      </c>
      <c r="H516" t="inlineStr">
        <is>
          <t>Printer</t>
        </is>
      </c>
      <c r="I516" t="n">
        <v>5</v>
      </c>
      <c r="J516" s="12" t="n">
        <v>8820.690000000001</v>
      </c>
      <c r="K516" s="13" t="n">
        <v>0.1</v>
      </c>
      <c r="L516" s="12" t="n">
        <v>39693.11</v>
      </c>
      <c r="M516" s="12" t="n">
        <v>37046.9</v>
      </c>
      <c r="N516" s="12" t="n">
        <v>2646.21</v>
      </c>
      <c r="O516" t="inlineStr">
        <is>
          <t>Credit Card</t>
        </is>
      </c>
      <c r="P516" t="inlineStr">
        <is>
          <t>Vivaan Gupta</t>
        </is>
      </c>
    </row>
    <row r="517">
      <c r="A517" t="inlineStr">
        <is>
          <t>ORD-2512-0516</t>
        </is>
      </c>
      <c r="B517" s="11" t="n">
        <v>45996</v>
      </c>
      <c r="C517" t="inlineStr">
        <is>
          <t>East</t>
        </is>
      </c>
      <c r="D517" t="inlineStr">
        <is>
          <t>Bhubaneswar</t>
        </is>
      </c>
      <c r="E517" t="inlineStr">
        <is>
          <t>Corporate</t>
        </is>
      </c>
      <c r="F517" t="inlineStr">
        <is>
          <t>Online</t>
        </is>
      </c>
      <c r="G517" t="inlineStr">
        <is>
          <t>Office Supplies</t>
        </is>
      </c>
      <c r="H517" t="inlineStr">
        <is>
          <t>Stapler</t>
        </is>
      </c>
      <c r="I517" t="n">
        <v>1</v>
      </c>
      <c r="J517" s="12" t="n">
        <v>275.95</v>
      </c>
      <c r="K517" s="13" t="n">
        <v>0.05</v>
      </c>
      <c r="L517" s="12" t="n">
        <v>262.15</v>
      </c>
      <c r="M517" s="12" t="n">
        <v>193.16</v>
      </c>
      <c r="N517" s="12" t="n">
        <v>68.98999999999999</v>
      </c>
      <c r="O517" t="inlineStr">
        <is>
          <t>Debit Card</t>
        </is>
      </c>
      <c r="P517" t="inlineStr">
        <is>
          <t>Diya Patel</t>
        </is>
      </c>
    </row>
    <row r="518">
      <c r="A518" t="inlineStr">
        <is>
          <t>ORD-2506-0517</t>
        </is>
      </c>
      <c r="B518" s="11" t="n">
        <v>45819</v>
      </c>
      <c r="C518" t="inlineStr">
        <is>
          <t>West</t>
        </is>
      </c>
      <c r="D518" t="inlineStr">
        <is>
          <t>Mumbai</t>
        </is>
      </c>
      <c r="E518" t="inlineStr">
        <is>
          <t>Small Business</t>
        </is>
      </c>
      <c r="F518" t="inlineStr">
        <is>
          <t>Online</t>
        </is>
      </c>
      <c r="G518" t="inlineStr">
        <is>
          <t>Technology</t>
        </is>
      </c>
      <c r="H518" t="inlineStr">
        <is>
          <t>Keyboard</t>
        </is>
      </c>
      <c r="I518" t="n">
        <v>1</v>
      </c>
      <c r="J518" s="12" t="n">
        <v>1413.59</v>
      </c>
      <c r="K518" s="13" t="n">
        <v>0.2</v>
      </c>
      <c r="L518" s="12" t="n">
        <v>1130.87</v>
      </c>
      <c r="M518" s="12" t="n">
        <v>1060.19</v>
      </c>
      <c r="N518" s="12" t="n">
        <v>70.68000000000001</v>
      </c>
      <c r="O518" t="inlineStr">
        <is>
          <t>Credit Card</t>
        </is>
      </c>
      <c r="P518" t="inlineStr">
        <is>
          <t>Meera Joshi</t>
        </is>
      </c>
    </row>
    <row r="519">
      <c r="A519" t="inlineStr">
        <is>
          <t>ORD-2509-0518</t>
        </is>
      </c>
      <c r="B519" s="11" t="n">
        <v>45929</v>
      </c>
      <c r="C519" t="inlineStr">
        <is>
          <t>East</t>
        </is>
      </c>
      <c r="D519" t="inlineStr">
        <is>
          <t>Bhubaneswar</t>
        </is>
      </c>
      <c r="E519" t="inlineStr">
        <is>
          <t>Corporate</t>
        </is>
      </c>
      <c r="F519" t="inlineStr">
        <is>
          <t>Retail Store</t>
        </is>
      </c>
      <c r="G519" t="inlineStr">
        <is>
          <t>Furniture</t>
        </is>
      </c>
      <c r="H519" t="inlineStr">
        <is>
          <t>Bookshelf</t>
        </is>
      </c>
      <c r="I519" t="n">
        <v>2</v>
      </c>
      <c r="J519" s="12" t="n">
        <v>5072.52</v>
      </c>
      <c r="K519" s="13" t="n">
        <v>0</v>
      </c>
      <c r="L519" s="12" t="n">
        <v>10145.04</v>
      </c>
      <c r="M519" s="12" t="n">
        <v>7507.33</v>
      </c>
      <c r="N519" s="12" t="n">
        <v>2637.71</v>
      </c>
      <c r="O519" t="inlineStr">
        <is>
          <t>Net Banking</t>
        </is>
      </c>
      <c r="P519" t="inlineStr">
        <is>
          <t>Meera Joshi</t>
        </is>
      </c>
    </row>
    <row r="520">
      <c r="A520" t="inlineStr">
        <is>
          <t>ORD-2509-0519</t>
        </is>
      </c>
      <c r="B520" s="11" t="n">
        <v>45914</v>
      </c>
      <c r="C520" t="inlineStr">
        <is>
          <t>East</t>
        </is>
      </c>
      <c r="D520" t="inlineStr">
        <is>
          <t>Kolkata</t>
        </is>
      </c>
      <c r="E520" t="inlineStr">
        <is>
          <t>Consumer</t>
        </is>
      </c>
      <c r="F520" t="inlineStr">
        <is>
          <t>Partner</t>
        </is>
      </c>
      <c r="G520" t="inlineStr">
        <is>
          <t>Office Supplies</t>
        </is>
      </c>
      <c r="H520" t="inlineStr">
        <is>
          <t>Pens Box</t>
        </is>
      </c>
      <c r="I520" t="n">
        <v>2</v>
      </c>
      <c r="J520" s="12" t="n">
        <v>194.4</v>
      </c>
      <c r="K520" s="13" t="n">
        <v>0.05</v>
      </c>
      <c r="L520" s="12" t="n">
        <v>369.36</v>
      </c>
      <c r="M520" s="12" t="n">
        <v>252.72</v>
      </c>
      <c r="N520" s="12" t="n">
        <v>116.64</v>
      </c>
      <c r="O520" t="inlineStr">
        <is>
          <t>Net Banking</t>
        </is>
      </c>
      <c r="P520" t="inlineStr">
        <is>
          <t>Meera Joshi</t>
        </is>
      </c>
    </row>
    <row r="521">
      <c r="A521" t="inlineStr">
        <is>
          <t>ORD-2503-0520</t>
        </is>
      </c>
      <c r="B521" s="11" t="n">
        <v>45735</v>
      </c>
      <c r="C521" t="inlineStr">
        <is>
          <t>East</t>
        </is>
      </c>
      <c r="D521" t="inlineStr">
        <is>
          <t>Guwahati</t>
        </is>
      </c>
      <c r="E521" t="inlineStr">
        <is>
          <t>Small Business</t>
        </is>
      </c>
      <c r="F521" t="inlineStr">
        <is>
          <t>Partner</t>
        </is>
      </c>
      <c r="G521" t="inlineStr">
        <is>
          <t>Office Supplies</t>
        </is>
      </c>
      <c r="H521" t="inlineStr">
        <is>
          <t>Pens Box</t>
        </is>
      </c>
      <c r="I521" t="n">
        <v>1</v>
      </c>
      <c r="J521" s="12" t="n">
        <v>180.6</v>
      </c>
      <c r="K521" s="13" t="n">
        <v>0.1</v>
      </c>
      <c r="L521" s="12" t="n">
        <v>162.54</v>
      </c>
      <c r="M521" s="12" t="n">
        <v>117.39</v>
      </c>
      <c r="N521" s="12" t="n">
        <v>45.15</v>
      </c>
      <c r="O521" t="inlineStr">
        <is>
          <t>UPI</t>
        </is>
      </c>
      <c r="P521" t="inlineStr">
        <is>
          <t>Vivaan Gupta</t>
        </is>
      </c>
    </row>
    <row r="522">
      <c r="A522" t="inlineStr">
        <is>
          <t>ORD-2505-0521</t>
        </is>
      </c>
      <c r="B522" s="11" t="n">
        <v>45781</v>
      </c>
      <c r="C522" t="inlineStr">
        <is>
          <t>Central</t>
        </is>
      </c>
      <c r="D522" t="inlineStr">
        <is>
          <t>Indore</t>
        </is>
      </c>
      <c r="E522" t="inlineStr">
        <is>
          <t>Small Business</t>
        </is>
      </c>
      <c r="F522" t="inlineStr">
        <is>
          <t>Online</t>
        </is>
      </c>
      <c r="G522" t="inlineStr">
        <is>
          <t>Furniture</t>
        </is>
      </c>
      <c r="H522" t="inlineStr">
        <is>
          <t>Desk</t>
        </is>
      </c>
      <c r="I522" t="n">
        <v>10</v>
      </c>
      <c r="J522" s="12" t="n">
        <v>11185.88</v>
      </c>
      <c r="K522" s="13" t="n">
        <v>0.15</v>
      </c>
      <c r="L522" s="12" t="n">
        <v>95079.98</v>
      </c>
      <c r="M522" s="12" t="n">
        <v>85012.69</v>
      </c>
      <c r="N522" s="12" t="n">
        <v>10067.29</v>
      </c>
      <c r="O522" t="inlineStr">
        <is>
          <t>UPI</t>
        </is>
      </c>
      <c r="P522" t="inlineStr">
        <is>
          <t>Kabir Singh</t>
        </is>
      </c>
    </row>
    <row r="523">
      <c r="A523" t="inlineStr">
        <is>
          <t>ORD-2510-0522</t>
        </is>
      </c>
      <c r="B523" s="11" t="n">
        <v>45955</v>
      </c>
      <c r="C523" t="inlineStr">
        <is>
          <t>Central</t>
        </is>
      </c>
      <c r="D523" t="inlineStr">
        <is>
          <t>Indore</t>
        </is>
      </c>
      <c r="E523" t="inlineStr">
        <is>
          <t>Consumer</t>
        </is>
      </c>
      <c r="F523" t="inlineStr">
        <is>
          <t>Retail Store</t>
        </is>
      </c>
      <c r="G523" t="inlineStr">
        <is>
          <t>Office Supplies</t>
        </is>
      </c>
      <c r="H523" t="inlineStr">
        <is>
          <t>Stapler</t>
        </is>
      </c>
      <c r="I523" t="n">
        <v>1</v>
      </c>
      <c r="J523" s="12" t="n">
        <v>276.58</v>
      </c>
      <c r="K523" s="13" t="n">
        <v>0.1</v>
      </c>
      <c r="L523" s="12" t="n">
        <v>248.92</v>
      </c>
      <c r="M523" s="12" t="n">
        <v>193.61</v>
      </c>
      <c r="N523" s="12" t="n">
        <v>55.31</v>
      </c>
      <c r="O523" t="inlineStr">
        <is>
          <t>UPI</t>
        </is>
      </c>
      <c r="P523" t="inlineStr">
        <is>
          <t>Kabir Singh</t>
        </is>
      </c>
    </row>
    <row r="524">
      <c r="A524" t="inlineStr">
        <is>
          <t>ORD-2506-0523</t>
        </is>
      </c>
      <c r="B524" s="11" t="n">
        <v>45820</v>
      </c>
      <c r="C524" t="inlineStr">
        <is>
          <t>North</t>
        </is>
      </c>
      <c r="D524" t="inlineStr">
        <is>
          <t>Delhi</t>
        </is>
      </c>
      <c r="E524" t="inlineStr">
        <is>
          <t>Corporate</t>
        </is>
      </c>
      <c r="F524" t="inlineStr">
        <is>
          <t>Retail Store</t>
        </is>
      </c>
      <c r="G524" t="inlineStr">
        <is>
          <t>Technology</t>
        </is>
      </c>
      <c r="H524" t="inlineStr">
        <is>
          <t>Keyboard</t>
        </is>
      </c>
      <c r="I524" t="n">
        <v>2</v>
      </c>
      <c r="J524" s="12" t="n">
        <v>1450.87</v>
      </c>
      <c r="K524" s="13" t="n">
        <v>0.15</v>
      </c>
      <c r="L524" s="12" t="n">
        <v>2466.48</v>
      </c>
      <c r="M524" s="12" t="n">
        <v>2176.3</v>
      </c>
      <c r="N524" s="12" t="n">
        <v>290.18</v>
      </c>
      <c r="O524" t="inlineStr">
        <is>
          <t>Debit Card</t>
        </is>
      </c>
      <c r="P524" t="inlineStr">
        <is>
          <t>Rohan Verma</t>
        </is>
      </c>
    </row>
    <row r="525">
      <c r="A525" t="inlineStr">
        <is>
          <t>ORD-2508-0524</t>
        </is>
      </c>
      <c r="B525" s="11" t="n">
        <v>45884</v>
      </c>
      <c r="C525" t="inlineStr">
        <is>
          <t>East</t>
        </is>
      </c>
      <c r="D525" t="inlineStr">
        <is>
          <t>Patna</t>
        </is>
      </c>
      <c r="E525" t="inlineStr">
        <is>
          <t>Small Business</t>
        </is>
      </c>
      <c r="F525" t="inlineStr">
        <is>
          <t>Partner</t>
        </is>
      </c>
      <c r="G525" t="inlineStr">
        <is>
          <t>Office Supplies</t>
        </is>
      </c>
      <c r="H525" t="inlineStr">
        <is>
          <t>File Folder</t>
        </is>
      </c>
      <c r="I525" t="n">
        <v>1</v>
      </c>
      <c r="J525" s="12" t="n">
        <v>83.18000000000001</v>
      </c>
      <c r="K525" s="13" t="n">
        <v>0</v>
      </c>
      <c r="L525" s="12" t="n">
        <v>83.18000000000001</v>
      </c>
      <c r="M525" s="12" t="n">
        <v>51.57</v>
      </c>
      <c r="N525" s="12" t="n">
        <v>31.61</v>
      </c>
      <c r="O525" t="inlineStr">
        <is>
          <t>Net Banking</t>
        </is>
      </c>
      <c r="P525" t="inlineStr">
        <is>
          <t>Meera Joshi</t>
        </is>
      </c>
    </row>
    <row r="526">
      <c r="A526" t="inlineStr">
        <is>
          <t>ORD-2511-0525</t>
        </is>
      </c>
      <c r="B526" s="11" t="n">
        <v>45963</v>
      </c>
      <c r="C526" t="inlineStr">
        <is>
          <t>South</t>
        </is>
      </c>
      <c r="D526" t="inlineStr">
        <is>
          <t>Chennai</t>
        </is>
      </c>
      <c r="E526" t="inlineStr">
        <is>
          <t>Consumer</t>
        </is>
      </c>
      <c r="F526" t="inlineStr">
        <is>
          <t>Partner</t>
        </is>
      </c>
      <c r="G526" t="inlineStr">
        <is>
          <t>Office Supplies</t>
        </is>
      </c>
      <c r="H526" t="inlineStr">
        <is>
          <t>Pens Box</t>
        </is>
      </c>
      <c r="I526" t="n">
        <v>1</v>
      </c>
      <c r="J526" s="12" t="n">
        <v>188.06</v>
      </c>
      <c r="K526" s="13" t="n">
        <v>0</v>
      </c>
      <c r="L526" s="12" t="n">
        <v>188.06</v>
      </c>
      <c r="M526" s="12" t="n">
        <v>122.24</v>
      </c>
      <c r="N526" s="12" t="n">
        <v>65.81999999999999</v>
      </c>
      <c r="O526" t="inlineStr">
        <is>
          <t>Cash</t>
        </is>
      </c>
      <c r="P526" t="inlineStr">
        <is>
          <t>Anaya Rao</t>
        </is>
      </c>
    </row>
    <row r="527">
      <c r="A527" t="inlineStr">
        <is>
          <t>ORD-2512-0526</t>
        </is>
      </c>
      <c r="B527" s="11" t="n">
        <v>46022</v>
      </c>
      <c r="C527" t="inlineStr">
        <is>
          <t>East</t>
        </is>
      </c>
      <c r="D527" t="inlineStr">
        <is>
          <t>Patna</t>
        </is>
      </c>
      <c r="E527" t="inlineStr">
        <is>
          <t>Consumer</t>
        </is>
      </c>
      <c r="F527" t="inlineStr">
        <is>
          <t>Online</t>
        </is>
      </c>
      <c r="G527" t="inlineStr">
        <is>
          <t>Office Supplies</t>
        </is>
      </c>
      <c r="H527" t="inlineStr">
        <is>
          <t>Stapler</t>
        </is>
      </c>
      <c r="I527" t="n">
        <v>2</v>
      </c>
      <c r="J527" s="12" t="n">
        <v>246.01</v>
      </c>
      <c r="K527" s="13" t="n">
        <v>0.05</v>
      </c>
      <c r="L527" s="12" t="n">
        <v>467.42</v>
      </c>
      <c r="M527" s="12" t="n">
        <v>344.41</v>
      </c>
      <c r="N527" s="12" t="n">
        <v>123.01</v>
      </c>
      <c r="O527" t="inlineStr">
        <is>
          <t>Debit Card</t>
        </is>
      </c>
      <c r="P527" t="inlineStr">
        <is>
          <t>Aarav Sharma</t>
        </is>
      </c>
    </row>
    <row r="528">
      <c r="A528" t="inlineStr">
        <is>
          <t>ORD-2505-0527</t>
        </is>
      </c>
      <c r="B528" s="11" t="n">
        <v>45796</v>
      </c>
      <c r="C528" t="inlineStr">
        <is>
          <t>West</t>
        </is>
      </c>
      <c r="D528" t="inlineStr">
        <is>
          <t>Pune</t>
        </is>
      </c>
      <c r="E528" t="inlineStr">
        <is>
          <t>Consumer</t>
        </is>
      </c>
      <c r="F528" t="inlineStr">
        <is>
          <t>Retail Store</t>
        </is>
      </c>
      <c r="G528" t="inlineStr">
        <is>
          <t>Office Supplies</t>
        </is>
      </c>
      <c r="H528" t="inlineStr">
        <is>
          <t>Paper Ream</t>
        </is>
      </c>
      <c r="I528" t="n">
        <v>4</v>
      </c>
      <c r="J528" s="12" t="n">
        <v>400.15</v>
      </c>
      <c r="K528" s="13" t="n">
        <v>0</v>
      </c>
      <c r="L528" s="12" t="n">
        <v>1600.6</v>
      </c>
      <c r="M528" s="12" t="n">
        <v>1232.46</v>
      </c>
      <c r="N528" s="12" t="n">
        <v>368.14</v>
      </c>
      <c r="O528" t="inlineStr">
        <is>
          <t>Cash</t>
        </is>
      </c>
      <c r="P528" t="inlineStr">
        <is>
          <t>Anaya Rao</t>
        </is>
      </c>
    </row>
    <row r="529">
      <c r="A529" t="inlineStr">
        <is>
          <t>ORD-2512-0528</t>
        </is>
      </c>
      <c r="B529" s="11" t="n">
        <v>46010</v>
      </c>
      <c r="C529" t="inlineStr">
        <is>
          <t>East</t>
        </is>
      </c>
      <c r="D529" t="inlineStr">
        <is>
          <t>Guwahati</t>
        </is>
      </c>
      <c r="E529" t="inlineStr">
        <is>
          <t>Corporate</t>
        </is>
      </c>
      <c r="F529" t="inlineStr">
        <is>
          <t>Partner</t>
        </is>
      </c>
      <c r="G529" t="inlineStr">
        <is>
          <t>Technology</t>
        </is>
      </c>
      <c r="H529" t="inlineStr">
        <is>
          <t>Printer</t>
        </is>
      </c>
      <c r="I529" t="n">
        <v>2</v>
      </c>
      <c r="J529" s="12" t="n">
        <v>9664.049999999999</v>
      </c>
      <c r="K529" s="13" t="n">
        <v>0.1</v>
      </c>
      <c r="L529" s="12" t="n">
        <v>17395.29</v>
      </c>
      <c r="M529" s="12" t="n">
        <v>16235.6</v>
      </c>
      <c r="N529" s="12" t="n">
        <v>1159.69</v>
      </c>
      <c r="O529" t="inlineStr">
        <is>
          <t>Net Banking</t>
        </is>
      </c>
      <c r="P529" t="inlineStr">
        <is>
          <t>Vivaan Gupta</t>
        </is>
      </c>
    </row>
    <row r="530">
      <c r="A530" t="inlineStr">
        <is>
          <t>ORD-2511-0529</t>
        </is>
      </c>
      <c r="B530" s="11" t="n">
        <v>45971</v>
      </c>
      <c r="C530" t="inlineStr">
        <is>
          <t>Central</t>
        </is>
      </c>
      <c r="D530" t="inlineStr">
        <is>
          <t>Bhopal</t>
        </is>
      </c>
      <c r="E530" t="inlineStr">
        <is>
          <t>Consumer</t>
        </is>
      </c>
      <c r="F530" t="inlineStr">
        <is>
          <t>Partner</t>
        </is>
      </c>
      <c r="G530" t="inlineStr">
        <is>
          <t>Furniture</t>
        </is>
      </c>
      <c r="H530" t="inlineStr">
        <is>
          <t>Storage Cabinet</t>
        </is>
      </c>
      <c r="I530" t="n">
        <v>1</v>
      </c>
      <c r="J530" s="12" t="n">
        <v>9437.940000000001</v>
      </c>
      <c r="K530" s="13" t="n">
        <v>0.05</v>
      </c>
      <c r="L530" s="12" t="n">
        <v>8966.040000000001</v>
      </c>
      <c r="M530" s="12" t="n">
        <v>7550.35</v>
      </c>
      <c r="N530" s="12" t="n">
        <v>1415.69</v>
      </c>
      <c r="O530" t="inlineStr">
        <is>
          <t>Cash</t>
        </is>
      </c>
      <c r="P530" t="inlineStr">
        <is>
          <t>Vivaan Gupta</t>
        </is>
      </c>
    </row>
    <row r="531">
      <c r="A531" t="inlineStr">
        <is>
          <t>ORD-2501-0530</t>
        </is>
      </c>
      <c r="B531" s="11" t="n">
        <v>45678</v>
      </c>
      <c r="C531" t="inlineStr">
        <is>
          <t>Central</t>
        </is>
      </c>
      <c r="D531" t="inlineStr">
        <is>
          <t>Nagpur</t>
        </is>
      </c>
      <c r="E531" t="inlineStr">
        <is>
          <t>Corporate</t>
        </is>
      </c>
      <c r="F531" t="inlineStr">
        <is>
          <t>Retail Store</t>
        </is>
      </c>
      <c r="G531" t="inlineStr">
        <is>
          <t>Furniture</t>
        </is>
      </c>
      <c r="H531" t="inlineStr">
        <is>
          <t>Storage Cabinet</t>
        </is>
      </c>
      <c r="I531" t="n">
        <v>4</v>
      </c>
      <c r="J531" s="12" t="n">
        <v>8458.35</v>
      </c>
      <c r="K531" s="13" t="n">
        <v>0.2</v>
      </c>
      <c r="L531" s="12" t="n">
        <v>27066.72</v>
      </c>
      <c r="M531" s="12" t="n">
        <v>27066.72</v>
      </c>
      <c r="N531" s="12" t="n">
        <v>0</v>
      </c>
      <c r="O531" t="inlineStr">
        <is>
          <t>Net Banking</t>
        </is>
      </c>
      <c r="P531" t="inlineStr">
        <is>
          <t>Rohan Verma</t>
        </is>
      </c>
    </row>
    <row r="532">
      <c r="A532" t="inlineStr">
        <is>
          <t>ORD-2508-0531</t>
        </is>
      </c>
      <c r="B532" s="11" t="n">
        <v>45894</v>
      </c>
      <c r="C532" t="inlineStr">
        <is>
          <t>South</t>
        </is>
      </c>
      <c r="D532" t="inlineStr">
        <is>
          <t>Kochi</t>
        </is>
      </c>
      <c r="E532" t="inlineStr">
        <is>
          <t>Consumer</t>
        </is>
      </c>
      <c r="F532" t="inlineStr">
        <is>
          <t>Retail Store</t>
        </is>
      </c>
      <c r="G532" t="inlineStr">
        <is>
          <t>Technology</t>
        </is>
      </c>
      <c r="H532" t="inlineStr">
        <is>
          <t>Headphones</t>
        </is>
      </c>
      <c r="I532" t="n">
        <v>3</v>
      </c>
      <c r="J532" s="12" t="n">
        <v>2205.97</v>
      </c>
      <c r="K532" s="13" t="n">
        <v>0</v>
      </c>
      <c r="L532" s="12" t="n">
        <v>6617.91</v>
      </c>
      <c r="M532" s="12" t="n">
        <v>5161.97</v>
      </c>
      <c r="N532" s="12" t="n">
        <v>1455.94</v>
      </c>
      <c r="O532" t="inlineStr">
        <is>
          <t>Debit Card</t>
        </is>
      </c>
      <c r="P532" t="inlineStr">
        <is>
          <t>Diya Patel</t>
        </is>
      </c>
    </row>
    <row r="533">
      <c r="A533" t="inlineStr">
        <is>
          <t>ORD-2509-0532</t>
        </is>
      </c>
      <c r="B533" s="11" t="n">
        <v>45914</v>
      </c>
      <c r="C533" t="inlineStr">
        <is>
          <t>North</t>
        </is>
      </c>
      <c r="D533" t="inlineStr">
        <is>
          <t>Jaipur</t>
        </is>
      </c>
      <c r="E533" t="inlineStr">
        <is>
          <t>Corporate</t>
        </is>
      </c>
      <c r="F533" t="inlineStr">
        <is>
          <t>Retail Store</t>
        </is>
      </c>
      <c r="G533" t="inlineStr">
        <is>
          <t>Office Supplies</t>
        </is>
      </c>
      <c r="H533" t="inlineStr">
        <is>
          <t>File Folder</t>
        </is>
      </c>
      <c r="I533" t="n">
        <v>3</v>
      </c>
      <c r="J533" s="12" t="n">
        <v>90.67</v>
      </c>
      <c r="K533" s="13" t="n">
        <v>0.15</v>
      </c>
      <c r="L533" s="12" t="n">
        <v>231.21</v>
      </c>
      <c r="M533" s="12" t="n">
        <v>168.65</v>
      </c>
      <c r="N533" s="12" t="n">
        <v>62.56</v>
      </c>
      <c r="O533" t="inlineStr">
        <is>
          <t>Net Banking</t>
        </is>
      </c>
      <c r="P533" t="inlineStr">
        <is>
          <t>Anaya Rao</t>
        </is>
      </c>
    </row>
    <row r="534">
      <c r="A534" t="inlineStr">
        <is>
          <t>ORD-2501-0533</t>
        </is>
      </c>
      <c r="B534" s="11" t="n">
        <v>45670</v>
      </c>
      <c r="C534" t="inlineStr">
        <is>
          <t>South</t>
        </is>
      </c>
      <c r="D534" t="inlineStr">
        <is>
          <t>Kochi</t>
        </is>
      </c>
      <c r="E534" t="inlineStr">
        <is>
          <t>Consumer</t>
        </is>
      </c>
      <c r="F534" t="inlineStr">
        <is>
          <t>Retail Store</t>
        </is>
      </c>
      <c r="G534" t="inlineStr">
        <is>
          <t>Office Supplies</t>
        </is>
      </c>
      <c r="H534" t="inlineStr">
        <is>
          <t>Notebook Pack</t>
        </is>
      </c>
      <c r="I534" t="n">
        <v>6</v>
      </c>
      <c r="J534" s="12" t="n">
        <v>371.42</v>
      </c>
      <c r="K534" s="13" t="n">
        <v>0.15</v>
      </c>
      <c r="L534" s="12" t="n">
        <v>1894.24</v>
      </c>
      <c r="M534" s="12" t="n">
        <v>1515.39</v>
      </c>
      <c r="N534" s="12" t="n">
        <v>378.85</v>
      </c>
      <c r="O534" t="inlineStr">
        <is>
          <t>Net Banking</t>
        </is>
      </c>
      <c r="P534" t="inlineStr">
        <is>
          <t>Kabir Singh</t>
        </is>
      </c>
    </row>
    <row r="535">
      <c r="A535" t="inlineStr">
        <is>
          <t>ORD-2503-0534</t>
        </is>
      </c>
      <c r="B535" s="11" t="n">
        <v>45721</v>
      </c>
      <c r="C535" t="inlineStr">
        <is>
          <t>North</t>
        </is>
      </c>
      <c r="D535" t="inlineStr">
        <is>
          <t>Delhi</t>
        </is>
      </c>
      <c r="E535" t="inlineStr">
        <is>
          <t>Corporate</t>
        </is>
      </c>
      <c r="F535" t="inlineStr">
        <is>
          <t>Partner</t>
        </is>
      </c>
      <c r="G535" t="inlineStr">
        <is>
          <t>Office Supplies</t>
        </is>
      </c>
      <c r="H535" t="inlineStr">
        <is>
          <t>Paper Ream</t>
        </is>
      </c>
      <c r="I535" t="n">
        <v>3</v>
      </c>
      <c r="J535" s="12" t="n">
        <v>421.6</v>
      </c>
      <c r="K535" s="13" t="n">
        <v>0.05</v>
      </c>
      <c r="L535" s="12" t="n">
        <v>1201.56</v>
      </c>
      <c r="M535" s="12" t="n">
        <v>973.9</v>
      </c>
      <c r="N535" s="12" t="n">
        <v>227.66</v>
      </c>
      <c r="O535" t="inlineStr">
        <is>
          <t>Cash</t>
        </is>
      </c>
      <c r="P535" t="inlineStr">
        <is>
          <t>Kabir Singh</t>
        </is>
      </c>
    </row>
    <row r="536">
      <c r="A536" t="inlineStr">
        <is>
          <t>ORD-2507-0535</t>
        </is>
      </c>
      <c r="B536" s="11" t="n">
        <v>45851</v>
      </c>
      <c r="C536" t="inlineStr">
        <is>
          <t>Central</t>
        </is>
      </c>
      <c r="D536" t="inlineStr">
        <is>
          <t>Nagpur</t>
        </is>
      </c>
      <c r="E536" t="inlineStr">
        <is>
          <t>Small Business</t>
        </is>
      </c>
      <c r="F536" t="inlineStr">
        <is>
          <t>Online</t>
        </is>
      </c>
      <c r="G536" t="inlineStr">
        <is>
          <t>Technology</t>
        </is>
      </c>
      <c r="H536" t="inlineStr">
        <is>
          <t>Laptop</t>
        </is>
      </c>
      <c r="I536" t="n">
        <v>4</v>
      </c>
      <c r="J536" s="12" t="n">
        <v>42440.1</v>
      </c>
      <c r="K536" s="13" t="n">
        <v>0.15</v>
      </c>
      <c r="L536" s="12" t="n">
        <v>144296.34</v>
      </c>
      <c r="M536" s="12" t="n">
        <v>149389.15</v>
      </c>
      <c r="N536" s="12" t="n">
        <v>-5092.81</v>
      </c>
      <c r="O536" t="inlineStr">
        <is>
          <t>UPI</t>
        </is>
      </c>
      <c r="P536" t="inlineStr">
        <is>
          <t>Kabir Singh</t>
        </is>
      </c>
    </row>
    <row r="537">
      <c r="A537" t="inlineStr">
        <is>
          <t>ORD-2504-0536</t>
        </is>
      </c>
      <c r="B537" s="11" t="n">
        <v>45749</v>
      </c>
      <c r="C537" t="inlineStr">
        <is>
          <t>North</t>
        </is>
      </c>
      <c r="D537" t="inlineStr">
        <is>
          <t>Lucknow</t>
        </is>
      </c>
      <c r="E537" t="inlineStr">
        <is>
          <t>Small Business</t>
        </is>
      </c>
      <c r="F537" t="inlineStr">
        <is>
          <t>Online</t>
        </is>
      </c>
      <c r="G537" t="inlineStr">
        <is>
          <t>Technology</t>
        </is>
      </c>
      <c r="H537" t="inlineStr">
        <is>
          <t>Headphones</t>
        </is>
      </c>
      <c r="I537" t="n">
        <v>2</v>
      </c>
      <c r="J537" s="12" t="n">
        <v>2181.08</v>
      </c>
      <c r="K537" s="13" t="n">
        <v>0.1</v>
      </c>
      <c r="L537" s="12" t="n">
        <v>3925.94</v>
      </c>
      <c r="M537" s="12" t="n">
        <v>3402.48</v>
      </c>
      <c r="N537" s="12" t="n">
        <v>523.46</v>
      </c>
      <c r="O537" t="inlineStr">
        <is>
          <t>Credit Card</t>
        </is>
      </c>
      <c r="P537" t="inlineStr">
        <is>
          <t>Kabir Singh</t>
        </is>
      </c>
    </row>
    <row r="538">
      <c r="A538" t="inlineStr">
        <is>
          <t>ORD-2504-0537</t>
        </is>
      </c>
      <c r="B538" s="11" t="n">
        <v>45761</v>
      </c>
      <c r="C538" t="inlineStr">
        <is>
          <t>North</t>
        </is>
      </c>
      <c r="D538" t="inlineStr">
        <is>
          <t>Chandigarh</t>
        </is>
      </c>
      <c r="E538" t="inlineStr">
        <is>
          <t>Consumer</t>
        </is>
      </c>
      <c r="F538" t="inlineStr">
        <is>
          <t>Partner</t>
        </is>
      </c>
      <c r="G538" t="inlineStr">
        <is>
          <t>Technology</t>
        </is>
      </c>
      <c r="H538" t="inlineStr">
        <is>
          <t>Laptop</t>
        </is>
      </c>
      <c r="I538" t="n">
        <v>3</v>
      </c>
      <c r="J538" s="12" t="n">
        <v>42292.33</v>
      </c>
      <c r="K538" s="13" t="n">
        <v>0.15</v>
      </c>
      <c r="L538" s="12" t="n">
        <v>107845.44</v>
      </c>
      <c r="M538" s="12" t="n">
        <v>111651.75</v>
      </c>
      <c r="N538" s="12" t="n">
        <v>-3806.31</v>
      </c>
      <c r="O538" t="inlineStr">
        <is>
          <t>Debit Card</t>
        </is>
      </c>
      <c r="P538" t="inlineStr">
        <is>
          <t>Meera Joshi</t>
        </is>
      </c>
    </row>
    <row r="539">
      <c r="A539" t="inlineStr">
        <is>
          <t>ORD-2504-0538</t>
        </is>
      </c>
      <c r="B539" s="11" t="n">
        <v>45769</v>
      </c>
      <c r="C539" t="inlineStr">
        <is>
          <t>Central</t>
        </is>
      </c>
      <c r="D539" t="inlineStr">
        <is>
          <t>Nagpur</t>
        </is>
      </c>
      <c r="E539" t="inlineStr">
        <is>
          <t>Consumer</t>
        </is>
      </c>
      <c r="F539" t="inlineStr">
        <is>
          <t>Partner</t>
        </is>
      </c>
      <c r="G539" t="inlineStr">
        <is>
          <t>Furniture</t>
        </is>
      </c>
      <c r="H539" t="inlineStr">
        <is>
          <t>Bookshelf</t>
        </is>
      </c>
      <c r="I539" t="n">
        <v>2</v>
      </c>
      <c r="J539" s="12" t="n">
        <v>5283.28</v>
      </c>
      <c r="K539" s="13" t="n">
        <v>0</v>
      </c>
      <c r="L539" s="12" t="n">
        <v>10566.56</v>
      </c>
      <c r="M539" s="12" t="n">
        <v>7819.25</v>
      </c>
      <c r="N539" s="12" t="n">
        <v>2747.31</v>
      </c>
      <c r="O539" t="inlineStr">
        <is>
          <t>Net Banking</t>
        </is>
      </c>
      <c r="P539" t="inlineStr">
        <is>
          <t>Meera Joshi</t>
        </is>
      </c>
    </row>
    <row r="540">
      <c r="A540" t="inlineStr">
        <is>
          <t>ORD-2501-0539</t>
        </is>
      </c>
      <c r="B540" s="11" t="n">
        <v>45683</v>
      </c>
      <c r="C540" t="inlineStr">
        <is>
          <t>South</t>
        </is>
      </c>
      <c r="D540" t="inlineStr">
        <is>
          <t>Chennai</t>
        </is>
      </c>
      <c r="E540" t="inlineStr">
        <is>
          <t>Small Business</t>
        </is>
      </c>
      <c r="F540" t="inlineStr">
        <is>
          <t>Partner</t>
        </is>
      </c>
      <c r="G540" t="inlineStr">
        <is>
          <t>Technology</t>
        </is>
      </c>
      <c r="H540" t="inlineStr">
        <is>
          <t>Laptop</t>
        </is>
      </c>
      <c r="I540" t="n">
        <v>4</v>
      </c>
      <c r="J540" s="12" t="n">
        <v>44377.73</v>
      </c>
      <c r="K540" s="13" t="n">
        <v>0</v>
      </c>
      <c r="L540" s="12" t="n">
        <v>177510.92</v>
      </c>
      <c r="M540" s="12" t="n">
        <v>156209.61</v>
      </c>
      <c r="N540" s="12" t="n">
        <v>21301.31</v>
      </c>
      <c r="O540" t="inlineStr">
        <is>
          <t>Cash</t>
        </is>
      </c>
      <c r="P540" t="inlineStr">
        <is>
          <t>Rohan Verma</t>
        </is>
      </c>
    </row>
    <row r="541">
      <c r="A541" t="inlineStr">
        <is>
          <t>ORD-2506-0540</t>
        </is>
      </c>
      <c r="B541" s="11" t="n">
        <v>45827</v>
      </c>
      <c r="C541" t="inlineStr">
        <is>
          <t>North</t>
        </is>
      </c>
      <c r="D541" t="inlineStr">
        <is>
          <t>Delhi</t>
        </is>
      </c>
      <c r="E541" t="inlineStr">
        <is>
          <t>Small Business</t>
        </is>
      </c>
      <c r="F541" t="inlineStr">
        <is>
          <t>Partner</t>
        </is>
      </c>
      <c r="G541" t="inlineStr">
        <is>
          <t>Technology</t>
        </is>
      </c>
      <c r="H541" t="inlineStr">
        <is>
          <t>Monitor</t>
        </is>
      </c>
      <c r="I541" t="n">
        <v>2</v>
      </c>
      <c r="J541" s="12" t="n">
        <v>12844.18</v>
      </c>
      <c r="K541" s="13" t="n">
        <v>0</v>
      </c>
      <c r="L541" s="12" t="n">
        <v>25688.36</v>
      </c>
      <c r="M541" s="12" t="n">
        <v>21064.46</v>
      </c>
      <c r="N541" s="12" t="n">
        <v>4623.9</v>
      </c>
      <c r="O541" t="inlineStr">
        <is>
          <t>Cash</t>
        </is>
      </c>
      <c r="P541" t="inlineStr">
        <is>
          <t>Kabir Singh</t>
        </is>
      </c>
    </row>
    <row r="542">
      <c r="A542" t="inlineStr">
        <is>
          <t>ORD-2508-0541</t>
        </is>
      </c>
      <c r="B542" s="11" t="n">
        <v>45891</v>
      </c>
      <c r="C542" t="inlineStr">
        <is>
          <t>Central</t>
        </is>
      </c>
      <c r="D542" t="inlineStr">
        <is>
          <t>Raipur</t>
        </is>
      </c>
      <c r="E542" t="inlineStr">
        <is>
          <t>Corporate</t>
        </is>
      </c>
      <c r="F542" t="inlineStr">
        <is>
          <t>Online</t>
        </is>
      </c>
      <c r="G542" t="inlineStr">
        <is>
          <t>Technology</t>
        </is>
      </c>
      <c r="H542" t="inlineStr">
        <is>
          <t>Laptop</t>
        </is>
      </c>
      <c r="I542" t="n">
        <v>1</v>
      </c>
      <c r="J542" s="12" t="n">
        <v>41116.79</v>
      </c>
      <c r="K542" s="13" t="n">
        <v>0.05</v>
      </c>
      <c r="L542" s="12" t="n">
        <v>39060.95</v>
      </c>
      <c r="M542" s="12" t="n">
        <v>36182.78</v>
      </c>
      <c r="N542" s="12" t="n">
        <v>2878.17</v>
      </c>
      <c r="O542" t="inlineStr">
        <is>
          <t>Debit Card</t>
        </is>
      </c>
      <c r="P542" t="inlineStr">
        <is>
          <t>Diya Patel</t>
        </is>
      </c>
    </row>
    <row r="543">
      <c r="A543" t="inlineStr">
        <is>
          <t>ORD-2505-0542</t>
        </is>
      </c>
      <c r="B543" s="11" t="n">
        <v>45807</v>
      </c>
      <c r="C543" t="inlineStr">
        <is>
          <t>West</t>
        </is>
      </c>
      <c r="D543" t="inlineStr">
        <is>
          <t>Pune</t>
        </is>
      </c>
      <c r="E543" t="inlineStr">
        <is>
          <t>Small Business</t>
        </is>
      </c>
      <c r="F543" t="inlineStr">
        <is>
          <t>Online</t>
        </is>
      </c>
      <c r="G543" t="inlineStr">
        <is>
          <t>Technology</t>
        </is>
      </c>
      <c r="H543" t="inlineStr">
        <is>
          <t>Monitor</t>
        </is>
      </c>
      <c r="I543" t="n">
        <v>4</v>
      </c>
      <c r="J543" s="12" t="n">
        <v>12554.11</v>
      </c>
      <c r="K543" s="13" t="n">
        <v>0</v>
      </c>
      <c r="L543" s="12" t="n">
        <v>50216.44</v>
      </c>
      <c r="M543" s="12" t="n">
        <v>41177.48</v>
      </c>
      <c r="N543" s="12" t="n">
        <v>9038.959999999999</v>
      </c>
      <c r="O543" t="inlineStr">
        <is>
          <t>UPI</t>
        </is>
      </c>
      <c r="P543" t="inlineStr">
        <is>
          <t>Aarav Sharma</t>
        </is>
      </c>
    </row>
    <row r="544">
      <c r="A544" t="inlineStr">
        <is>
          <t>ORD-2502-0543</t>
        </is>
      </c>
      <c r="B544" s="11" t="n">
        <v>45713</v>
      </c>
      <c r="C544" t="inlineStr">
        <is>
          <t>Central</t>
        </is>
      </c>
      <c r="D544" t="inlineStr">
        <is>
          <t>Bhopal</t>
        </is>
      </c>
      <c r="E544" t="inlineStr">
        <is>
          <t>Small Business</t>
        </is>
      </c>
      <c r="F544" t="inlineStr">
        <is>
          <t>Retail Store</t>
        </is>
      </c>
      <c r="G544" t="inlineStr">
        <is>
          <t>Furniture</t>
        </is>
      </c>
      <c r="H544" t="inlineStr">
        <is>
          <t>Bookshelf</t>
        </is>
      </c>
      <c r="I544" t="n">
        <v>4</v>
      </c>
      <c r="J544" s="12" t="n">
        <v>5439.77</v>
      </c>
      <c r="K544" s="13" t="n">
        <v>0.1</v>
      </c>
      <c r="L544" s="12" t="n">
        <v>19583.17</v>
      </c>
      <c r="M544" s="12" t="n">
        <v>16101.72</v>
      </c>
      <c r="N544" s="12" t="n">
        <v>3481.45</v>
      </c>
      <c r="O544" t="inlineStr">
        <is>
          <t>Debit Card</t>
        </is>
      </c>
      <c r="P544" t="inlineStr">
        <is>
          <t>Sara Khan</t>
        </is>
      </c>
    </row>
    <row r="545">
      <c r="A545" t="inlineStr">
        <is>
          <t>ORD-2505-0544</t>
        </is>
      </c>
      <c r="B545" s="11" t="n">
        <v>45790</v>
      </c>
      <c r="C545" t="inlineStr">
        <is>
          <t>Central</t>
        </is>
      </c>
      <c r="D545" t="inlineStr">
        <is>
          <t>Raipur</t>
        </is>
      </c>
      <c r="E545" t="inlineStr">
        <is>
          <t>Corporate</t>
        </is>
      </c>
      <c r="F545" t="inlineStr">
        <is>
          <t>Retail Store</t>
        </is>
      </c>
      <c r="G545" t="inlineStr">
        <is>
          <t>Technology</t>
        </is>
      </c>
      <c r="H545" t="inlineStr">
        <is>
          <t>Keyboard</t>
        </is>
      </c>
      <c r="I545" t="n">
        <v>3</v>
      </c>
      <c r="J545" s="12" t="n">
        <v>1451.34</v>
      </c>
      <c r="K545" s="13" t="n">
        <v>0.05</v>
      </c>
      <c r="L545" s="12" t="n">
        <v>4136.32</v>
      </c>
      <c r="M545" s="12" t="n">
        <v>3265.51</v>
      </c>
      <c r="N545" s="12" t="n">
        <v>870.8099999999999</v>
      </c>
      <c r="O545" t="inlineStr">
        <is>
          <t>UPI</t>
        </is>
      </c>
      <c r="P545" t="inlineStr">
        <is>
          <t>Meera Joshi</t>
        </is>
      </c>
    </row>
    <row r="546">
      <c r="A546" t="inlineStr">
        <is>
          <t>ORD-2512-0545</t>
        </is>
      </c>
      <c r="B546" s="11" t="n">
        <v>46020</v>
      </c>
      <c r="C546" t="inlineStr">
        <is>
          <t>East</t>
        </is>
      </c>
      <c r="D546" t="inlineStr">
        <is>
          <t>Patna</t>
        </is>
      </c>
      <c r="E546" t="inlineStr">
        <is>
          <t>Small Business</t>
        </is>
      </c>
      <c r="F546" t="inlineStr">
        <is>
          <t>Online</t>
        </is>
      </c>
      <c r="G546" t="inlineStr">
        <is>
          <t>Technology</t>
        </is>
      </c>
      <c r="H546" t="inlineStr">
        <is>
          <t>Laptop</t>
        </is>
      </c>
      <c r="I546" t="n">
        <v>1</v>
      </c>
      <c r="J546" s="12" t="n">
        <v>43994.04</v>
      </c>
      <c r="K546" s="13" t="n">
        <v>0.05</v>
      </c>
      <c r="L546" s="12" t="n">
        <v>41794.34</v>
      </c>
      <c r="M546" s="12" t="n">
        <v>38714.76</v>
      </c>
      <c r="N546" s="12" t="n">
        <v>3079.58</v>
      </c>
      <c r="O546" t="inlineStr">
        <is>
          <t>Cash</t>
        </is>
      </c>
      <c r="P546" t="inlineStr">
        <is>
          <t>Vivaan Gupta</t>
        </is>
      </c>
    </row>
    <row r="547">
      <c r="A547" t="inlineStr">
        <is>
          <t>ORD-2507-0546</t>
        </is>
      </c>
      <c r="B547" s="11" t="n">
        <v>45869</v>
      </c>
      <c r="C547" t="inlineStr">
        <is>
          <t>North</t>
        </is>
      </c>
      <c r="D547" t="inlineStr">
        <is>
          <t>Chandigarh</t>
        </is>
      </c>
      <c r="E547" t="inlineStr">
        <is>
          <t>Consumer</t>
        </is>
      </c>
      <c r="F547" t="inlineStr">
        <is>
          <t>Partner</t>
        </is>
      </c>
      <c r="G547" t="inlineStr">
        <is>
          <t>Furniture</t>
        </is>
      </c>
      <c r="H547" t="inlineStr">
        <is>
          <t>Office Chair</t>
        </is>
      </c>
      <c r="I547" t="n">
        <v>3</v>
      </c>
      <c r="J547" s="12" t="n">
        <v>6268.29</v>
      </c>
      <c r="K547" s="13" t="n">
        <v>0.1</v>
      </c>
      <c r="L547" s="12" t="n">
        <v>16924.38</v>
      </c>
      <c r="M547" s="12" t="n">
        <v>13539.51</v>
      </c>
      <c r="N547" s="12" t="n">
        <v>3384.87</v>
      </c>
      <c r="O547" t="inlineStr">
        <is>
          <t>Net Banking</t>
        </is>
      </c>
      <c r="P547" t="inlineStr">
        <is>
          <t>Rohan Verma</t>
        </is>
      </c>
    </row>
    <row r="548">
      <c r="A548" t="inlineStr">
        <is>
          <t>ORD-2502-0547</t>
        </is>
      </c>
      <c r="B548" s="11" t="n">
        <v>45692</v>
      </c>
      <c r="C548" t="inlineStr">
        <is>
          <t>East</t>
        </is>
      </c>
      <c r="D548" t="inlineStr">
        <is>
          <t>Bhubaneswar</t>
        </is>
      </c>
      <c r="E548" t="inlineStr">
        <is>
          <t>Corporate</t>
        </is>
      </c>
      <c r="F548" t="inlineStr">
        <is>
          <t>Retail Store</t>
        </is>
      </c>
      <c r="G548" t="inlineStr">
        <is>
          <t>Furniture</t>
        </is>
      </c>
      <c r="H548" t="inlineStr">
        <is>
          <t>Storage Cabinet</t>
        </is>
      </c>
      <c r="I548" t="n">
        <v>3</v>
      </c>
      <c r="J548" s="12" t="n">
        <v>8350.1</v>
      </c>
      <c r="K548" s="13" t="n">
        <v>0.1</v>
      </c>
      <c r="L548" s="12" t="n">
        <v>22545.27</v>
      </c>
      <c r="M548" s="12" t="n">
        <v>20040.24</v>
      </c>
      <c r="N548" s="12" t="n">
        <v>2505.03</v>
      </c>
      <c r="O548" t="inlineStr">
        <is>
          <t>Debit Card</t>
        </is>
      </c>
      <c r="P548" t="inlineStr">
        <is>
          <t>Aarav Sharma</t>
        </is>
      </c>
    </row>
    <row r="549">
      <c r="A549" t="inlineStr">
        <is>
          <t>ORD-2503-0548</t>
        </is>
      </c>
      <c r="B549" s="11" t="n">
        <v>45747</v>
      </c>
      <c r="C549" t="inlineStr">
        <is>
          <t>South</t>
        </is>
      </c>
      <c r="D549" t="inlineStr">
        <is>
          <t>Hyderabad</t>
        </is>
      </c>
      <c r="E549" t="inlineStr">
        <is>
          <t>Consumer</t>
        </is>
      </c>
      <c r="F549" t="inlineStr">
        <is>
          <t>Partner</t>
        </is>
      </c>
      <c r="G549" t="inlineStr">
        <is>
          <t>Office Supplies</t>
        </is>
      </c>
      <c r="H549" t="inlineStr">
        <is>
          <t>Stapler</t>
        </is>
      </c>
      <c r="I549" t="n">
        <v>2</v>
      </c>
      <c r="J549" s="12" t="n">
        <v>277.31</v>
      </c>
      <c r="K549" s="13" t="n">
        <v>0.1</v>
      </c>
      <c r="L549" s="12" t="n">
        <v>499.16</v>
      </c>
      <c r="M549" s="12" t="n">
        <v>388.23</v>
      </c>
      <c r="N549" s="12" t="n">
        <v>110.93</v>
      </c>
      <c r="O549" t="inlineStr">
        <is>
          <t>UPI</t>
        </is>
      </c>
      <c r="P549" t="inlineStr">
        <is>
          <t>Anaya Rao</t>
        </is>
      </c>
    </row>
    <row r="550">
      <c r="A550" t="inlineStr">
        <is>
          <t>ORD-2503-0549</t>
        </is>
      </c>
      <c r="B550" s="11" t="n">
        <v>45737</v>
      </c>
      <c r="C550" t="inlineStr">
        <is>
          <t>West</t>
        </is>
      </c>
      <c r="D550" t="inlineStr">
        <is>
          <t>Ahmedabad</t>
        </is>
      </c>
      <c r="E550" t="inlineStr">
        <is>
          <t>Small Business</t>
        </is>
      </c>
      <c r="F550" t="inlineStr">
        <is>
          <t>Retail Store</t>
        </is>
      </c>
      <c r="G550" t="inlineStr">
        <is>
          <t>Furniture</t>
        </is>
      </c>
      <c r="H550" t="inlineStr">
        <is>
          <t>Bookshelf</t>
        </is>
      </c>
      <c r="I550" t="n">
        <v>5</v>
      </c>
      <c r="J550" s="12" t="n">
        <v>5401.83</v>
      </c>
      <c r="K550" s="13" t="n">
        <v>0.05</v>
      </c>
      <c r="L550" s="12" t="n">
        <v>25658.69</v>
      </c>
      <c r="M550" s="12" t="n">
        <v>19986.77</v>
      </c>
      <c r="N550" s="12" t="n">
        <v>5671.92</v>
      </c>
      <c r="O550" t="inlineStr">
        <is>
          <t>Cash</t>
        </is>
      </c>
      <c r="P550" t="inlineStr">
        <is>
          <t>Sara Khan</t>
        </is>
      </c>
    </row>
    <row r="551">
      <c r="A551" t="inlineStr">
        <is>
          <t>ORD-2510-0550</t>
        </is>
      </c>
      <c r="B551" s="11" t="n">
        <v>45942</v>
      </c>
      <c r="C551" t="inlineStr">
        <is>
          <t>Central</t>
        </is>
      </c>
      <c r="D551" t="inlineStr">
        <is>
          <t>Bhopal</t>
        </is>
      </c>
      <c r="E551" t="inlineStr">
        <is>
          <t>Corporate</t>
        </is>
      </c>
      <c r="F551" t="inlineStr">
        <is>
          <t>Online</t>
        </is>
      </c>
      <c r="G551" t="inlineStr">
        <is>
          <t>Technology</t>
        </is>
      </c>
      <c r="H551" t="inlineStr">
        <is>
          <t>Printer</t>
        </is>
      </c>
      <c r="I551" t="n">
        <v>3</v>
      </c>
      <c r="J551" s="12" t="n">
        <v>10132.6</v>
      </c>
      <c r="K551" s="13" t="n">
        <v>0.05</v>
      </c>
      <c r="L551" s="12" t="n">
        <v>28877.91</v>
      </c>
      <c r="M551" s="12" t="n">
        <v>25534.15</v>
      </c>
      <c r="N551" s="12" t="n">
        <v>3343.76</v>
      </c>
      <c r="O551" t="inlineStr">
        <is>
          <t>UPI</t>
        </is>
      </c>
      <c r="P551" t="inlineStr">
        <is>
          <t>Rohan Verma</t>
        </is>
      </c>
    </row>
    <row r="552">
      <c r="A552" t="inlineStr">
        <is>
          <t>ORD-2501-0551</t>
        </is>
      </c>
      <c r="B552" s="11" t="n">
        <v>45673</v>
      </c>
      <c r="C552" t="inlineStr">
        <is>
          <t>East</t>
        </is>
      </c>
      <c r="D552" t="inlineStr">
        <is>
          <t>Guwahati</t>
        </is>
      </c>
      <c r="E552" t="inlineStr">
        <is>
          <t>Consumer</t>
        </is>
      </c>
      <c r="F552" t="inlineStr">
        <is>
          <t>Partner</t>
        </is>
      </c>
      <c r="G552" t="inlineStr">
        <is>
          <t>Office Supplies</t>
        </is>
      </c>
      <c r="H552" t="inlineStr">
        <is>
          <t>Pens Box</t>
        </is>
      </c>
      <c r="I552" t="n">
        <v>3</v>
      </c>
      <c r="J552" s="12" t="n">
        <v>183.04</v>
      </c>
      <c r="K552" s="13" t="n">
        <v>0</v>
      </c>
      <c r="L552" s="12" t="n">
        <v>549.12</v>
      </c>
      <c r="M552" s="12" t="n">
        <v>356.93</v>
      </c>
      <c r="N552" s="12" t="n">
        <v>192.19</v>
      </c>
      <c r="O552" t="inlineStr">
        <is>
          <t>Credit Card</t>
        </is>
      </c>
      <c r="P552" t="inlineStr">
        <is>
          <t>Rohan Verma</t>
        </is>
      </c>
    </row>
    <row r="553">
      <c r="A553" t="inlineStr">
        <is>
          <t>ORD-2512-0552</t>
        </is>
      </c>
      <c r="B553" s="11" t="n">
        <v>46019</v>
      </c>
      <c r="C553" t="inlineStr">
        <is>
          <t>East</t>
        </is>
      </c>
      <c r="D553" t="inlineStr">
        <is>
          <t>Kolkata</t>
        </is>
      </c>
      <c r="E553" t="inlineStr">
        <is>
          <t>Corporate</t>
        </is>
      </c>
      <c r="F553" t="inlineStr">
        <is>
          <t>Retail Store</t>
        </is>
      </c>
      <c r="G553" t="inlineStr">
        <is>
          <t>Technology</t>
        </is>
      </c>
      <c r="H553" t="inlineStr">
        <is>
          <t>Headphones</t>
        </is>
      </c>
      <c r="I553" t="n">
        <v>2</v>
      </c>
      <c r="J553" s="12" t="n">
        <v>2107.65</v>
      </c>
      <c r="K553" s="13" t="n">
        <v>0.05</v>
      </c>
      <c r="L553" s="12" t="n">
        <v>4004.53</v>
      </c>
      <c r="M553" s="12" t="n">
        <v>3287.93</v>
      </c>
      <c r="N553" s="12" t="n">
        <v>716.6</v>
      </c>
      <c r="O553" t="inlineStr">
        <is>
          <t>UPI</t>
        </is>
      </c>
      <c r="P553" t="inlineStr">
        <is>
          <t>Rohan Verma</t>
        </is>
      </c>
    </row>
    <row r="554">
      <c r="A554" t="inlineStr">
        <is>
          <t>ORD-2503-0553</t>
        </is>
      </c>
      <c r="B554" s="11" t="n">
        <v>45747</v>
      </c>
      <c r="C554" t="inlineStr">
        <is>
          <t>North</t>
        </is>
      </c>
      <c r="D554" t="inlineStr">
        <is>
          <t>Chandigarh</t>
        </is>
      </c>
      <c r="E554" t="inlineStr">
        <is>
          <t>Small Business</t>
        </is>
      </c>
      <c r="F554" t="inlineStr">
        <is>
          <t>Online</t>
        </is>
      </c>
      <c r="G554" t="inlineStr">
        <is>
          <t>Office Supplies</t>
        </is>
      </c>
      <c r="H554" t="inlineStr">
        <is>
          <t>File Folder</t>
        </is>
      </c>
      <c r="I554" t="n">
        <v>1</v>
      </c>
      <c r="J554" s="12" t="n">
        <v>84.13</v>
      </c>
      <c r="K554" s="13" t="n">
        <v>0</v>
      </c>
      <c r="L554" s="12" t="n">
        <v>84.13</v>
      </c>
      <c r="M554" s="12" t="n">
        <v>52.16</v>
      </c>
      <c r="N554" s="12" t="n">
        <v>31.97</v>
      </c>
      <c r="O554" t="inlineStr">
        <is>
          <t>Debit Card</t>
        </is>
      </c>
      <c r="P554" t="inlineStr">
        <is>
          <t>Kabir Singh</t>
        </is>
      </c>
    </row>
    <row r="555">
      <c r="A555" t="inlineStr">
        <is>
          <t>ORD-2504-0554</t>
        </is>
      </c>
      <c r="B555" s="11" t="n">
        <v>45755</v>
      </c>
      <c r="C555" t="inlineStr">
        <is>
          <t>East</t>
        </is>
      </c>
      <c r="D555" t="inlineStr">
        <is>
          <t>Guwahati</t>
        </is>
      </c>
      <c r="E555" t="inlineStr">
        <is>
          <t>Consumer</t>
        </is>
      </c>
      <c r="F555" t="inlineStr">
        <is>
          <t>Partner</t>
        </is>
      </c>
      <c r="G555" t="inlineStr">
        <is>
          <t>Office Supplies</t>
        </is>
      </c>
      <c r="H555" t="inlineStr">
        <is>
          <t>Paper Ream</t>
        </is>
      </c>
      <c r="I555" t="n">
        <v>6</v>
      </c>
      <c r="J555" s="12" t="n">
        <v>408.4</v>
      </c>
      <c r="K555" s="13" t="n">
        <v>0.05</v>
      </c>
      <c r="L555" s="12" t="n">
        <v>2327.88</v>
      </c>
      <c r="M555" s="12" t="n">
        <v>1886.81</v>
      </c>
      <c r="N555" s="12" t="n">
        <v>441.07</v>
      </c>
      <c r="O555" t="inlineStr">
        <is>
          <t>UPI</t>
        </is>
      </c>
      <c r="P555" t="inlineStr">
        <is>
          <t>Meera Joshi</t>
        </is>
      </c>
    </row>
    <row r="556">
      <c r="A556" t="inlineStr">
        <is>
          <t>ORD-2501-0555</t>
        </is>
      </c>
      <c r="B556" s="11" t="n">
        <v>45676</v>
      </c>
      <c r="C556" t="inlineStr">
        <is>
          <t>West</t>
        </is>
      </c>
      <c r="D556" t="inlineStr">
        <is>
          <t>Surat</t>
        </is>
      </c>
      <c r="E556" t="inlineStr">
        <is>
          <t>Consumer</t>
        </is>
      </c>
      <c r="F556" t="inlineStr">
        <is>
          <t>Partner</t>
        </is>
      </c>
      <c r="G556" t="inlineStr">
        <is>
          <t>Office Supplies</t>
        </is>
      </c>
      <c r="H556" t="inlineStr">
        <is>
          <t>Paper Ream</t>
        </is>
      </c>
      <c r="I556" t="n">
        <v>5</v>
      </c>
      <c r="J556" s="12" t="n">
        <v>407.3</v>
      </c>
      <c r="K556" s="13" t="n">
        <v>0</v>
      </c>
      <c r="L556" s="12" t="n">
        <v>2036.5</v>
      </c>
      <c r="M556" s="12" t="n">
        <v>1568.11</v>
      </c>
      <c r="N556" s="12" t="n">
        <v>468.39</v>
      </c>
      <c r="O556" t="inlineStr">
        <is>
          <t>Cash</t>
        </is>
      </c>
      <c r="P556" t="inlineStr">
        <is>
          <t>Diya Patel</t>
        </is>
      </c>
    </row>
    <row r="557">
      <c r="A557" t="inlineStr">
        <is>
          <t>ORD-2506-0556</t>
        </is>
      </c>
      <c r="B557" s="11" t="n">
        <v>45828</v>
      </c>
      <c r="C557" t="inlineStr">
        <is>
          <t>West</t>
        </is>
      </c>
      <c r="D557" t="inlineStr">
        <is>
          <t>Mumbai</t>
        </is>
      </c>
      <c r="E557" t="inlineStr">
        <is>
          <t>Small Business</t>
        </is>
      </c>
      <c r="F557" t="inlineStr">
        <is>
          <t>Retail Store</t>
        </is>
      </c>
      <c r="G557" t="inlineStr">
        <is>
          <t>Technology</t>
        </is>
      </c>
      <c r="H557" t="inlineStr">
        <is>
          <t>Monitor</t>
        </is>
      </c>
      <c r="I557" t="n">
        <v>3</v>
      </c>
      <c r="J557" s="12" t="n">
        <v>12124.96</v>
      </c>
      <c r="K557" s="13" t="n">
        <v>0.1</v>
      </c>
      <c r="L557" s="12" t="n">
        <v>32737.39</v>
      </c>
      <c r="M557" s="12" t="n">
        <v>29827.4</v>
      </c>
      <c r="N557" s="12" t="n">
        <v>2909.99</v>
      </c>
      <c r="O557" t="inlineStr">
        <is>
          <t>UPI</t>
        </is>
      </c>
      <c r="P557" t="inlineStr">
        <is>
          <t>Sara Khan</t>
        </is>
      </c>
    </row>
    <row r="558">
      <c r="A558" t="inlineStr">
        <is>
          <t>ORD-2504-0557</t>
        </is>
      </c>
      <c r="B558" s="11" t="n">
        <v>45760</v>
      </c>
      <c r="C558" t="inlineStr">
        <is>
          <t>South</t>
        </is>
      </c>
      <c r="D558" t="inlineStr">
        <is>
          <t>Hyderabad</t>
        </is>
      </c>
      <c r="E558" t="inlineStr">
        <is>
          <t>Corporate</t>
        </is>
      </c>
      <c r="F558" t="inlineStr">
        <is>
          <t>Online</t>
        </is>
      </c>
      <c r="G558" t="inlineStr">
        <is>
          <t>Technology</t>
        </is>
      </c>
      <c r="H558" t="inlineStr">
        <is>
          <t>Headphones</t>
        </is>
      </c>
      <c r="I558" t="n">
        <v>3</v>
      </c>
      <c r="J558" s="12" t="n">
        <v>2260.24</v>
      </c>
      <c r="K558" s="13" t="n">
        <v>0.1</v>
      </c>
      <c r="L558" s="12" t="n">
        <v>6102.65</v>
      </c>
      <c r="M558" s="12" t="n">
        <v>5288.96</v>
      </c>
      <c r="N558" s="12" t="n">
        <v>813.6900000000001</v>
      </c>
      <c r="O558" t="inlineStr">
        <is>
          <t>UPI</t>
        </is>
      </c>
      <c r="P558" t="inlineStr">
        <is>
          <t>Rohan Verma</t>
        </is>
      </c>
    </row>
    <row r="559">
      <c r="A559" t="inlineStr">
        <is>
          <t>ORD-2502-0558</t>
        </is>
      </c>
      <c r="B559" s="11" t="n">
        <v>45716</v>
      </c>
      <c r="C559" t="inlineStr">
        <is>
          <t>North</t>
        </is>
      </c>
      <c r="D559" t="inlineStr">
        <is>
          <t>Delhi</t>
        </is>
      </c>
      <c r="E559" t="inlineStr">
        <is>
          <t>Small Business</t>
        </is>
      </c>
      <c r="F559" t="inlineStr">
        <is>
          <t>Retail Store</t>
        </is>
      </c>
      <c r="G559" t="inlineStr">
        <is>
          <t>Technology</t>
        </is>
      </c>
      <c r="H559" t="inlineStr">
        <is>
          <t>Printer</t>
        </is>
      </c>
      <c r="I559" t="n">
        <v>3</v>
      </c>
      <c r="J559" s="12" t="n">
        <v>9152</v>
      </c>
      <c r="K559" s="13" t="n">
        <v>0.1</v>
      </c>
      <c r="L559" s="12" t="n">
        <v>24710.4</v>
      </c>
      <c r="M559" s="12" t="n">
        <v>23063.04</v>
      </c>
      <c r="N559" s="12" t="n">
        <v>1647.36</v>
      </c>
      <c r="O559" t="inlineStr">
        <is>
          <t>Cash</t>
        </is>
      </c>
      <c r="P559" t="inlineStr">
        <is>
          <t>Meera Joshi</t>
        </is>
      </c>
    </row>
    <row r="560">
      <c r="A560" t="inlineStr">
        <is>
          <t>ORD-2503-0559</t>
        </is>
      </c>
      <c r="B560" s="11" t="n">
        <v>45745</v>
      </c>
      <c r="C560" t="inlineStr">
        <is>
          <t>North</t>
        </is>
      </c>
      <c r="D560" t="inlineStr">
        <is>
          <t>Chandigarh</t>
        </is>
      </c>
      <c r="E560" t="inlineStr">
        <is>
          <t>Consumer</t>
        </is>
      </c>
      <c r="F560" t="inlineStr">
        <is>
          <t>Retail Store</t>
        </is>
      </c>
      <c r="G560" t="inlineStr">
        <is>
          <t>Office Supplies</t>
        </is>
      </c>
      <c r="H560" t="inlineStr">
        <is>
          <t>Notebook Pack</t>
        </is>
      </c>
      <c r="I560" t="n">
        <v>6</v>
      </c>
      <c r="J560" s="12" t="n">
        <v>324.84</v>
      </c>
      <c r="K560" s="13" t="n">
        <v>0.1</v>
      </c>
      <c r="L560" s="12" t="n">
        <v>1754.14</v>
      </c>
      <c r="M560" s="12" t="n">
        <v>1325.35</v>
      </c>
      <c r="N560" s="12" t="n">
        <v>428.79</v>
      </c>
      <c r="O560" t="inlineStr">
        <is>
          <t>Credit Card</t>
        </is>
      </c>
      <c r="P560" t="inlineStr">
        <is>
          <t>Diya Patel</t>
        </is>
      </c>
    </row>
    <row r="561">
      <c r="A561" t="inlineStr">
        <is>
          <t>ORD-2507-0560</t>
        </is>
      </c>
      <c r="B561" s="11" t="n">
        <v>45854</v>
      </c>
      <c r="C561" t="inlineStr">
        <is>
          <t>North</t>
        </is>
      </c>
      <c r="D561" t="inlineStr">
        <is>
          <t>Delhi</t>
        </is>
      </c>
      <c r="E561" t="inlineStr">
        <is>
          <t>Small Business</t>
        </is>
      </c>
      <c r="F561" t="inlineStr">
        <is>
          <t>Partner</t>
        </is>
      </c>
      <c r="G561" t="inlineStr">
        <is>
          <t>Furniture</t>
        </is>
      </c>
      <c r="H561" t="inlineStr">
        <is>
          <t>Desk</t>
        </is>
      </c>
      <c r="I561" t="n">
        <v>2</v>
      </c>
      <c r="J561" s="12" t="n">
        <v>12219.95</v>
      </c>
      <c r="K561" s="13" t="n">
        <v>0.1</v>
      </c>
      <c r="L561" s="12" t="n">
        <v>21995.91</v>
      </c>
      <c r="M561" s="12" t="n">
        <v>18574.32</v>
      </c>
      <c r="N561" s="12" t="n">
        <v>3421.59</v>
      </c>
      <c r="O561" t="inlineStr">
        <is>
          <t>Debit Card</t>
        </is>
      </c>
      <c r="P561" t="inlineStr">
        <is>
          <t>Sara Khan</t>
        </is>
      </c>
    </row>
    <row r="562">
      <c r="A562" t="inlineStr">
        <is>
          <t>ORD-2506-0561</t>
        </is>
      </c>
      <c r="B562" s="11" t="n">
        <v>45817</v>
      </c>
      <c r="C562" t="inlineStr">
        <is>
          <t>East</t>
        </is>
      </c>
      <c r="D562" t="inlineStr">
        <is>
          <t>Patna</t>
        </is>
      </c>
      <c r="E562" t="inlineStr">
        <is>
          <t>Corporate</t>
        </is>
      </c>
      <c r="F562" t="inlineStr">
        <is>
          <t>Partner</t>
        </is>
      </c>
      <c r="G562" t="inlineStr">
        <is>
          <t>Office Supplies</t>
        </is>
      </c>
      <c r="H562" t="inlineStr">
        <is>
          <t>Paper Ream</t>
        </is>
      </c>
      <c r="I562" t="n">
        <v>4</v>
      </c>
      <c r="J562" s="12" t="n">
        <v>391.68</v>
      </c>
      <c r="K562" s="13" t="n">
        <v>0.15</v>
      </c>
      <c r="L562" s="12" t="n">
        <v>1331.71</v>
      </c>
      <c r="M562" s="12" t="n">
        <v>1206.37</v>
      </c>
      <c r="N562" s="12" t="n">
        <v>125.34</v>
      </c>
      <c r="O562" t="inlineStr">
        <is>
          <t>UPI</t>
        </is>
      </c>
      <c r="P562" t="inlineStr">
        <is>
          <t>Diya Patel</t>
        </is>
      </c>
    </row>
    <row r="563">
      <c r="A563" t="inlineStr">
        <is>
          <t>ORD-2512-0562</t>
        </is>
      </c>
      <c r="B563" s="11" t="n">
        <v>46015</v>
      </c>
      <c r="C563" t="inlineStr">
        <is>
          <t>West</t>
        </is>
      </c>
      <c r="D563" t="inlineStr">
        <is>
          <t>Mumbai</t>
        </is>
      </c>
      <c r="E563" t="inlineStr">
        <is>
          <t>Corporate</t>
        </is>
      </c>
      <c r="F563" t="inlineStr">
        <is>
          <t>Online</t>
        </is>
      </c>
      <c r="G563" t="inlineStr">
        <is>
          <t>Furniture</t>
        </is>
      </c>
      <c r="H563" t="inlineStr">
        <is>
          <t>Bookshelf</t>
        </is>
      </c>
      <c r="I563" t="n">
        <v>2</v>
      </c>
      <c r="J563" s="12" t="n">
        <v>5421.72</v>
      </c>
      <c r="K563" s="13" t="n">
        <v>0.1</v>
      </c>
      <c r="L563" s="12" t="n">
        <v>9759.1</v>
      </c>
      <c r="M563" s="12" t="n">
        <v>8024.15</v>
      </c>
      <c r="N563" s="12" t="n">
        <v>1734.95</v>
      </c>
      <c r="O563" t="inlineStr">
        <is>
          <t>UPI</t>
        </is>
      </c>
      <c r="P563" t="inlineStr">
        <is>
          <t>Kabir Singh</t>
        </is>
      </c>
    </row>
    <row r="564">
      <c r="A564" t="inlineStr">
        <is>
          <t>ORD-2511-0563</t>
        </is>
      </c>
      <c r="B564" s="11" t="n">
        <v>45973</v>
      </c>
      <c r="C564" t="inlineStr">
        <is>
          <t>East</t>
        </is>
      </c>
      <c r="D564" t="inlineStr">
        <is>
          <t>Bhubaneswar</t>
        </is>
      </c>
      <c r="E564" t="inlineStr">
        <is>
          <t>Corporate</t>
        </is>
      </c>
      <c r="F564" t="inlineStr">
        <is>
          <t>Retail Store</t>
        </is>
      </c>
      <c r="G564" t="inlineStr">
        <is>
          <t>Furniture</t>
        </is>
      </c>
      <c r="H564" t="inlineStr">
        <is>
          <t>Desk</t>
        </is>
      </c>
      <c r="I564" t="n">
        <v>1</v>
      </c>
      <c r="J564" s="12" t="n">
        <v>11187.8</v>
      </c>
      <c r="K564" s="13" t="n">
        <v>0.15</v>
      </c>
      <c r="L564" s="12" t="n">
        <v>9509.629999999999</v>
      </c>
      <c r="M564" s="12" t="n">
        <v>8502.73</v>
      </c>
      <c r="N564" s="12" t="n">
        <v>1006.9</v>
      </c>
      <c r="O564" t="inlineStr">
        <is>
          <t>Debit Card</t>
        </is>
      </c>
      <c r="P564" t="inlineStr">
        <is>
          <t>Aarav Sharma</t>
        </is>
      </c>
    </row>
    <row r="565">
      <c r="A565" t="inlineStr">
        <is>
          <t>ORD-2502-0564</t>
        </is>
      </c>
      <c r="B565" s="11" t="n">
        <v>45691</v>
      </c>
      <c r="C565" t="inlineStr">
        <is>
          <t>West</t>
        </is>
      </c>
      <c r="D565" t="inlineStr">
        <is>
          <t>Mumbai</t>
        </is>
      </c>
      <c r="E565" t="inlineStr">
        <is>
          <t>Corporate</t>
        </is>
      </c>
      <c r="F565" t="inlineStr">
        <is>
          <t>Partner</t>
        </is>
      </c>
      <c r="G565" t="inlineStr">
        <is>
          <t>Furniture</t>
        </is>
      </c>
      <c r="H565" t="inlineStr">
        <is>
          <t>Office Chair</t>
        </is>
      </c>
      <c r="I565" t="n">
        <v>3</v>
      </c>
      <c r="J565" s="12" t="n">
        <v>6563.1</v>
      </c>
      <c r="K565" s="13" t="n">
        <v>0.15</v>
      </c>
      <c r="L565" s="12" t="n">
        <v>16735.91</v>
      </c>
      <c r="M565" s="12" t="n">
        <v>14176.3</v>
      </c>
      <c r="N565" s="12" t="n">
        <v>2559.61</v>
      </c>
      <c r="O565" t="inlineStr">
        <is>
          <t>Cash</t>
        </is>
      </c>
      <c r="P565" t="inlineStr">
        <is>
          <t>Kabir Singh</t>
        </is>
      </c>
    </row>
    <row r="566">
      <c r="A566" t="inlineStr">
        <is>
          <t>ORD-2509-0565</t>
        </is>
      </c>
      <c r="B566" s="11" t="n">
        <v>45918</v>
      </c>
      <c r="C566" t="inlineStr">
        <is>
          <t>North</t>
        </is>
      </c>
      <c r="D566" t="inlineStr">
        <is>
          <t>Lucknow</t>
        </is>
      </c>
      <c r="E566" t="inlineStr">
        <is>
          <t>Consumer</t>
        </is>
      </c>
      <c r="F566" t="inlineStr">
        <is>
          <t>Retail Store</t>
        </is>
      </c>
      <c r="G566" t="inlineStr">
        <is>
          <t>Office Supplies</t>
        </is>
      </c>
      <c r="H566" t="inlineStr">
        <is>
          <t>Stapler</t>
        </is>
      </c>
      <c r="I566" t="n">
        <v>4</v>
      </c>
      <c r="J566" s="12" t="n">
        <v>262.34</v>
      </c>
      <c r="K566" s="13" t="n">
        <v>0</v>
      </c>
      <c r="L566" s="12" t="n">
        <v>1049.36</v>
      </c>
      <c r="M566" s="12" t="n">
        <v>734.55</v>
      </c>
      <c r="N566" s="12" t="n">
        <v>314.81</v>
      </c>
      <c r="O566" t="inlineStr">
        <is>
          <t>Cash</t>
        </is>
      </c>
      <c r="P566" t="inlineStr">
        <is>
          <t>Anaya Rao</t>
        </is>
      </c>
    </row>
    <row r="567">
      <c r="A567" t="inlineStr">
        <is>
          <t>ORD-2507-0566</t>
        </is>
      </c>
      <c r="B567" s="11" t="n">
        <v>45863</v>
      </c>
      <c r="C567" t="inlineStr">
        <is>
          <t>Central</t>
        </is>
      </c>
      <c r="D567" t="inlineStr">
        <is>
          <t>Nagpur</t>
        </is>
      </c>
      <c r="E567" t="inlineStr">
        <is>
          <t>Corporate</t>
        </is>
      </c>
      <c r="F567" t="inlineStr">
        <is>
          <t>Online</t>
        </is>
      </c>
      <c r="G567" t="inlineStr">
        <is>
          <t>Technology</t>
        </is>
      </c>
      <c r="H567" t="inlineStr">
        <is>
          <t>Printer</t>
        </is>
      </c>
      <c r="I567" t="n">
        <v>3</v>
      </c>
      <c r="J567" s="12" t="n">
        <v>10220.32</v>
      </c>
      <c r="K567" s="13" t="n">
        <v>0.1</v>
      </c>
      <c r="L567" s="12" t="n">
        <v>27594.86</v>
      </c>
      <c r="M567" s="12" t="n">
        <v>25755.21</v>
      </c>
      <c r="N567" s="12" t="n">
        <v>1839.65</v>
      </c>
      <c r="O567" t="inlineStr">
        <is>
          <t>Net Banking</t>
        </is>
      </c>
      <c r="P567" t="inlineStr">
        <is>
          <t>Meera Joshi</t>
        </is>
      </c>
    </row>
    <row r="568">
      <c r="A568" t="inlineStr">
        <is>
          <t>ORD-2512-0567</t>
        </is>
      </c>
      <c r="B568" s="11" t="n">
        <v>46013</v>
      </c>
      <c r="C568" t="inlineStr">
        <is>
          <t>Central</t>
        </is>
      </c>
      <c r="D568" t="inlineStr">
        <is>
          <t>Nagpur</t>
        </is>
      </c>
      <c r="E568" t="inlineStr">
        <is>
          <t>Small Business</t>
        </is>
      </c>
      <c r="F568" t="inlineStr">
        <is>
          <t>Online</t>
        </is>
      </c>
      <c r="G568" t="inlineStr">
        <is>
          <t>Office Supplies</t>
        </is>
      </c>
      <c r="H568" t="inlineStr">
        <is>
          <t>File Folder</t>
        </is>
      </c>
      <c r="I568" t="n">
        <v>10</v>
      </c>
      <c r="J568" s="12" t="n">
        <v>87.73</v>
      </c>
      <c r="K568" s="13" t="n">
        <v>0.1</v>
      </c>
      <c r="L568" s="12" t="n">
        <v>789.5700000000001</v>
      </c>
      <c r="M568" s="12" t="n">
        <v>543.9299999999999</v>
      </c>
      <c r="N568" s="12" t="n">
        <v>245.64</v>
      </c>
      <c r="O568" t="inlineStr">
        <is>
          <t>UPI</t>
        </is>
      </c>
      <c r="P568" t="inlineStr">
        <is>
          <t>Diya Patel</t>
        </is>
      </c>
    </row>
    <row r="569">
      <c r="A569" t="inlineStr">
        <is>
          <t>ORD-2512-0568</t>
        </is>
      </c>
      <c r="B569" s="11" t="n">
        <v>46022</v>
      </c>
      <c r="C569" t="inlineStr">
        <is>
          <t>Central</t>
        </is>
      </c>
      <c r="D569" t="inlineStr">
        <is>
          <t>Nagpur</t>
        </is>
      </c>
      <c r="E569" t="inlineStr">
        <is>
          <t>Corporate</t>
        </is>
      </c>
      <c r="F569" t="inlineStr">
        <is>
          <t>Online</t>
        </is>
      </c>
      <c r="G569" t="inlineStr">
        <is>
          <t>Technology</t>
        </is>
      </c>
      <c r="H569" t="inlineStr">
        <is>
          <t>Monitor</t>
        </is>
      </c>
      <c r="I569" t="n">
        <v>3</v>
      </c>
      <c r="J569" s="12" t="n">
        <v>12610.18</v>
      </c>
      <c r="K569" s="13" t="n">
        <v>0.05</v>
      </c>
      <c r="L569" s="12" t="n">
        <v>35939.01</v>
      </c>
      <c r="M569" s="12" t="n">
        <v>31021.04</v>
      </c>
      <c r="N569" s="12" t="n">
        <v>4917.97</v>
      </c>
      <c r="O569" t="inlineStr">
        <is>
          <t>Net Banking</t>
        </is>
      </c>
      <c r="P569" t="inlineStr">
        <is>
          <t>Vivaan Gupta</t>
        </is>
      </c>
    </row>
    <row r="570">
      <c r="A570" t="inlineStr">
        <is>
          <t>ORD-2502-0569</t>
        </is>
      </c>
      <c r="B570" s="11" t="n">
        <v>45693</v>
      </c>
      <c r="C570" t="inlineStr">
        <is>
          <t>Central</t>
        </is>
      </c>
      <c r="D570" t="inlineStr">
        <is>
          <t>Bhopal</t>
        </is>
      </c>
      <c r="E570" t="inlineStr">
        <is>
          <t>Corporate</t>
        </is>
      </c>
      <c r="F570" t="inlineStr">
        <is>
          <t>Partner</t>
        </is>
      </c>
      <c r="G570" t="inlineStr">
        <is>
          <t>Office Supplies</t>
        </is>
      </c>
      <c r="H570" t="inlineStr">
        <is>
          <t>Pens Box</t>
        </is>
      </c>
      <c r="I570" t="n">
        <v>5</v>
      </c>
      <c r="J570" s="12" t="n">
        <v>176.51</v>
      </c>
      <c r="K570" s="13" t="n">
        <v>0.1</v>
      </c>
      <c r="L570" s="12" t="n">
        <v>794.29</v>
      </c>
      <c r="M570" s="12" t="n">
        <v>573.66</v>
      </c>
      <c r="N570" s="12" t="n">
        <v>220.63</v>
      </c>
      <c r="O570" t="inlineStr">
        <is>
          <t>Credit Card</t>
        </is>
      </c>
      <c r="P570" t="inlineStr">
        <is>
          <t>Diya Patel</t>
        </is>
      </c>
    </row>
    <row r="571">
      <c r="A571" t="inlineStr">
        <is>
          <t>ORD-2504-0570</t>
        </is>
      </c>
      <c r="B571" s="11" t="n">
        <v>45769</v>
      </c>
      <c r="C571" t="inlineStr">
        <is>
          <t>South</t>
        </is>
      </c>
      <c r="D571" t="inlineStr">
        <is>
          <t>Bengaluru</t>
        </is>
      </c>
      <c r="E571" t="inlineStr">
        <is>
          <t>Corporate</t>
        </is>
      </c>
      <c r="F571" t="inlineStr">
        <is>
          <t>Partner</t>
        </is>
      </c>
      <c r="G571" t="inlineStr">
        <is>
          <t>Office Supplies</t>
        </is>
      </c>
      <c r="H571" t="inlineStr">
        <is>
          <t>File Folder</t>
        </is>
      </c>
      <c r="I571" t="n">
        <v>1</v>
      </c>
      <c r="J571" s="12" t="n">
        <v>90.45</v>
      </c>
      <c r="K571" s="13" t="n">
        <v>0</v>
      </c>
      <c r="L571" s="12" t="n">
        <v>90.45</v>
      </c>
      <c r="M571" s="12" t="n">
        <v>56.08</v>
      </c>
      <c r="N571" s="12" t="n">
        <v>34.37</v>
      </c>
      <c r="O571" t="inlineStr">
        <is>
          <t>Cash</t>
        </is>
      </c>
      <c r="P571" t="inlineStr">
        <is>
          <t>Anaya Rao</t>
        </is>
      </c>
    </row>
    <row r="572">
      <c r="A572" t="inlineStr">
        <is>
          <t>ORD-2504-0571</t>
        </is>
      </c>
      <c r="B572" s="11" t="n">
        <v>45758</v>
      </c>
      <c r="C572" t="inlineStr">
        <is>
          <t>South</t>
        </is>
      </c>
      <c r="D572" t="inlineStr">
        <is>
          <t>Hyderabad</t>
        </is>
      </c>
      <c r="E572" t="inlineStr">
        <is>
          <t>Corporate</t>
        </is>
      </c>
      <c r="F572" t="inlineStr">
        <is>
          <t>Partner</t>
        </is>
      </c>
      <c r="G572" t="inlineStr">
        <is>
          <t>Technology</t>
        </is>
      </c>
      <c r="H572" t="inlineStr">
        <is>
          <t>Headphones</t>
        </is>
      </c>
      <c r="I572" t="n">
        <v>3</v>
      </c>
      <c r="J572" s="12" t="n">
        <v>2131.2</v>
      </c>
      <c r="K572" s="13" t="n">
        <v>0.15</v>
      </c>
      <c r="L572" s="12" t="n">
        <v>5434.56</v>
      </c>
      <c r="M572" s="12" t="n">
        <v>4987.01</v>
      </c>
      <c r="N572" s="12" t="n">
        <v>447.55</v>
      </c>
      <c r="O572" t="inlineStr">
        <is>
          <t>Net Banking</t>
        </is>
      </c>
      <c r="P572" t="inlineStr">
        <is>
          <t>Diya Patel</t>
        </is>
      </c>
    </row>
    <row r="573">
      <c r="A573" t="inlineStr">
        <is>
          <t>ORD-2510-0572</t>
        </is>
      </c>
      <c r="B573" s="11" t="n">
        <v>45956</v>
      </c>
      <c r="C573" t="inlineStr">
        <is>
          <t>North</t>
        </is>
      </c>
      <c r="D573" t="inlineStr">
        <is>
          <t>Lucknow</t>
        </is>
      </c>
      <c r="E573" t="inlineStr">
        <is>
          <t>Small Business</t>
        </is>
      </c>
      <c r="F573" t="inlineStr">
        <is>
          <t>Online</t>
        </is>
      </c>
      <c r="G573" t="inlineStr">
        <is>
          <t>Office Supplies</t>
        </is>
      </c>
      <c r="H573" t="inlineStr">
        <is>
          <t>Stapler</t>
        </is>
      </c>
      <c r="I573" t="n">
        <v>1</v>
      </c>
      <c r="J573" s="12" t="n">
        <v>254.56</v>
      </c>
      <c r="K573" s="13" t="n">
        <v>0.05</v>
      </c>
      <c r="L573" s="12" t="n">
        <v>241.83</v>
      </c>
      <c r="M573" s="12" t="n">
        <v>178.19</v>
      </c>
      <c r="N573" s="12" t="n">
        <v>63.64</v>
      </c>
      <c r="O573" t="inlineStr">
        <is>
          <t>Credit Card</t>
        </is>
      </c>
      <c r="P573" t="inlineStr">
        <is>
          <t>Sara Khan</t>
        </is>
      </c>
    </row>
    <row r="574">
      <c r="A574" t="inlineStr">
        <is>
          <t>ORD-2502-0573</t>
        </is>
      </c>
      <c r="B574" s="11" t="n">
        <v>45714</v>
      </c>
      <c r="C574" t="inlineStr">
        <is>
          <t>East</t>
        </is>
      </c>
      <c r="D574" t="inlineStr">
        <is>
          <t>Kolkata</t>
        </is>
      </c>
      <c r="E574" t="inlineStr">
        <is>
          <t>Small Business</t>
        </is>
      </c>
      <c r="F574" t="inlineStr">
        <is>
          <t>Retail Store</t>
        </is>
      </c>
      <c r="G574" t="inlineStr">
        <is>
          <t>Technology</t>
        </is>
      </c>
      <c r="H574" t="inlineStr">
        <is>
          <t>Printer</t>
        </is>
      </c>
      <c r="I574" t="n">
        <v>2</v>
      </c>
      <c r="J574" s="12" t="n">
        <v>9690.33</v>
      </c>
      <c r="K574" s="13" t="n">
        <v>0.1</v>
      </c>
      <c r="L574" s="12" t="n">
        <v>17442.59</v>
      </c>
      <c r="M574" s="12" t="n">
        <v>16279.75</v>
      </c>
      <c r="N574" s="12" t="n">
        <v>1162.84</v>
      </c>
      <c r="O574" t="inlineStr">
        <is>
          <t>Debit Card</t>
        </is>
      </c>
      <c r="P574" t="inlineStr">
        <is>
          <t>Vivaan Gupta</t>
        </is>
      </c>
    </row>
    <row r="575">
      <c r="A575" t="inlineStr">
        <is>
          <t>ORD-2508-0574</t>
        </is>
      </c>
      <c r="B575" s="11" t="n">
        <v>45880</v>
      </c>
      <c r="C575" t="inlineStr">
        <is>
          <t>Central</t>
        </is>
      </c>
      <c r="D575" t="inlineStr">
        <is>
          <t>Indore</t>
        </is>
      </c>
      <c r="E575" t="inlineStr">
        <is>
          <t>Corporate</t>
        </is>
      </c>
      <c r="F575" t="inlineStr">
        <is>
          <t>Retail Store</t>
        </is>
      </c>
      <c r="G575" t="inlineStr">
        <is>
          <t>Office Supplies</t>
        </is>
      </c>
      <c r="H575" t="inlineStr">
        <is>
          <t>Pens Box</t>
        </is>
      </c>
      <c r="I575" t="n">
        <v>1</v>
      </c>
      <c r="J575" s="12" t="n">
        <v>181.6</v>
      </c>
      <c r="K575" s="13" t="n">
        <v>0</v>
      </c>
      <c r="L575" s="12" t="n">
        <v>181.6</v>
      </c>
      <c r="M575" s="12" t="n">
        <v>118.04</v>
      </c>
      <c r="N575" s="12" t="n">
        <v>63.56</v>
      </c>
      <c r="O575" t="inlineStr">
        <is>
          <t>UPI</t>
        </is>
      </c>
      <c r="P575" t="inlineStr">
        <is>
          <t>Rohan Verma</t>
        </is>
      </c>
    </row>
    <row r="576">
      <c r="A576" t="inlineStr">
        <is>
          <t>ORD-2512-0575</t>
        </is>
      </c>
      <c r="B576" s="11" t="n">
        <v>46001</v>
      </c>
      <c r="C576" t="inlineStr">
        <is>
          <t>South</t>
        </is>
      </c>
      <c r="D576" t="inlineStr">
        <is>
          <t>Chennai</t>
        </is>
      </c>
      <c r="E576" t="inlineStr">
        <is>
          <t>Corporate</t>
        </is>
      </c>
      <c r="F576" t="inlineStr">
        <is>
          <t>Partner</t>
        </is>
      </c>
      <c r="G576" t="inlineStr">
        <is>
          <t>Technology</t>
        </is>
      </c>
      <c r="H576" t="inlineStr">
        <is>
          <t>Laptop</t>
        </is>
      </c>
      <c r="I576" t="n">
        <v>1</v>
      </c>
      <c r="J576" s="12" t="n">
        <v>43487.4</v>
      </c>
      <c r="K576" s="13" t="n">
        <v>0</v>
      </c>
      <c r="L576" s="12" t="n">
        <v>43487.4</v>
      </c>
      <c r="M576" s="12" t="n">
        <v>38268.91</v>
      </c>
      <c r="N576" s="12" t="n">
        <v>5218.49</v>
      </c>
      <c r="O576" t="inlineStr">
        <is>
          <t>Debit Card</t>
        </is>
      </c>
      <c r="P576" t="inlineStr">
        <is>
          <t>Kabir Singh</t>
        </is>
      </c>
    </row>
    <row r="577">
      <c r="A577" t="inlineStr">
        <is>
          <t>ORD-2502-0576</t>
        </is>
      </c>
      <c r="B577" s="11" t="n">
        <v>45701</v>
      </c>
      <c r="C577" t="inlineStr">
        <is>
          <t>South</t>
        </is>
      </c>
      <c r="D577" t="inlineStr">
        <is>
          <t>Kochi</t>
        </is>
      </c>
      <c r="E577" t="inlineStr">
        <is>
          <t>Corporate</t>
        </is>
      </c>
      <c r="F577" t="inlineStr">
        <is>
          <t>Partner</t>
        </is>
      </c>
      <c r="G577" t="inlineStr">
        <is>
          <t>Office Supplies</t>
        </is>
      </c>
      <c r="H577" t="inlineStr">
        <is>
          <t>Stapler</t>
        </is>
      </c>
      <c r="I577" t="n">
        <v>3</v>
      </c>
      <c r="J577" s="12" t="n">
        <v>264.34</v>
      </c>
      <c r="K577" s="13" t="n">
        <v>0.15</v>
      </c>
      <c r="L577" s="12" t="n">
        <v>674.0700000000001</v>
      </c>
      <c r="M577" s="12" t="n">
        <v>555.11</v>
      </c>
      <c r="N577" s="12" t="n">
        <v>118.96</v>
      </c>
      <c r="O577" t="inlineStr">
        <is>
          <t>UPI</t>
        </is>
      </c>
      <c r="P577" t="inlineStr">
        <is>
          <t>Anaya Rao</t>
        </is>
      </c>
    </row>
    <row r="578">
      <c r="A578" t="inlineStr">
        <is>
          <t>ORD-2509-0577</t>
        </is>
      </c>
      <c r="B578" s="11" t="n">
        <v>45918</v>
      </c>
      <c r="C578" t="inlineStr">
        <is>
          <t>West</t>
        </is>
      </c>
      <c r="D578" t="inlineStr">
        <is>
          <t>Surat</t>
        </is>
      </c>
      <c r="E578" t="inlineStr">
        <is>
          <t>Small Business</t>
        </is>
      </c>
      <c r="F578" t="inlineStr">
        <is>
          <t>Retail Store</t>
        </is>
      </c>
      <c r="G578" t="inlineStr">
        <is>
          <t>Furniture</t>
        </is>
      </c>
      <c r="H578" t="inlineStr">
        <is>
          <t>Desk</t>
        </is>
      </c>
      <c r="I578" t="n">
        <v>2</v>
      </c>
      <c r="J578" s="12" t="n">
        <v>11692.41</v>
      </c>
      <c r="K578" s="13" t="n">
        <v>0</v>
      </c>
      <c r="L578" s="12" t="n">
        <v>23384.82</v>
      </c>
      <c r="M578" s="12" t="n">
        <v>17772.46</v>
      </c>
      <c r="N578" s="12" t="n">
        <v>5612.36</v>
      </c>
      <c r="O578" t="inlineStr">
        <is>
          <t>UPI</t>
        </is>
      </c>
      <c r="P578" t="inlineStr">
        <is>
          <t>Rohan Verma</t>
        </is>
      </c>
    </row>
    <row r="579">
      <c r="A579" t="inlineStr">
        <is>
          <t>ORD-2507-0578</t>
        </is>
      </c>
      <c r="B579" s="11" t="n">
        <v>45868</v>
      </c>
      <c r="C579" t="inlineStr">
        <is>
          <t>Central</t>
        </is>
      </c>
      <c r="D579" t="inlineStr">
        <is>
          <t>Raipur</t>
        </is>
      </c>
      <c r="E579" t="inlineStr">
        <is>
          <t>Consumer</t>
        </is>
      </c>
      <c r="F579" t="inlineStr">
        <is>
          <t>Partner</t>
        </is>
      </c>
      <c r="G579" t="inlineStr">
        <is>
          <t>Technology</t>
        </is>
      </c>
      <c r="H579" t="inlineStr">
        <is>
          <t>Laptop</t>
        </is>
      </c>
      <c r="I579" t="n">
        <v>10</v>
      </c>
      <c r="J579" s="12" t="n">
        <v>43376.81</v>
      </c>
      <c r="K579" s="13" t="n">
        <v>0.1</v>
      </c>
      <c r="L579" s="12" t="n">
        <v>390391.29</v>
      </c>
      <c r="M579" s="12" t="n">
        <v>381715.93</v>
      </c>
      <c r="N579" s="12" t="n">
        <v>8675.360000000001</v>
      </c>
      <c r="O579" t="inlineStr">
        <is>
          <t>Debit Card</t>
        </is>
      </c>
      <c r="P579" t="inlineStr">
        <is>
          <t>Diya Patel</t>
        </is>
      </c>
    </row>
    <row r="580">
      <c r="A580" t="inlineStr">
        <is>
          <t>ORD-2503-0579</t>
        </is>
      </c>
      <c r="B580" s="11" t="n">
        <v>45730</v>
      </c>
      <c r="C580" t="inlineStr">
        <is>
          <t>Central</t>
        </is>
      </c>
      <c r="D580" t="inlineStr">
        <is>
          <t>Raipur</t>
        </is>
      </c>
      <c r="E580" t="inlineStr">
        <is>
          <t>Consumer</t>
        </is>
      </c>
      <c r="F580" t="inlineStr">
        <is>
          <t>Retail Store</t>
        </is>
      </c>
      <c r="G580" t="inlineStr">
        <is>
          <t>Furniture</t>
        </is>
      </c>
      <c r="H580" t="inlineStr">
        <is>
          <t>Bookshelf</t>
        </is>
      </c>
      <c r="I580" t="n">
        <v>3</v>
      </c>
      <c r="J580" s="12" t="n">
        <v>5291.58</v>
      </c>
      <c r="K580" s="13" t="n">
        <v>0.1</v>
      </c>
      <c r="L580" s="12" t="n">
        <v>14287.27</v>
      </c>
      <c r="M580" s="12" t="n">
        <v>11747.31</v>
      </c>
      <c r="N580" s="12" t="n">
        <v>2539.96</v>
      </c>
      <c r="O580" t="inlineStr">
        <is>
          <t>Credit Card</t>
        </is>
      </c>
      <c r="P580" t="inlineStr">
        <is>
          <t>Rohan Verma</t>
        </is>
      </c>
    </row>
    <row r="581">
      <c r="A581" t="inlineStr">
        <is>
          <t>ORD-2511-0580</t>
        </is>
      </c>
      <c r="B581" s="11" t="n">
        <v>45971</v>
      </c>
      <c r="C581" t="inlineStr">
        <is>
          <t>North</t>
        </is>
      </c>
      <c r="D581" t="inlineStr">
        <is>
          <t>Chandigarh</t>
        </is>
      </c>
      <c r="E581" t="inlineStr">
        <is>
          <t>Corporate</t>
        </is>
      </c>
      <c r="F581" t="inlineStr">
        <is>
          <t>Partner</t>
        </is>
      </c>
      <c r="G581" t="inlineStr">
        <is>
          <t>Furniture</t>
        </is>
      </c>
      <c r="H581" t="inlineStr">
        <is>
          <t>Storage Cabinet</t>
        </is>
      </c>
      <c r="I581" t="n">
        <v>4</v>
      </c>
      <c r="J581" s="12" t="n">
        <v>8918.030000000001</v>
      </c>
      <c r="K581" s="13" t="n">
        <v>0.05</v>
      </c>
      <c r="L581" s="12" t="n">
        <v>33888.51</v>
      </c>
      <c r="M581" s="12" t="n">
        <v>28537.7</v>
      </c>
      <c r="N581" s="12" t="n">
        <v>5350.81</v>
      </c>
      <c r="O581" t="inlineStr">
        <is>
          <t>Net Banking</t>
        </is>
      </c>
      <c r="P581" t="inlineStr">
        <is>
          <t>Vivaan Gupta</t>
        </is>
      </c>
    </row>
    <row r="582">
      <c r="A582" t="inlineStr">
        <is>
          <t>ORD-2506-0581</t>
        </is>
      </c>
      <c r="B582" s="11" t="n">
        <v>45838</v>
      </c>
      <c r="C582" t="inlineStr">
        <is>
          <t>East</t>
        </is>
      </c>
      <c r="D582" t="inlineStr">
        <is>
          <t>Bhubaneswar</t>
        </is>
      </c>
      <c r="E582" t="inlineStr">
        <is>
          <t>Small Business</t>
        </is>
      </c>
      <c r="F582" t="inlineStr">
        <is>
          <t>Partner</t>
        </is>
      </c>
      <c r="G582" t="inlineStr">
        <is>
          <t>Technology</t>
        </is>
      </c>
      <c r="H582" t="inlineStr">
        <is>
          <t>Keyboard</t>
        </is>
      </c>
      <c r="I582" t="n">
        <v>1</v>
      </c>
      <c r="J582" s="12" t="n">
        <v>1455.87</v>
      </c>
      <c r="K582" s="13" t="n">
        <v>0.15</v>
      </c>
      <c r="L582" s="12" t="n">
        <v>1237.49</v>
      </c>
      <c r="M582" s="12" t="n">
        <v>1091.9</v>
      </c>
      <c r="N582" s="12" t="n">
        <v>145.59</v>
      </c>
      <c r="O582" t="inlineStr">
        <is>
          <t>Net Banking</t>
        </is>
      </c>
      <c r="P582" t="inlineStr">
        <is>
          <t>Aarav Sharma</t>
        </is>
      </c>
    </row>
    <row r="583">
      <c r="A583" t="inlineStr">
        <is>
          <t>ORD-2511-0582</t>
        </is>
      </c>
      <c r="B583" s="11" t="n">
        <v>45980</v>
      </c>
      <c r="C583" t="inlineStr">
        <is>
          <t>West</t>
        </is>
      </c>
      <c r="D583" t="inlineStr">
        <is>
          <t>Pune</t>
        </is>
      </c>
      <c r="E583" t="inlineStr">
        <is>
          <t>Small Business</t>
        </is>
      </c>
      <c r="F583" t="inlineStr">
        <is>
          <t>Online</t>
        </is>
      </c>
      <c r="G583" t="inlineStr">
        <is>
          <t>Office Supplies</t>
        </is>
      </c>
      <c r="H583" t="inlineStr">
        <is>
          <t>Notebook Pack</t>
        </is>
      </c>
      <c r="I583" t="n">
        <v>1</v>
      </c>
      <c r="J583" s="12" t="n">
        <v>367.3</v>
      </c>
      <c r="K583" s="13" t="n">
        <v>0.2</v>
      </c>
      <c r="L583" s="12" t="n">
        <v>293.84</v>
      </c>
      <c r="M583" s="12" t="n">
        <v>249.76</v>
      </c>
      <c r="N583" s="12" t="n">
        <v>44.08</v>
      </c>
      <c r="O583" t="inlineStr">
        <is>
          <t>Net Banking</t>
        </is>
      </c>
      <c r="P583" t="inlineStr">
        <is>
          <t>Anaya Rao</t>
        </is>
      </c>
    </row>
    <row r="584">
      <c r="A584" t="inlineStr">
        <is>
          <t>ORD-2502-0583</t>
        </is>
      </c>
      <c r="B584" s="11" t="n">
        <v>45700</v>
      </c>
      <c r="C584" t="inlineStr">
        <is>
          <t>South</t>
        </is>
      </c>
      <c r="D584" t="inlineStr">
        <is>
          <t>Bengaluru</t>
        </is>
      </c>
      <c r="E584" t="inlineStr">
        <is>
          <t>Corporate</t>
        </is>
      </c>
      <c r="F584" t="inlineStr">
        <is>
          <t>Retail Store</t>
        </is>
      </c>
      <c r="G584" t="inlineStr">
        <is>
          <t>Office Supplies</t>
        </is>
      </c>
      <c r="H584" t="inlineStr">
        <is>
          <t>Stapler</t>
        </is>
      </c>
      <c r="I584" t="n">
        <v>5</v>
      </c>
      <c r="J584" s="12" t="n">
        <v>264.82</v>
      </c>
      <c r="K584" s="13" t="n">
        <v>0</v>
      </c>
      <c r="L584" s="12" t="n">
        <v>1324.1</v>
      </c>
      <c r="M584" s="12" t="n">
        <v>926.87</v>
      </c>
      <c r="N584" s="12" t="n">
        <v>397.23</v>
      </c>
      <c r="O584" t="inlineStr">
        <is>
          <t>Credit Card</t>
        </is>
      </c>
      <c r="P584" t="inlineStr">
        <is>
          <t>Diya Patel</t>
        </is>
      </c>
    </row>
    <row r="585">
      <c r="A585" t="inlineStr">
        <is>
          <t>ORD-2511-0584</t>
        </is>
      </c>
      <c r="B585" s="11" t="n">
        <v>45967</v>
      </c>
      <c r="C585" t="inlineStr">
        <is>
          <t>South</t>
        </is>
      </c>
      <c r="D585" t="inlineStr">
        <is>
          <t>Chennai</t>
        </is>
      </c>
      <c r="E585" t="inlineStr">
        <is>
          <t>Small Business</t>
        </is>
      </c>
      <c r="F585" t="inlineStr">
        <is>
          <t>Online</t>
        </is>
      </c>
      <c r="G585" t="inlineStr">
        <is>
          <t>Office Supplies</t>
        </is>
      </c>
      <c r="H585" t="inlineStr">
        <is>
          <t>Pens Box</t>
        </is>
      </c>
      <c r="I585" t="n">
        <v>3</v>
      </c>
      <c r="J585" s="12" t="n">
        <v>173.12</v>
      </c>
      <c r="K585" s="13" t="n">
        <v>0.15</v>
      </c>
      <c r="L585" s="12" t="n">
        <v>441.46</v>
      </c>
      <c r="M585" s="12" t="n">
        <v>337.58</v>
      </c>
      <c r="N585" s="12" t="n">
        <v>103.88</v>
      </c>
      <c r="O585" t="inlineStr">
        <is>
          <t>Debit Card</t>
        </is>
      </c>
      <c r="P585" t="inlineStr">
        <is>
          <t>Kabir Singh</t>
        </is>
      </c>
    </row>
    <row r="586">
      <c r="A586" t="inlineStr">
        <is>
          <t>ORD-2509-0585</t>
        </is>
      </c>
      <c r="B586" s="11" t="n">
        <v>45928</v>
      </c>
      <c r="C586" t="inlineStr">
        <is>
          <t>North</t>
        </is>
      </c>
      <c r="D586" t="inlineStr">
        <is>
          <t>Chandigarh</t>
        </is>
      </c>
      <c r="E586" t="inlineStr">
        <is>
          <t>Corporate</t>
        </is>
      </c>
      <c r="F586" t="inlineStr">
        <is>
          <t>Retail Store</t>
        </is>
      </c>
      <c r="G586" t="inlineStr">
        <is>
          <t>Technology</t>
        </is>
      </c>
      <c r="H586" t="inlineStr">
        <is>
          <t>Monitor</t>
        </is>
      </c>
      <c r="I586" t="n">
        <v>8</v>
      </c>
      <c r="J586" s="12" t="n">
        <v>13143.45</v>
      </c>
      <c r="K586" s="13" t="n">
        <v>0.1</v>
      </c>
      <c r="L586" s="12" t="n">
        <v>94632.84</v>
      </c>
      <c r="M586" s="12" t="n">
        <v>86221.03</v>
      </c>
      <c r="N586" s="12" t="n">
        <v>8411.809999999999</v>
      </c>
      <c r="O586" t="inlineStr">
        <is>
          <t>Debit Card</t>
        </is>
      </c>
      <c r="P586" t="inlineStr">
        <is>
          <t>Meera Joshi</t>
        </is>
      </c>
    </row>
    <row r="587">
      <c r="A587" t="inlineStr">
        <is>
          <t>ORD-2512-0586</t>
        </is>
      </c>
      <c r="B587" s="11" t="n">
        <v>45996</v>
      </c>
      <c r="C587" t="inlineStr">
        <is>
          <t>West</t>
        </is>
      </c>
      <c r="D587" t="inlineStr">
        <is>
          <t>Pune</t>
        </is>
      </c>
      <c r="E587" t="inlineStr">
        <is>
          <t>Corporate</t>
        </is>
      </c>
      <c r="F587" t="inlineStr">
        <is>
          <t>Online</t>
        </is>
      </c>
      <c r="G587" t="inlineStr">
        <is>
          <t>Technology</t>
        </is>
      </c>
      <c r="H587" t="inlineStr">
        <is>
          <t>Printer</t>
        </is>
      </c>
      <c r="I587" t="n">
        <v>3</v>
      </c>
      <c r="J587" s="12" t="n">
        <v>8822.58</v>
      </c>
      <c r="K587" s="13" t="n">
        <v>0.15</v>
      </c>
      <c r="L587" s="12" t="n">
        <v>22497.58</v>
      </c>
      <c r="M587" s="12" t="n">
        <v>22232.9</v>
      </c>
      <c r="N587" s="12" t="n">
        <v>264.68</v>
      </c>
      <c r="O587" t="inlineStr">
        <is>
          <t>Credit Card</t>
        </is>
      </c>
      <c r="P587" t="inlineStr">
        <is>
          <t>Kabir Singh</t>
        </is>
      </c>
    </row>
    <row r="588">
      <c r="A588" t="inlineStr">
        <is>
          <t>ORD-2508-0587</t>
        </is>
      </c>
      <c r="B588" s="11" t="n">
        <v>45895</v>
      </c>
      <c r="C588" t="inlineStr">
        <is>
          <t>West</t>
        </is>
      </c>
      <c r="D588" t="inlineStr">
        <is>
          <t>Surat</t>
        </is>
      </c>
      <c r="E588" t="inlineStr">
        <is>
          <t>Consumer</t>
        </is>
      </c>
      <c r="F588" t="inlineStr">
        <is>
          <t>Retail Store</t>
        </is>
      </c>
      <c r="G588" t="inlineStr">
        <is>
          <t>Technology</t>
        </is>
      </c>
      <c r="H588" t="inlineStr">
        <is>
          <t>Headphones</t>
        </is>
      </c>
      <c r="I588" t="n">
        <v>3</v>
      </c>
      <c r="J588" s="12" t="n">
        <v>2348.71</v>
      </c>
      <c r="K588" s="13" t="n">
        <v>0.2</v>
      </c>
      <c r="L588" s="12" t="n">
        <v>5636.9</v>
      </c>
      <c r="M588" s="12" t="n">
        <v>5495.98</v>
      </c>
      <c r="N588" s="12" t="n">
        <v>140.92</v>
      </c>
      <c r="O588" t="inlineStr">
        <is>
          <t>Debit Card</t>
        </is>
      </c>
      <c r="P588" t="inlineStr">
        <is>
          <t>Anaya Rao</t>
        </is>
      </c>
    </row>
    <row r="589">
      <c r="A589" t="inlineStr">
        <is>
          <t>ORD-2505-0588</t>
        </is>
      </c>
      <c r="B589" s="11" t="n">
        <v>45792</v>
      </c>
      <c r="C589" t="inlineStr">
        <is>
          <t>South</t>
        </is>
      </c>
      <c r="D589" t="inlineStr">
        <is>
          <t>Kochi</t>
        </is>
      </c>
      <c r="E589" t="inlineStr">
        <is>
          <t>Corporate</t>
        </is>
      </c>
      <c r="F589" t="inlineStr">
        <is>
          <t>Partner</t>
        </is>
      </c>
      <c r="G589" t="inlineStr">
        <is>
          <t>Technology</t>
        </is>
      </c>
      <c r="H589" t="inlineStr">
        <is>
          <t>Laptop</t>
        </is>
      </c>
      <c r="I589" t="n">
        <v>2</v>
      </c>
      <c r="J589" s="12" t="n">
        <v>41207.07</v>
      </c>
      <c r="K589" s="13" t="n">
        <v>0.15</v>
      </c>
      <c r="L589" s="12" t="n">
        <v>70052.02</v>
      </c>
      <c r="M589" s="12" t="n">
        <v>72524.44</v>
      </c>
      <c r="N589" s="12" t="n">
        <v>-2472.42</v>
      </c>
      <c r="O589" t="inlineStr">
        <is>
          <t>Credit Card</t>
        </is>
      </c>
      <c r="P589" t="inlineStr">
        <is>
          <t>Diya Patel</t>
        </is>
      </c>
    </row>
    <row r="590">
      <c r="A590" t="inlineStr">
        <is>
          <t>ORD-2509-0589</t>
        </is>
      </c>
      <c r="B590" s="11" t="n">
        <v>45930</v>
      </c>
      <c r="C590" t="inlineStr">
        <is>
          <t>East</t>
        </is>
      </c>
      <c r="D590" t="inlineStr">
        <is>
          <t>Guwahati</t>
        </is>
      </c>
      <c r="E590" t="inlineStr">
        <is>
          <t>Corporate</t>
        </is>
      </c>
      <c r="F590" t="inlineStr">
        <is>
          <t>Online</t>
        </is>
      </c>
      <c r="G590" t="inlineStr">
        <is>
          <t>Office Supplies</t>
        </is>
      </c>
      <c r="H590" t="inlineStr">
        <is>
          <t>Notebook Pack</t>
        </is>
      </c>
      <c r="I590" t="n">
        <v>6</v>
      </c>
      <c r="J590" s="12" t="n">
        <v>340.76</v>
      </c>
      <c r="K590" s="13" t="n">
        <v>0.15</v>
      </c>
      <c r="L590" s="12" t="n">
        <v>1737.88</v>
      </c>
      <c r="M590" s="12" t="n">
        <v>1390.3</v>
      </c>
      <c r="N590" s="12" t="n">
        <v>347.58</v>
      </c>
      <c r="O590" t="inlineStr">
        <is>
          <t>Net Banking</t>
        </is>
      </c>
      <c r="P590" t="inlineStr">
        <is>
          <t>Vivaan Gupta</t>
        </is>
      </c>
    </row>
    <row r="591">
      <c r="A591" t="inlineStr">
        <is>
          <t>ORD-2508-0590</t>
        </is>
      </c>
      <c r="B591" s="11" t="n">
        <v>45894</v>
      </c>
      <c r="C591" t="inlineStr">
        <is>
          <t>South</t>
        </is>
      </c>
      <c r="D591" t="inlineStr">
        <is>
          <t>Chennai</t>
        </is>
      </c>
      <c r="E591" t="inlineStr">
        <is>
          <t>Small Business</t>
        </is>
      </c>
      <c r="F591" t="inlineStr">
        <is>
          <t>Online</t>
        </is>
      </c>
      <c r="G591" t="inlineStr">
        <is>
          <t>Furniture</t>
        </is>
      </c>
      <c r="H591" t="inlineStr">
        <is>
          <t>Storage Cabinet</t>
        </is>
      </c>
      <c r="I591" t="n">
        <v>2</v>
      </c>
      <c r="J591" s="12" t="n">
        <v>8444.200000000001</v>
      </c>
      <c r="K591" s="13" t="n">
        <v>0.1</v>
      </c>
      <c r="L591" s="12" t="n">
        <v>15199.56</v>
      </c>
      <c r="M591" s="12" t="n">
        <v>13510.72</v>
      </c>
      <c r="N591" s="12" t="n">
        <v>1688.84</v>
      </c>
      <c r="O591" t="inlineStr">
        <is>
          <t>Credit Card</t>
        </is>
      </c>
      <c r="P591" t="inlineStr">
        <is>
          <t>Diya Patel</t>
        </is>
      </c>
    </row>
    <row r="592">
      <c r="A592" t="inlineStr">
        <is>
          <t>ORD-2501-0591</t>
        </is>
      </c>
      <c r="B592" s="11" t="n">
        <v>45664</v>
      </c>
      <c r="C592" t="inlineStr">
        <is>
          <t>West</t>
        </is>
      </c>
      <c r="D592" t="inlineStr">
        <is>
          <t>Mumbai</t>
        </is>
      </c>
      <c r="E592" t="inlineStr">
        <is>
          <t>Corporate</t>
        </is>
      </c>
      <c r="F592" t="inlineStr">
        <is>
          <t>Retail Store</t>
        </is>
      </c>
      <c r="G592" t="inlineStr">
        <is>
          <t>Furniture</t>
        </is>
      </c>
      <c r="H592" t="inlineStr">
        <is>
          <t>Storage Cabinet</t>
        </is>
      </c>
      <c r="I592" t="n">
        <v>1</v>
      </c>
      <c r="J592" s="12" t="n">
        <v>8500.450000000001</v>
      </c>
      <c r="K592" s="13" t="n">
        <v>0.05</v>
      </c>
      <c r="L592" s="12" t="n">
        <v>8075.43</v>
      </c>
      <c r="M592" s="12" t="n">
        <v>6800.36</v>
      </c>
      <c r="N592" s="12" t="n">
        <v>1275.07</v>
      </c>
      <c r="O592" t="inlineStr">
        <is>
          <t>UPI</t>
        </is>
      </c>
      <c r="P592" t="inlineStr">
        <is>
          <t>Aarav Sharma</t>
        </is>
      </c>
    </row>
    <row r="593">
      <c r="A593" t="inlineStr">
        <is>
          <t>ORD-2501-0592</t>
        </is>
      </c>
      <c r="B593" s="11" t="n">
        <v>45670</v>
      </c>
      <c r="C593" t="inlineStr">
        <is>
          <t>Central</t>
        </is>
      </c>
      <c r="D593" t="inlineStr">
        <is>
          <t>Bhopal</t>
        </is>
      </c>
      <c r="E593" t="inlineStr">
        <is>
          <t>Small Business</t>
        </is>
      </c>
      <c r="F593" t="inlineStr">
        <is>
          <t>Partner</t>
        </is>
      </c>
      <c r="G593" t="inlineStr">
        <is>
          <t>Technology</t>
        </is>
      </c>
      <c r="H593" t="inlineStr">
        <is>
          <t>Laptop</t>
        </is>
      </c>
      <c r="I593" t="n">
        <v>8</v>
      </c>
      <c r="J593" s="12" t="n">
        <v>44254.29</v>
      </c>
      <c r="K593" s="13" t="n">
        <v>0.1</v>
      </c>
      <c r="L593" s="12" t="n">
        <v>318630.89</v>
      </c>
      <c r="M593" s="12" t="n">
        <v>311550.2</v>
      </c>
      <c r="N593" s="12" t="n">
        <v>7080.69</v>
      </c>
      <c r="O593" t="inlineStr">
        <is>
          <t>Credit Card</t>
        </is>
      </c>
      <c r="P593" t="inlineStr">
        <is>
          <t>Diya Patel</t>
        </is>
      </c>
    </row>
    <row r="594">
      <c r="A594" t="inlineStr">
        <is>
          <t>ORD-2502-0593</t>
        </is>
      </c>
      <c r="B594" s="11" t="n">
        <v>45702</v>
      </c>
      <c r="C594" t="inlineStr">
        <is>
          <t>Central</t>
        </is>
      </c>
      <c r="D594" t="inlineStr">
        <is>
          <t>Indore</t>
        </is>
      </c>
      <c r="E594" t="inlineStr">
        <is>
          <t>Consumer</t>
        </is>
      </c>
      <c r="F594" t="inlineStr">
        <is>
          <t>Online</t>
        </is>
      </c>
      <c r="G594" t="inlineStr">
        <is>
          <t>Furniture</t>
        </is>
      </c>
      <c r="H594" t="inlineStr">
        <is>
          <t>Desk</t>
        </is>
      </c>
      <c r="I594" t="n">
        <v>4</v>
      </c>
      <c r="J594" s="12" t="n">
        <v>11621.57</v>
      </c>
      <c r="K594" s="13" t="n">
        <v>0.15</v>
      </c>
      <c r="L594" s="12" t="n">
        <v>39513.34</v>
      </c>
      <c r="M594" s="12" t="n">
        <v>35329.57</v>
      </c>
      <c r="N594" s="12" t="n">
        <v>4183.77</v>
      </c>
      <c r="O594" t="inlineStr">
        <is>
          <t>UPI</t>
        </is>
      </c>
      <c r="P594" t="inlineStr">
        <is>
          <t>Rohan Verma</t>
        </is>
      </c>
    </row>
    <row r="595">
      <c r="A595" t="inlineStr">
        <is>
          <t>ORD-2505-0594</t>
        </is>
      </c>
      <c r="B595" s="11" t="n">
        <v>45808</v>
      </c>
      <c r="C595" t="inlineStr">
        <is>
          <t>West</t>
        </is>
      </c>
      <c r="D595" t="inlineStr">
        <is>
          <t>Mumbai</t>
        </is>
      </c>
      <c r="E595" t="inlineStr">
        <is>
          <t>Small Business</t>
        </is>
      </c>
      <c r="F595" t="inlineStr">
        <is>
          <t>Partner</t>
        </is>
      </c>
      <c r="G595" t="inlineStr">
        <is>
          <t>Office Supplies</t>
        </is>
      </c>
      <c r="H595" t="inlineStr">
        <is>
          <t>Pens Box</t>
        </is>
      </c>
      <c r="I595" t="n">
        <v>3</v>
      </c>
      <c r="J595" s="12" t="n">
        <v>187.76</v>
      </c>
      <c r="K595" s="13" t="n">
        <v>0.2</v>
      </c>
      <c r="L595" s="12" t="n">
        <v>450.62</v>
      </c>
      <c r="M595" s="12" t="n">
        <v>366.13</v>
      </c>
      <c r="N595" s="12" t="n">
        <v>84.48999999999999</v>
      </c>
      <c r="O595" t="inlineStr">
        <is>
          <t>Net Banking</t>
        </is>
      </c>
      <c r="P595" t="inlineStr">
        <is>
          <t>Rohan Verma</t>
        </is>
      </c>
    </row>
    <row r="596">
      <c r="A596" t="inlineStr">
        <is>
          <t>ORD-2503-0595</t>
        </is>
      </c>
      <c r="B596" s="11" t="n">
        <v>45740</v>
      </c>
      <c r="C596" t="inlineStr">
        <is>
          <t>North</t>
        </is>
      </c>
      <c r="D596" t="inlineStr">
        <is>
          <t>Chandigarh</t>
        </is>
      </c>
      <c r="E596" t="inlineStr">
        <is>
          <t>Corporate</t>
        </is>
      </c>
      <c r="F596" t="inlineStr">
        <is>
          <t>Retail Store</t>
        </is>
      </c>
      <c r="G596" t="inlineStr">
        <is>
          <t>Office Supplies</t>
        </is>
      </c>
      <c r="H596" t="inlineStr">
        <is>
          <t>File Folder</t>
        </is>
      </c>
      <c r="I596" t="n">
        <v>1</v>
      </c>
      <c r="J596" s="12" t="n">
        <v>97.14</v>
      </c>
      <c r="K596" s="13" t="n">
        <v>0.05</v>
      </c>
      <c r="L596" s="12" t="n">
        <v>92.28</v>
      </c>
      <c r="M596" s="12" t="n">
        <v>60.23</v>
      </c>
      <c r="N596" s="12" t="n">
        <v>32.05</v>
      </c>
      <c r="O596" t="inlineStr">
        <is>
          <t>UPI</t>
        </is>
      </c>
      <c r="P596" t="inlineStr">
        <is>
          <t>Anaya Rao</t>
        </is>
      </c>
    </row>
    <row r="597">
      <c r="A597" t="inlineStr">
        <is>
          <t>ORD-2502-0596</t>
        </is>
      </c>
      <c r="B597" s="11" t="n">
        <v>45693</v>
      </c>
      <c r="C597" t="inlineStr">
        <is>
          <t>West</t>
        </is>
      </c>
      <c r="D597" t="inlineStr">
        <is>
          <t>Pune</t>
        </is>
      </c>
      <c r="E597" t="inlineStr">
        <is>
          <t>Small Business</t>
        </is>
      </c>
      <c r="F597" t="inlineStr">
        <is>
          <t>Retail Store</t>
        </is>
      </c>
      <c r="G597" t="inlineStr">
        <is>
          <t>Office Supplies</t>
        </is>
      </c>
      <c r="H597" t="inlineStr">
        <is>
          <t>Notebook Pack</t>
        </is>
      </c>
      <c r="I597" t="n">
        <v>2</v>
      </c>
      <c r="J597" s="12" t="n">
        <v>328.07</v>
      </c>
      <c r="K597" s="13" t="n">
        <v>0.1</v>
      </c>
      <c r="L597" s="12" t="n">
        <v>590.53</v>
      </c>
      <c r="M597" s="12" t="n">
        <v>446.18</v>
      </c>
      <c r="N597" s="12" t="n">
        <v>144.35</v>
      </c>
      <c r="O597" t="inlineStr">
        <is>
          <t>UPI</t>
        </is>
      </c>
      <c r="P597" t="inlineStr">
        <is>
          <t>Diya Patel</t>
        </is>
      </c>
    </row>
    <row r="598">
      <c r="A598" t="inlineStr">
        <is>
          <t>ORD-2508-0597</t>
        </is>
      </c>
      <c r="B598" s="11" t="n">
        <v>45884</v>
      </c>
      <c r="C598" t="inlineStr">
        <is>
          <t>East</t>
        </is>
      </c>
      <c r="D598" t="inlineStr">
        <is>
          <t>Kolkata</t>
        </is>
      </c>
      <c r="E598" t="inlineStr">
        <is>
          <t>Corporate</t>
        </is>
      </c>
      <c r="F598" t="inlineStr">
        <is>
          <t>Online</t>
        </is>
      </c>
      <c r="G598" t="inlineStr">
        <is>
          <t>Technology</t>
        </is>
      </c>
      <c r="H598" t="inlineStr">
        <is>
          <t>Laptop</t>
        </is>
      </c>
      <c r="I598" t="n">
        <v>1</v>
      </c>
      <c r="J598" s="12" t="n">
        <v>40324.01</v>
      </c>
      <c r="K598" s="13" t="n">
        <v>0.1</v>
      </c>
      <c r="L598" s="12" t="n">
        <v>36291.61</v>
      </c>
      <c r="M598" s="12" t="n">
        <v>35485.13</v>
      </c>
      <c r="N598" s="12" t="n">
        <v>806.48</v>
      </c>
      <c r="O598" t="inlineStr">
        <is>
          <t>Debit Card</t>
        </is>
      </c>
      <c r="P598" t="inlineStr">
        <is>
          <t>Kabir Singh</t>
        </is>
      </c>
    </row>
    <row r="599">
      <c r="A599" t="inlineStr">
        <is>
          <t>ORD-2512-0598</t>
        </is>
      </c>
      <c r="B599" s="11" t="n">
        <v>45992</v>
      </c>
      <c r="C599" t="inlineStr">
        <is>
          <t>North</t>
        </is>
      </c>
      <c r="D599" t="inlineStr">
        <is>
          <t>Delhi</t>
        </is>
      </c>
      <c r="E599" t="inlineStr">
        <is>
          <t>Corporate</t>
        </is>
      </c>
      <c r="F599" t="inlineStr">
        <is>
          <t>Partner</t>
        </is>
      </c>
      <c r="G599" t="inlineStr">
        <is>
          <t>Office Supplies</t>
        </is>
      </c>
      <c r="H599" t="inlineStr">
        <is>
          <t>Pens Box</t>
        </is>
      </c>
      <c r="I599" t="n">
        <v>2</v>
      </c>
      <c r="J599" s="12" t="n">
        <v>175.1</v>
      </c>
      <c r="K599" s="13" t="n">
        <v>0</v>
      </c>
      <c r="L599" s="12" t="n">
        <v>350.2</v>
      </c>
      <c r="M599" s="12" t="n">
        <v>227.63</v>
      </c>
      <c r="N599" s="12" t="n">
        <v>122.57</v>
      </c>
      <c r="O599" t="inlineStr">
        <is>
          <t>Credit Card</t>
        </is>
      </c>
      <c r="P599" t="inlineStr">
        <is>
          <t>Anaya Rao</t>
        </is>
      </c>
    </row>
    <row r="600">
      <c r="A600" t="inlineStr">
        <is>
          <t>ORD-2509-0599</t>
        </is>
      </c>
      <c r="B600" s="11" t="n">
        <v>45902</v>
      </c>
      <c r="C600" t="inlineStr">
        <is>
          <t>West</t>
        </is>
      </c>
      <c r="D600" t="inlineStr">
        <is>
          <t>Surat</t>
        </is>
      </c>
      <c r="E600" t="inlineStr">
        <is>
          <t>Consumer</t>
        </is>
      </c>
      <c r="F600" t="inlineStr">
        <is>
          <t>Online</t>
        </is>
      </c>
      <c r="G600" t="inlineStr">
        <is>
          <t>Office Supplies</t>
        </is>
      </c>
      <c r="H600" t="inlineStr">
        <is>
          <t>Stapler</t>
        </is>
      </c>
      <c r="I600" t="n">
        <v>4</v>
      </c>
      <c r="J600" s="12" t="n">
        <v>242.12</v>
      </c>
      <c r="K600" s="13" t="n">
        <v>0.15</v>
      </c>
      <c r="L600" s="12" t="n">
        <v>823.21</v>
      </c>
      <c r="M600" s="12" t="n">
        <v>677.9400000000001</v>
      </c>
      <c r="N600" s="12" t="n">
        <v>145.27</v>
      </c>
      <c r="O600" t="inlineStr">
        <is>
          <t>Debit Card</t>
        </is>
      </c>
      <c r="P600" t="inlineStr">
        <is>
          <t>Anaya Rao</t>
        </is>
      </c>
    </row>
    <row r="601">
      <c r="A601" t="inlineStr">
        <is>
          <t>ORD-2503-0600</t>
        </is>
      </c>
      <c r="B601" s="11" t="n">
        <v>45720</v>
      </c>
      <c r="C601" t="inlineStr">
        <is>
          <t>Central</t>
        </is>
      </c>
      <c r="D601" t="inlineStr">
        <is>
          <t>Raipur</t>
        </is>
      </c>
      <c r="E601" t="inlineStr">
        <is>
          <t>Small Business</t>
        </is>
      </c>
      <c r="F601" t="inlineStr">
        <is>
          <t>Online</t>
        </is>
      </c>
      <c r="G601" t="inlineStr">
        <is>
          <t>Furniture</t>
        </is>
      </c>
      <c r="H601" t="inlineStr">
        <is>
          <t>Office Chair</t>
        </is>
      </c>
      <c r="I601" t="n">
        <v>4</v>
      </c>
      <c r="J601" s="12" t="n">
        <v>6943.91</v>
      </c>
      <c r="K601" s="13" t="n">
        <v>0.05</v>
      </c>
      <c r="L601" s="12" t="n">
        <v>26386.86</v>
      </c>
      <c r="M601" s="12" t="n">
        <v>19998.46</v>
      </c>
      <c r="N601" s="12" t="n">
        <v>6388.4</v>
      </c>
      <c r="O601" t="inlineStr">
        <is>
          <t>Net Banking</t>
        </is>
      </c>
      <c r="P601" t="inlineStr">
        <is>
          <t>Sara Khan</t>
        </is>
      </c>
    </row>
    <row r="602">
      <c r="A602" t="inlineStr">
        <is>
          <t>ORD-2502-0601</t>
        </is>
      </c>
      <c r="B602" s="11" t="n">
        <v>45699</v>
      </c>
      <c r="C602" t="inlineStr">
        <is>
          <t>West</t>
        </is>
      </c>
      <c r="D602" t="inlineStr">
        <is>
          <t>Ahmedabad</t>
        </is>
      </c>
      <c r="E602" t="inlineStr">
        <is>
          <t>Small Business</t>
        </is>
      </c>
      <c r="F602" t="inlineStr">
        <is>
          <t>Online</t>
        </is>
      </c>
      <c r="G602" t="inlineStr">
        <is>
          <t>Office Supplies</t>
        </is>
      </c>
      <c r="H602" t="inlineStr">
        <is>
          <t>Pens Box</t>
        </is>
      </c>
      <c r="I602" t="n">
        <v>2</v>
      </c>
      <c r="J602" s="12" t="n">
        <v>193.46</v>
      </c>
      <c r="K602" s="13" t="n">
        <v>0.1</v>
      </c>
      <c r="L602" s="12" t="n">
        <v>348.23</v>
      </c>
      <c r="M602" s="12" t="n">
        <v>251.5</v>
      </c>
      <c r="N602" s="12" t="n">
        <v>96.73</v>
      </c>
      <c r="O602" t="inlineStr">
        <is>
          <t>Net Banking</t>
        </is>
      </c>
      <c r="P602" t="inlineStr">
        <is>
          <t>Vivaan Gupta</t>
        </is>
      </c>
    </row>
    <row r="603">
      <c r="A603" t="inlineStr">
        <is>
          <t>ORD-2502-0602</t>
        </is>
      </c>
      <c r="B603" s="11" t="n">
        <v>45712</v>
      </c>
      <c r="C603" t="inlineStr">
        <is>
          <t>East</t>
        </is>
      </c>
      <c r="D603" t="inlineStr">
        <is>
          <t>Guwahati</t>
        </is>
      </c>
      <c r="E603" t="inlineStr">
        <is>
          <t>Consumer</t>
        </is>
      </c>
      <c r="F603" t="inlineStr">
        <is>
          <t>Online</t>
        </is>
      </c>
      <c r="G603" t="inlineStr">
        <is>
          <t>Technology</t>
        </is>
      </c>
      <c r="H603" t="inlineStr">
        <is>
          <t>Monitor</t>
        </is>
      </c>
      <c r="I603" t="n">
        <v>6</v>
      </c>
      <c r="J603" s="12" t="n">
        <v>11878.93</v>
      </c>
      <c r="K603" s="13" t="n">
        <v>0.05</v>
      </c>
      <c r="L603" s="12" t="n">
        <v>67709.89999999999</v>
      </c>
      <c r="M603" s="12" t="n">
        <v>58444.34</v>
      </c>
      <c r="N603" s="12" t="n">
        <v>9265.559999999999</v>
      </c>
      <c r="O603" t="inlineStr">
        <is>
          <t>Credit Card</t>
        </is>
      </c>
      <c r="P603" t="inlineStr">
        <is>
          <t>Meera Joshi</t>
        </is>
      </c>
    </row>
    <row r="604">
      <c r="A604" t="inlineStr">
        <is>
          <t>ORD-2509-0603</t>
        </is>
      </c>
      <c r="B604" s="11" t="n">
        <v>45908</v>
      </c>
      <c r="C604" t="inlineStr">
        <is>
          <t>West</t>
        </is>
      </c>
      <c r="D604" t="inlineStr">
        <is>
          <t>Mumbai</t>
        </is>
      </c>
      <c r="E604" t="inlineStr">
        <is>
          <t>Corporate</t>
        </is>
      </c>
      <c r="F604" t="inlineStr">
        <is>
          <t>Online</t>
        </is>
      </c>
      <c r="G604" t="inlineStr">
        <is>
          <t>Office Supplies</t>
        </is>
      </c>
      <c r="H604" t="inlineStr">
        <is>
          <t>File Folder</t>
        </is>
      </c>
      <c r="I604" t="n">
        <v>3</v>
      </c>
      <c r="J604" s="12" t="n">
        <v>90.48999999999999</v>
      </c>
      <c r="K604" s="13" t="n">
        <v>0.05</v>
      </c>
      <c r="L604" s="12" t="n">
        <v>257.9</v>
      </c>
      <c r="M604" s="12" t="n">
        <v>168.31</v>
      </c>
      <c r="N604" s="12" t="n">
        <v>89.59</v>
      </c>
      <c r="O604" t="inlineStr">
        <is>
          <t>Credit Card</t>
        </is>
      </c>
      <c r="P604" t="inlineStr">
        <is>
          <t>Sara Khan</t>
        </is>
      </c>
    </row>
    <row r="605">
      <c r="A605" t="inlineStr">
        <is>
          <t>ORD-2501-0604</t>
        </is>
      </c>
      <c r="B605" s="11" t="n">
        <v>45686</v>
      </c>
      <c r="C605" t="inlineStr">
        <is>
          <t>East</t>
        </is>
      </c>
      <c r="D605" t="inlineStr">
        <is>
          <t>Kolkata</t>
        </is>
      </c>
      <c r="E605" t="inlineStr">
        <is>
          <t>Corporate</t>
        </is>
      </c>
      <c r="F605" t="inlineStr">
        <is>
          <t>Partner</t>
        </is>
      </c>
      <c r="G605" t="inlineStr">
        <is>
          <t>Furniture</t>
        </is>
      </c>
      <c r="H605" t="inlineStr">
        <is>
          <t>Desk</t>
        </is>
      </c>
      <c r="I605" t="n">
        <v>1</v>
      </c>
      <c r="J605" s="12" t="n">
        <v>11807.86</v>
      </c>
      <c r="K605" s="13" t="n">
        <v>0.15</v>
      </c>
      <c r="L605" s="12" t="n">
        <v>10036.68</v>
      </c>
      <c r="M605" s="12" t="n">
        <v>8973.969999999999</v>
      </c>
      <c r="N605" s="12" t="n">
        <v>1062.71</v>
      </c>
      <c r="O605" t="inlineStr">
        <is>
          <t>Cash</t>
        </is>
      </c>
      <c r="P605" t="inlineStr">
        <is>
          <t>Kabir Singh</t>
        </is>
      </c>
    </row>
    <row r="606">
      <c r="A606" t="inlineStr">
        <is>
          <t>ORD-2510-0605</t>
        </is>
      </c>
      <c r="B606" s="11" t="n">
        <v>45954</v>
      </c>
      <c r="C606" t="inlineStr">
        <is>
          <t>South</t>
        </is>
      </c>
      <c r="D606" t="inlineStr">
        <is>
          <t>Bengaluru</t>
        </is>
      </c>
      <c r="E606" t="inlineStr">
        <is>
          <t>Small Business</t>
        </is>
      </c>
      <c r="F606" t="inlineStr">
        <is>
          <t>Online</t>
        </is>
      </c>
      <c r="G606" t="inlineStr">
        <is>
          <t>Technology</t>
        </is>
      </c>
      <c r="H606" t="inlineStr">
        <is>
          <t>Laptop</t>
        </is>
      </c>
      <c r="I606" t="n">
        <v>4</v>
      </c>
      <c r="J606" s="12" t="n">
        <v>38768.1</v>
      </c>
      <c r="K606" s="13" t="n">
        <v>0.05</v>
      </c>
      <c r="L606" s="12" t="n">
        <v>147318.78</v>
      </c>
      <c r="M606" s="12" t="n">
        <v>136463.71</v>
      </c>
      <c r="N606" s="12" t="n">
        <v>10855.07</v>
      </c>
      <c r="O606" t="inlineStr">
        <is>
          <t>UPI</t>
        </is>
      </c>
      <c r="P606" t="inlineStr">
        <is>
          <t>Kabir Singh</t>
        </is>
      </c>
    </row>
    <row r="607">
      <c r="A607" t="inlineStr">
        <is>
          <t>ORD-2501-0606</t>
        </is>
      </c>
      <c r="B607" s="11" t="n">
        <v>45665</v>
      </c>
      <c r="C607" t="inlineStr">
        <is>
          <t>South</t>
        </is>
      </c>
      <c r="D607" t="inlineStr">
        <is>
          <t>Bengaluru</t>
        </is>
      </c>
      <c r="E607" t="inlineStr">
        <is>
          <t>Small Business</t>
        </is>
      </c>
      <c r="F607" t="inlineStr">
        <is>
          <t>Online</t>
        </is>
      </c>
      <c r="G607" t="inlineStr">
        <is>
          <t>Technology</t>
        </is>
      </c>
      <c r="H607" t="inlineStr">
        <is>
          <t>Headphones</t>
        </is>
      </c>
      <c r="I607" t="n">
        <v>5</v>
      </c>
      <c r="J607" s="12" t="n">
        <v>2239.15</v>
      </c>
      <c r="K607" s="13" t="n">
        <v>0</v>
      </c>
      <c r="L607" s="12" t="n">
        <v>11195.75</v>
      </c>
      <c r="M607" s="12" t="n">
        <v>8732.68</v>
      </c>
      <c r="N607" s="12" t="n">
        <v>2463.07</v>
      </c>
      <c r="O607" t="inlineStr">
        <is>
          <t>Credit Card</t>
        </is>
      </c>
      <c r="P607" t="inlineStr">
        <is>
          <t>Diya Patel</t>
        </is>
      </c>
    </row>
    <row r="608">
      <c r="A608" t="inlineStr">
        <is>
          <t>ORD-2509-0607</t>
        </is>
      </c>
      <c r="B608" s="11" t="n">
        <v>45912</v>
      </c>
      <c r="C608" t="inlineStr">
        <is>
          <t>Central</t>
        </is>
      </c>
      <c r="D608" t="inlineStr">
        <is>
          <t>Indore</t>
        </is>
      </c>
      <c r="E608" t="inlineStr">
        <is>
          <t>Small Business</t>
        </is>
      </c>
      <c r="F608" t="inlineStr">
        <is>
          <t>Partner</t>
        </is>
      </c>
      <c r="G608" t="inlineStr">
        <is>
          <t>Technology</t>
        </is>
      </c>
      <c r="H608" t="inlineStr">
        <is>
          <t>Monitor</t>
        </is>
      </c>
      <c r="I608" t="n">
        <v>5</v>
      </c>
      <c r="J608" s="12" t="n">
        <v>13123.04</v>
      </c>
      <c r="K608" s="13" t="n">
        <v>0.05</v>
      </c>
      <c r="L608" s="12" t="n">
        <v>62334.44</v>
      </c>
      <c r="M608" s="12" t="n">
        <v>53804.46</v>
      </c>
      <c r="N608" s="12" t="n">
        <v>8529.98</v>
      </c>
      <c r="O608" t="inlineStr">
        <is>
          <t>Debit Card</t>
        </is>
      </c>
      <c r="P608" t="inlineStr">
        <is>
          <t>Sara Khan</t>
        </is>
      </c>
    </row>
    <row r="609">
      <c r="A609" t="inlineStr">
        <is>
          <t>ORD-2503-0608</t>
        </is>
      </c>
      <c r="B609" s="11" t="n">
        <v>45719</v>
      </c>
      <c r="C609" t="inlineStr">
        <is>
          <t>Central</t>
        </is>
      </c>
      <c r="D609" t="inlineStr">
        <is>
          <t>Indore</t>
        </is>
      </c>
      <c r="E609" t="inlineStr">
        <is>
          <t>Small Business</t>
        </is>
      </c>
      <c r="F609" t="inlineStr">
        <is>
          <t>Online</t>
        </is>
      </c>
      <c r="G609" t="inlineStr">
        <is>
          <t>Furniture</t>
        </is>
      </c>
      <c r="H609" t="inlineStr">
        <is>
          <t>Office Chair</t>
        </is>
      </c>
      <c r="I609" t="n">
        <v>5</v>
      </c>
      <c r="J609" s="12" t="n">
        <v>7087.48</v>
      </c>
      <c r="K609" s="13" t="n">
        <v>0.15</v>
      </c>
      <c r="L609" s="12" t="n">
        <v>30121.79</v>
      </c>
      <c r="M609" s="12" t="n">
        <v>25514.93</v>
      </c>
      <c r="N609" s="12" t="n">
        <v>4606.86</v>
      </c>
      <c r="O609" t="inlineStr">
        <is>
          <t>Net Banking</t>
        </is>
      </c>
      <c r="P609" t="inlineStr">
        <is>
          <t>Diya Patel</t>
        </is>
      </c>
    </row>
    <row r="610">
      <c r="A610" t="inlineStr">
        <is>
          <t>ORD-2503-0609</t>
        </is>
      </c>
      <c r="B610" s="11" t="n">
        <v>45719</v>
      </c>
      <c r="C610" t="inlineStr">
        <is>
          <t>East</t>
        </is>
      </c>
      <c r="D610" t="inlineStr">
        <is>
          <t>Patna</t>
        </is>
      </c>
      <c r="E610" t="inlineStr">
        <is>
          <t>Corporate</t>
        </is>
      </c>
      <c r="F610" t="inlineStr">
        <is>
          <t>Online</t>
        </is>
      </c>
      <c r="G610" t="inlineStr">
        <is>
          <t>Office Supplies</t>
        </is>
      </c>
      <c r="H610" t="inlineStr">
        <is>
          <t>File Folder</t>
        </is>
      </c>
      <c r="I610" t="n">
        <v>2</v>
      </c>
      <c r="J610" s="12" t="n">
        <v>90.77</v>
      </c>
      <c r="K610" s="13" t="n">
        <v>0.1</v>
      </c>
      <c r="L610" s="12" t="n">
        <v>163.39</v>
      </c>
      <c r="M610" s="12" t="n">
        <v>112.55</v>
      </c>
      <c r="N610" s="12" t="n">
        <v>50.84</v>
      </c>
      <c r="O610" t="inlineStr">
        <is>
          <t>Cash</t>
        </is>
      </c>
      <c r="P610" t="inlineStr">
        <is>
          <t>Aarav Sharma</t>
        </is>
      </c>
    </row>
    <row r="611">
      <c r="A611" t="inlineStr">
        <is>
          <t>ORD-2503-0610</t>
        </is>
      </c>
      <c r="B611" s="11" t="n">
        <v>45726</v>
      </c>
      <c r="C611" t="inlineStr">
        <is>
          <t>North</t>
        </is>
      </c>
      <c r="D611" t="inlineStr">
        <is>
          <t>Lucknow</t>
        </is>
      </c>
      <c r="E611" t="inlineStr">
        <is>
          <t>Consumer</t>
        </is>
      </c>
      <c r="F611" t="inlineStr">
        <is>
          <t>Online</t>
        </is>
      </c>
      <c r="G611" t="inlineStr">
        <is>
          <t>Office Supplies</t>
        </is>
      </c>
      <c r="H611" t="inlineStr">
        <is>
          <t>File Folder</t>
        </is>
      </c>
      <c r="I611" t="n">
        <v>1</v>
      </c>
      <c r="J611" s="12" t="n">
        <v>83.95999999999999</v>
      </c>
      <c r="K611" s="13" t="n">
        <v>0.15</v>
      </c>
      <c r="L611" s="12" t="n">
        <v>71.37</v>
      </c>
      <c r="M611" s="12" t="n">
        <v>52.06</v>
      </c>
      <c r="N611" s="12" t="n">
        <v>19.31</v>
      </c>
      <c r="O611" t="inlineStr">
        <is>
          <t>Credit Card</t>
        </is>
      </c>
      <c r="P611" t="inlineStr">
        <is>
          <t>Rohan Verma</t>
        </is>
      </c>
    </row>
    <row r="612">
      <c r="A612" t="inlineStr">
        <is>
          <t>ORD-2508-0611</t>
        </is>
      </c>
      <c r="B612" s="11" t="n">
        <v>45871</v>
      </c>
      <c r="C612" t="inlineStr">
        <is>
          <t>West</t>
        </is>
      </c>
      <c r="D612" t="inlineStr">
        <is>
          <t>Pune</t>
        </is>
      </c>
      <c r="E612" t="inlineStr">
        <is>
          <t>Consumer</t>
        </is>
      </c>
      <c r="F612" t="inlineStr">
        <is>
          <t>Online</t>
        </is>
      </c>
      <c r="G612" t="inlineStr">
        <is>
          <t>Technology</t>
        </is>
      </c>
      <c r="H612" t="inlineStr">
        <is>
          <t>Printer</t>
        </is>
      </c>
      <c r="I612" t="n">
        <v>1</v>
      </c>
      <c r="J612" s="12" t="n">
        <v>9424.639999999999</v>
      </c>
      <c r="K612" s="13" t="n">
        <v>0</v>
      </c>
      <c r="L612" s="12" t="n">
        <v>9424.639999999999</v>
      </c>
      <c r="M612" s="12" t="n">
        <v>7916.7</v>
      </c>
      <c r="N612" s="12" t="n">
        <v>1507.94</v>
      </c>
      <c r="O612" t="inlineStr">
        <is>
          <t>Cash</t>
        </is>
      </c>
      <c r="P612" t="inlineStr">
        <is>
          <t>Aarav Sharma</t>
        </is>
      </c>
    </row>
    <row r="613">
      <c r="A613" t="inlineStr">
        <is>
          <t>ORD-2511-0612</t>
        </is>
      </c>
      <c r="B613" s="11" t="n">
        <v>45963</v>
      </c>
      <c r="C613" t="inlineStr">
        <is>
          <t>South</t>
        </is>
      </c>
      <c r="D613" t="inlineStr">
        <is>
          <t>Kochi</t>
        </is>
      </c>
      <c r="E613" t="inlineStr">
        <is>
          <t>Corporate</t>
        </is>
      </c>
      <c r="F613" t="inlineStr">
        <is>
          <t>Retail Store</t>
        </is>
      </c>
      <c r="G613" t="inlineStr">
        <is>
          <t>Office Supplies</t>
        </is>
      </c>
      <c r="H613" t="inlineStr">
        <is>
          <t>Notebook Pack</t>
        </is>
      </c>
      <c r="I613" t="n">
        <v>8</v>
      </c>
      <c r="J613" s="12" t="n">
        <v>365.82</v>
      </c>
      <c r="K613" s="13" t="n">
        <v>0.1</v>
      </c>
      <c r="L613" s="12" t="n">
        <v>2633.9</v>
      </c>
      <c r="M613" s="12" t="n">
        <v>1990.06</v>
      </c>
      <c r="N613" s="12" t="n">
        <v>643.84</v>
      </c>
      <c r="O613" t="inlineStr">
        <is>
          <t>Credit Card</t>
        </is>
      </c>
      <c r="P613" t="inlineStr">
        <is>
          <t>Meera Joshi</t>
        </is>
      </c>
    </row>
    <row r="614">
      <c r="A614" t="inlineStr">
        <is>
          <t>ORD-2504-0613</t>
        </is>
      </c>
      <c r="B614" s="11" t="n">
        <v>45756</v>
      </c>
      <c r="C614" t="inlineStr">
        <is>
          <t>North</t>
        </is>
      </c>
      <c r="D614" t="inlineStr">
        <is>
          <t>Delhi</t>
        </is>
      </c>
      <c r="E614" t="inlineStr">
        <is>
          <t>Consumer</t>
        </is>
      </c>
      <c r="F614" t="inlineStr">
        <is>
          <t>Retail Store</t>
        </is>
      </c>
      <c r="G614" t="inlineStr">
        <is>
          <t>Office Supplies</t>
        </is>
      </c>
      <c r="H614" t="inlineStr">
        <is>
          <t>Notebook Pack</t>
        </is>
      </c>
      <c r="I614" t="n">
        <v>2</v>
      </c>
      <c r="J614" s="12" t="n">
        <v>352.22</v>
      </c>
      <c r="K614" s="13" t="n">
        <v>0.1</v>
      </c>
      <c r="L614" s="12" t="n">
        <v>634</v>
      </c>
      <c r="M614" s="12" t="n">
        <v>479.02</v>
      </c>
      <c r="N614" s="12" t="n">
        <v>154.98</v>
      </c>
      <c r="O614" t="inlineStr">
        <is>
          <t>UPI</t>
        </is>
      </c>
      <c r="P614" t="inlineStr">
        <is>
          <t>Rohan Verma</t>
        </is>
      </c>
    </row>
    <row r="615">
      <c r="A615" t="inlineStr">
        <is>
          <t>ORD-2501-0614</t>
        </is>
      </c>
      <c r="B615" s="11" t="n">
        <v>45685</v>
      </c>
      <c r="C615" t="inlineStr">
        <is>
          <t>South</t>
        </is>
      </c>
      <c r="D615" t="inlineStr">
        <is>
          <t>Bengaluru</t>
        </is>
      </c>
      <c r="E615" t="inlineStr">
        <is>
          <t>Corporate</t>
        </is>
      </c>
      <c r="F615" t="inlineStr">
        <is>
          <t>Online</t>
        </is>
      </c>
      <c r="G615" t="inlineStr">
        <is>
          <t>Office Supplies</t>
        </is>
      </c>
      <c r="H615" t="inlineStr">
        <is>
          <t>File Folder</t>
        </is>
      </c>
      <c r="I615" t="n">
        <v>1</v>
      </c>
      <c r="J615" s="12" t="n">
        <v>95.93000000000001</v>
      </c>
      <c r="K615" s="13" t="n">
        <v>0.15</v>
      </c>
      <c r="L615" s="12" t="n">
        <v>81.54000000000001</v>
      </c>
      <c r="M615" s="12" t="n">
        <v>59.48</v>
      </c>
      <c r="N615" s="12" t="n">
        <v>22.06</v>
      </c>
      <c r="O615" t="inlineStr">
        <is>
          <t>UPI</t>
        </is>
      </c>
      <c r="P615" t="inlineStr">
        <is>
          <t>Aarav Sharma</t>
        </is>
      </c>
    </row>
    <row r="616">
      <c r="A616" t="inlineStr">
        <is>
          <t>ORD-2501-0615</t>
        </is>
      </c>
      <c r="B616" s="11" t="n">
        <v>45685</v>
      </c>
      <c r="C616" t="inlineStr">
        <is>
          <t>East</t>
        </is>
      </c>
      <c r="D616" t="inlineStr">
        <is>
          <t>Bhubaneswar</t>
        </is>
      </c>
      <c r="E616" t="inlineStr">
        <is>
          <t>Corporate</t>
        </is>
      </c>
      <c r="F616" t="inlineStr">
        <is>
          <t>Online</t>
        </is>
      </c>
      <c r="G616" t="inlineStr">
        <is>
          <t>Technology</t>
        </is>
      </c>
      <c r="H616" t="inlineStr">
        <is>
          <t>Printer</t>
        </is>
      </c>
      <c r="I616" t="n">
        <v>2</v>
      </c>
      <c r="J616" s="12" t="n">
        <v>9963.83</v>
      </c>
      <c r="K616" s="13" t="n">
        <v>0.05</v>
      </c>
      <c r="L616" s="12" t="n">
        <v>18931.28</v>
      </c>
      <c r="M616" s="12" t="n">
        <v>16739.23</v>
      </c>
      <c r="N616" s="12" t="n">
        <v>2192.05</v>
      </c>
      <c r="O616" t="inlineStr">
        <is>
          <t>Credit Card</t>
        </is>
      </c>
      <c r="P616" t="inlineStr">
        <is>
          <t>Aarav Sharma</t>
        </is>
      </c>
    </row>
    <row r="617">
      <c r="A617" t="inlineStr">
        <is>
          <t>ORD-2510-0616</t>
        </is>
      </c>
      <c r="B617" s="11" t="n">
        <v>45933</v>
      </c>
      <c r="C617" t="inlineStr">
        <is>
          <t>South</t>
        </is>
      </c>
      <c r="D617" t="inlineStr">
        <is>
          <t>Chennai</t>
        </is>
      </c>
      <c r="E617" t="inlineStr">
        <is>
          <t>Consumer</t>
        </is>
      </c>
      <c r="F617" t="inlineStr">
        <is>
          <t>Partner</t>
        </is>
      </c>
      <c r="G617" t="inlineStr">
        <is>
          <t>Office Supplies</t>
        </is>
      </c>
      <c r="H617" t="inlineStr">
        <is>
          <t>File Folder</t>
        </is>
      </c>
      <c r="I617" t="n">
        <v>1</v>
      </c>
      <c r="J617" s="12" t="n">
        <v>83.81999999999999</v>
      </c>
      <c r="K617" s="13" t="n">
        <v>0.1</v>
      </c>
      <c r="L617" s="12" t="n">
        <v>75.44</v>
      </c>
      <c r="M617" s="12" t="n">
        <v>51.97</v>
      </c>
      <c r="N617" s="12" t="n">
        <v>23.47</v>
      </c>
      <c r="O617" t="inlineStr">
        <is>
          <t>Debit Card</t>
        </is>
      </c>
      <c r="P617" t="inlineStr">
        <is>
          <t>Sara Khan</t>
        </is>
      </c>
    </row>
    <row r="618">
      <c r="A618" t="inlineStr">
        <is>
          <t>ORD-2508-0617</t>
        </is>
      </c>
      <c r="B618" s="11" t="n">
        <v>45872</v>
      </c>
      <c r="C618" t="inlineStr">
        <is>
          <t>South</t>
        </is>
      </c>
      <c r="D618" t="inlineStr">
        <is>
          <t>Hyderabad</t>
        </is>
      </c>
      <c r="E618" t="inlineStr">
        <is>
          <t>Small Business</t>
        </is>
      </c>
      <c r="F618" t="inlineStr">
        <is>
          <t>Retail Store</t>
        </is>
      </c>
      <c r="G618" t="inlineStr">
        <is>
          <t>Technology</t>
        </is>
      </c>
      <c r="H618" t="inlineStr">
        <is>
          <t>Printer</t>
        </is>
      </c>
      <c r="I618" t="n">
        <v>4</v>
      </c>
      <c r="J618" s="12" t="n">
        <v>8889.059999999999</v>
      </c>
      <c r="K618" s="13" t="n">
        <v>0.05</v>
      </c>
      <c r="L618" s="12" t="n">
        <v>33778.43</v>
      </c>
      <c r="M618" s="12" t="n">
        <v>29867.24</v>
      </c>
      <c r="N618" s="12" t="n">
        <v>3911.19</v>
      </c>
      <c r="O618" t="inlineStr">
        <is>
          <t>UPI</t>
        </is>
      </c>
      <c r="P618" t="inlineStr">
        <is>
          <t>Vivaan Gupta</t>
        </is>
      </c>
    </row>
    <row r="619">
      <c r="A619" t="inlineStr">
        <is>
          <t>ORD-2504-0618</t>
        </is>
      </c>
      <c r="B619" s="11" t="n">
        <v>45770</v>
      </c>
      <c r="C619" t="inlineStr">
        <is>
          <t>North</t>
        </is>
      </c>
      <c r="D619" t="inlineStr">
        <is>
          <t>Lucknow</t>
        </is>
      </c>
      <c r="E619" t="inlineStr">
        <is>
          <t>Small Business</t>
        </is>
      </c>
      <c r="F619" t="inlineStr">
        <is>
          <t>Retail Store</t>
        </is>
      </c>
      <c r="G619" t="inlineStr">
        <is>
          <t>Office Supplies</t>
        </is>
      </c>
      <c r="H619" t="inlineStr">
        <is>
          <t>Notebook Pack</t>
        </is>
      </c>
      <c r="I619" t="n">
        <v>3</v>
      </c>
      <c r="J619" s="12" t="n">
        <v>330.12</v>
      </c>
      <c r="K619" s="13" t="n">
        <v>0.15</v>
      </c>
      <c r="L619" s="12" t="n">
        <v>841.8099999999999</v>
      </c>
      <c r="M619" s="12" t="n">
        <v>673.4400000000001</v>
      </c>
      <c r="N619" s="12" t="n">
        <v>168.37</v>
      </c>
      <c r="O619" t="inlineStr">
        <is>
          <t>UPI</t>
        </is>
      </c>
      <c r="P619" t="inlineStr">
        <is>
          <t>Vivaan Gupta</t>
        </is>
      </c>
    </row>
    <row r="620">
      <c r="A620" t="inlineStr">
        <is>
          <t>ORD-2507-0619</t>
        </is>
      </c>
      <c r="B620" s="11" t="n">
        <v>45849</v>
      </c>
      <c r="C620" t="inlineStr">
        <is>
          <t>South</t>
        </is>
      </c>
      <c r="D620" t="inlineStr">
        <is>
          <t>Kochi</t>
        </is>
      </c>
      <c r="E620" t="inlineStr">
        <is>
          <t>Corporate</t>
        </is>
      </c>
      <c r="F620" t="inlineStr">
        <is>
          <t>Online</t>
        </is>
      </c>
      <c r="G620" t="inlineStr">
        <is>
          <t>Office Supplies</t>
        </is>
      </c>
      <c r="H620" t="inlineStr">
        <is>
          <t>Paper Ream</t>
        </is>
      </c>
      <c r="I620" t="n">
        <v>1</v>
      </c>
      <c r="J620" s="12" t="n">
        <v>404.52</v>
      </c>
      <c r="K620" s="13" t="n">
        <v>0.05</v>
      </c>
      <c r="L620" s="12" t="n">
        <v>384.29</v>
      </c>
      <c r="M620" s="12" t="n">
        <v>311.48</v>
      </c>
      <c r="N620" s="12" t="n">
        <v>72.81</v>
      </c>
      <c r="O620" t="inlineStr">
        <is>
          <t>Credit Card</t>
        </is>
      </c>
      <c r="P620" t="inlineStr">
        <is>
          <t>Aarav Sharma</t>
        </is>
      </c>
    </row>
    <row r="621">
      <c r="A621" t="inlineStr">
        <is>
          <t>ORD-2505-0620</t>
        </is>
      </c>
      <c r="B621" s="11" t="n">
        <v>45801</v>
      </c>
      <c r="C621" t="inlineStr">
        <is>
          <t>South</t>
        </is>
      </c>
      <c r="D621" t="inlineStr">
        <is>
          <t>Bengaluru</t>
        </is>
      </c>
      <c r="E621" t="inlineStr">
        <is>
          <t>Consumer</t>
        </is>
      </c>
      <c r="F621" t="inlineStr">
        <is>
          <t>Retail Store</t>
        </is>
      </c>
      <c r="G621" t="inlineStr">
        <is>
          <t>Office Supplies</t>
        </is>
      </c>
      <c r="H621" t="inlineStr">
        <is>
          <t>Stapler</t>
        </is>
      </c>
      <c r="I621" t="n">
        <v>3</v>
      </c>
      <c r="J621" s="12" t="n">
        <v>270.83</v>
      </c>
      <c r="K621" s="13" t="n">
        <v>0.05</v>
      </c>
      <c r="L621" s="12" t="n">
        <v>771.87</v>
      </c>
      <c r="M621" s="12" t="n">
        <v>568.74</v>
      </c>
      <c r="N621" s="12" t="n">
        <v>203.13</v>
      </c>
      <c r="O621" t="inlineStr">
        <is>
          <t>Cash</t>
        </is>
      </c>
      <c r="P621" t="inlineStr">
        <is>
          <t>Kabir Singh</t>
        </is>
      </c>
    </row>
    <row r="622">
      <c r="A622" t="inlineStr">
        <is>
          <t>ORD-2511-0621</t>
        </is>
      </c>
      <c r="B622" s="11" t="n">
        <v>45984</v>
      </c>
      <c r="C622" t="inlineStr">
        <is>
          <t>Central</t>
        </is>
      </c>
      <c r="D622" t="inlineStr">
        <is>
          <t>Indore</t>
        </is>
      </c>
      <c r="E622" t="inlineStr">
        <is>
          <t>Small Business</t>
        </is>
      </c>
      <c r="F622" t="inlineStr">
        <is>
          <t>Retail Store</t>
        </is>
      </c>
      <c r="G622" t="inlineStr">
        <is>
          <t>Office Supplies</t>
        </is>
      </c>
      <c r="H622" t="inlineStr">
        <is>
          <t>Notebook Pack</t>
        </is>
      </c>
      <c r="I622" t="n">
        <v>10</v>
      </c>
      <c r="J622" s="12" t="n">
        <v>326.84</v>
      </c>
      <c r="K622" s="13" t="n">
        <v>0.15</v>
      </c>
      <c r="L622" s="12" t="n">
        <v>2778.14</v>
      </c>
      <c r="M622" s="12" t="n">
        <v>2222.51</v>
      </c>
      <c r="N622" s="12" t="n">
        <v>555.63</v>
      </c>
      <c r="O622" t="inlineStr">
        <is>
          <t>UPI</t>
        </is>
      </c>
      <c r="P622" t="inlineStr">
        <is>
          <t>Anaya Rao</t>
        </is>
      </c>
    </row>
    <row r="623">
      <c r="A623" t="inlineStr">
        <is>
          <t>ORD-2508-0622</t>
        </is>
      </c>
      <c r="B623" s="11" t="n">
        <v>45894</v>
      </c>
      <c r="C623" t="inlineStr">
        <is>
          <t>East</t>
        </is>
      </c>
      <c r="D623" t="inlineStr">
        <is>
          <t>Kolkata</t>
        </is>
      </c>
      <c r="E623" t="inlineStr">
        <is>
          <t>Corporate</t>
        </is>
      </c>
      <c r="F623" t="inlineStr">
        <is>
          <t>Partner</t>
        </is>
      </c>
      <c r="G623" t="inlineStr">
        <is>
          <t>Office Supplies</t>
        </is>
      </c>
      <c r="H623" t="inlineStr">
        <is>
          <t>Paper Ream</t>
        </is>
      </c>
      <c r="I623" t="n">
        <v>2</v>
      </c>
      <c r="J623" s="12" t="n">
        <v>403.05</v>
      </c>
      <c r="K623" s="13" t="n">
        <v>0.15</v>
      </c>
      <c r="L623" s="12" t="n">
        <v>685.1799999999999</v>
      </c>
      <c r="M623" s="12" t="n">
        <v>620.7</v>
      </c>
      <c r="N623" s="12" t="n">
        <v>64.48</v>
      </c>
      <c r="O623" t="inlineStr">
        <is>
          <t>UPI</t>
        </is>
      </c>
      <c r="P623" t="inlineStr">
        <is>
          <t>Kabir Singh</t>
        </is>
      </c>
    </row>
    <row r="624">
      <c r="A624" t="inlineStr">
        <is>
          <t>ORD-2510-0623</t>
        </is>
      </c>
      <c r="B624" s="11" t="n">
        <v>45951</v>
      </c>
      <c r="C624" t="inlineStr">
        <is>
          <t>North</t>
        </is>
      </c>
      <c r="D624" t="inlineStr">
        <is>
          <t>Lucknow</t>
        </is>
      </c>
      <c r="E624" t="inlineStr">
        <is>
          <t>Consumer</t>
        </is>
      </c>
      <c r="F624" t="inlineStr">
        <is>
          <t>Retail Store</t>
        </is>
      </c>
      <c r="G624" t="inlineStr">
        <is>
          <t>Technology</t>
        </is>
      </c>
      <c r="H624" t="inlineStr">
        <is>
          <t>Laptop</t>
        </is>
      </c>
      <c r="I624" t="n">
        <v>1</v>
      </c>
      <c r="J624" s="12" t="n">
        <v>43805.03</v>
      </c>
      <c r="K624" s="13" t="n">
        <v>0.05</v>
      </c>
      <c r="L624" s="12" t="n">
        <v>41614.78</v>
      </c>
      <c r="M624" s="12" t="n">
        <v>38548.43</v>
      </c>
      <c r="N624" s="12" t="n">
        <v>3066.35</v>
      </c>
      <c r="O624" t="inlineStr">
        <is>
          <t>Cash</t>
        </is>
      </c>
      <c r="P624" t="inlineStr">
        <is>
          <t>Vivaan Gupta</t>
        </is>
      </c>
    </row>
    <row r="625">
      <c r="A625" t="inlineStr">
        <is>
          <t>ORD-2509-0624</t>
        </is>
      </c>
      <c r="B625" s="11" t="n">
        <v>45903</v>
      </c>
      <c r="C625" t="inlineStr">
        <is>
          <t>North</t>
        </is>
      </c>
      <c r="D625" t="inlineStr">
        <is>
          <t>Lucknow</t>
        </is>
      </c>
      <c r="E625" t="inlineStr">
        <is>
          <t>Small Business</t>
        </is>
      </c>
      <c r="F625" t="inlineStr">
        <is>
          <t>Retail Store</t>
        </is>
      </c>
      <c r="G625" t="inlineStr">
        <is>
          <t>Furniture</t>
        </is>
      </c>
      <c r="H625" t="inlineStr">
        <is>
          <t>Bookshelf</t>
        </is>
      </c>
      <c r="I625" t="n">
        <v>2</v>
      </c>
      <c r="J625" s="12" t="n">
        <v>4794.34</v>
      </c>
      <c r="K625" s="13" t="n">
        <v>0.1</v>
      </c>
      <c r="L625" s="12" t="n">
        <v>8629.809999999999</v>
      </c>
      <c r="M625" s="12" t="n">
        <v>7095.62</v>
      </c>
      <c r="N625" s="12" t="n">
        <v>1534.19</v>
      </c>
      <c r="O625" t="inlineStr">
        <is>
          <t>UPI</t>
        </is>
      </c>
      <c r="P625" t="inlineStr">
        <is>
          <t>Kabir Singh</t>
        </is>
      </c>
    </row>
    <row r="626">
      <c r="A626" t="inlineStr">
        <is>
          <t>ORD-2507-0625</t>
        </is>
      </c>
      <c r="B626" s="11" t="n">
        <v>45841</v>
      </c>
      <c r="C626" t="inlineStr">
        <is>
          <t>East</t>
        </is>
      </c>
      <c r="D626" t="inlineStr">
        <is>
          <t>Patna</t>
        </is>
      </c>
      <c r="E626" t="inlineStr">
        <is>
          <t>Consumer</t>
        </is>
      </c>
      <c r="F626" t="inlineStr">
        <is>
          <t>Partner</t>
        </is>
      </c>
      <c r="G626" t="inlineStr">
        <is>
          <t>Office Supplies</t>
        </is>
      </c>
      <c r="H626" t="inlineStr">
        <is>
          <t>Pens Box</t>
        </is>
      </c>
      <c r="I626" t="n">
        <v>10</v>
      </c>
      <c r="J626" s="12" t="n">
        <v>184.87</v>
      </c>
      <c r="K626" s="13" t="n">
        <v>0</v>
      </c>
      <c r="L626" s="12" t="n">
        <v>1848.7</v>
      </c>
      <c r="M626" s="12" t="n">
        <v>1201.65</v>
      </c>
      <c r="N626" s="12" t="n">
        <v>647.05</v>
      </c>
      <c r="O626" t="inlineStr">
        <is>
          <t>Debit Card</t>
        </is>
      </c>
      <c r="P626" t="inlineStr">
        <is>
          <t>Aarav Sharma</t>
        </is>
      </c>
    </row>
    <row r="627">
      <c r="A627" t="inlineStr">
        <is>
          <t>ORD-2508-0626</t>
        </is>
      </c>
      <c r="B627" s="11" t="n">
        <v>45890</v>
      </c>
      <c r="C627" t="inlineStr">
        <is>
          <t>West</t>
        </is>
      </c>
      <c r="D627" t="inlineStr">
        <is>
          <t>Pune</t>
        </is>
      </c>
      <c r="E627" t="inlineStr">
        <is>
          <t>Small Business</t>
        </is>
      </c>
      <c r="F627" t="inlineStr">
        <is>
          <t>Retail Store</t>
        </is>
      </c>
      <c r="G627" t="inlineStr">
        <is>
          <t>Office Supplies</t>
        </is>
      </c>
      <c r="H627" t="inlineStr">
        <is>
          <t>Stapler</t>
        </is>
      </c>
      <c r="I627" t="n">
        <v>4</v>
      </c>
      <c r="J627" s="12" t="n">
        <v>275.46</v>
      </c>
      <c r="K627" s="13" t="n">
        <v>0</v>
      </c>
      <c r="L627" s="12" t="n">
        <v>1101.84</v>
      </c>
      <c r="M627" s="12" t="n">
        <v>771.29</v>
      </c>
      <c r="N627" s="12" t="n">
        <v>330.55</v>
      </c>
      <c r="O627" t="inlineStr">
        <is>
          <t>Credit Card</t>
        </is>
      </c>
      <c r="P627" t="inlineStr">
        <is>
          <t>Diya Patel</t>
        </is>
      </c>
    </row>
    <row r="628">
      <c r="A628" t="inlineStr">
        <is>
          <t>ORD-2507-0627</t>
        </is>
      </c>
      <c r="B628" s="11" t="n">
        <v>45855</v>
      </c>
      <c r="C628" t="inlineStr">
        <is>
          <t>East</t>
        </is>
      </c>
      <c r="D628" t="inlineStr">
        <is>
          <t>Kolkata</t>
        </is>
      </c>
      <c r="E628" t="inlineStr">
        <is>
          <t>Small Business</t>
        </is>
      </c>
      <c r="F628" t="inlineStr">
        <is>
          <t>Partner</t>
        </is>
      </c>
      <c r="G628" t="inlineStr">
        <is>
          <t>Technology</t>
        </is>
      </c>
      <c r="H628" t="inlineStr">
        <is>
          <t>Headphones</t>
        </is>
      </c>
      <c r="I628" t="n">
        <v>2</v>
      </c>
      <c r="J628" s="12" t="n">
        <v>2357.03</v>
      </c>
      <c r="K628" s="13" t="n">
        <v>0</v>
      </c>
      <c r="L628" s="12" t="n">
        <v>4714.06</v>
      </c>
      <c r="M628" s="12" t="n">
        <v>3676.97</v>
      </c>
      <c r="N628" s="12" t="n">
        <v>1037.09</v>
      </c>
      <c r="O628" t="inlineStr">
        <is>
          <t>UPI</t>
        </is>
      </c>
      <c r="P628" t="inlineStr">
        <is>
          <t>Diya Patel</t>
        </is>
      </c>
    </row>
    <row r="629">
      <c r="A629" t="inlineStr">
        <is>
          <t>ORD-2511-0628</t>
        </is>
      </c>
      <c r="B629" s="11" t="n">
        <v>45975</v>
      </c>
      <c r="C629" t="inlineStr">
        <is>
          <t>East</t>
        </is>
      </c>
      <c r="D629" t="inlineStr">
        <is>
          <t>Kolkata</t>
        </is>
      </c>
      <c r="E629" t="inlineStr">
        <is>
          <t>Consumer</t>
        </is>
      </c>
      <c r="F629" t="inlineStr">
        <is>
          <t>Retail Store</t>
        </is>
      </c>
      <c r="G629" t="inlineStr">
        <is>
          <t>Furniture</t>
        </is>
      </c>
      <c r="H629" t="inlineStr">
        <is>
          <t>Storage Cabinet</t>
        </is>
      </c>
      <c r="I629" t="n">
        <v>8</v>
      </c>
      <c r="J629" s="12" t="n">
        <v>9452.48</v>
      </c>
      <c r="K629" s="13" t="n">
        <v>0.1</v>
      </c>
      <c r="L629" s="12" t="n">
        <v>68057.86</v>
      </c>
      <c r="M629" s="12" t="n">
        <v>60495.87</v>
      </c>
      <c r="N629" s="12" t="n">
        <v>7561.99</v>
      </c>
      <c r="O629" t="inlineStr">
        <is>
          <t>Net Banking</t>
        </is>
      </c>
      <c r="P629" t="inlineStr">
        <is>
          <t>Anaya Rao</t>
        </is>
      </c>
    </row>
    <row r="630">
      <c r="A630" t="inlineStr">
        <is>
          <t>ORD-2511-0629</t>
        </is>
      </c>
      <c r="B630" s="11" t="n">
        <v>45974</v>
      </c>
      <c r="C630" t="inlineStr">
        <is>
          <t>North</t>
        </is>
      </c>
      <c r="D630" t="inlineStr">
        <is>
          <t>Chandigarh</t>
        </is>
      </c>
      <c r="E630" t="inlineStr">
        <is>
          <t>Small Business</t>
        </is>
      </c>
      <c r="F630" t="inlineStr">
        <is>
          <t>Online</t>
        </is>
      </c>
      <c r="G630" t="inlineStr">
        <is>
          <t>Furniture</t>
        </is>
      </c>
      <c r="H630" t="inlineStr">
        <is>
          <t>Office Chair</t>
        </is>
      </c>
      <c r="I630" t="n">
        <v>1</v>
      </c>
      <c r="J630" s="12" t="n">
        <v>6328.9</v>
      </c>
      <c r="K630" s="13" t="n">
        <v>0.1</v>
      </c>
      <c r="L630" s="12" t="n">
        <v>5696.01</v>
      </c>
      <c r="M630" s="12" t="n">
        <v>4556.81</v>
      </c>
      <c r="N630" s="12" t="n">
        <v>1139.2</v>
      </c>
      <c r="O630" t="inlineStr">
        <is>
          <t>UPI</t>
        </is>
      </c>
      <c r="P630" t="inlineStr">
        <is>
          <t>Sara Khan</t>
        </is>
      </c>
    </row>
    <row r="631">
      <c r="A631" t="inlineStr">
        <is>
          <t>ORD-2505-0630</t>
        </is>
      </c>
      <c r="B631" s="11" t="n">
        <v>45780</v>
      </c>
      <c r="C631" t="inlineStr">
        <is>
          <t>Central</t>
        </is>
      </c>
      <c r="D631" t="inlineStr">
        <is>
          <t>Bhopal</t>
        </is>
      </c>
      <c r="E631" t="inlineStr">
        <is>
          <t>Small Business</t>
        </is>
      </c>
      <c r="F631" t="inlineStr">
        <is>
          <t>Online</t>
        </is>
      </c>
      <c r="G631" t="inlineStr">
        <is>
          <t>Office Supplies</t>
        </is>
      </c>
      <c r="H631" t="inlineStr">
        <is>
          <t>Pens Box</t>
        </is>
      </c>
      <c r="I631" t="n">
        <v>3</v>
      </c>
      <c r="J631" s="12" t="n">
        <v>182.31</v>
      </c>
      <c r="K631" s="13" t="n">
        <v>0.15</v>
      </c>
      <c r="L631" s="12" t="n">
        <v>464.89</v>
      </c>
      <c r="M631" s="12" t="n">
        <v>355.5</v>
      </c>
      <c r="N631" s="12" t="n">
        <v>109.39</v>
      </c>
      <c r="O631" t="inlineStr">
        <is>
          <t>UPI</t>
        </is>
      </c>
      <c r="P631" t="inlineStr">
        <is>
          <t>Sara Khan</t>
        </is>
      </c>
    </row>
    <row r="632">
      <c r="A632" t="inlineStr">
        <is>
          <t>ORD-2506-0631</t>
        </is>
      </c>
      <c r="B632" s="11" t="n">
        <v>45838</v>
      </c>
      <c r="C632" t="inlineStr">
        <is>
          <t>East</t>
        </is>
      </c>
      <c r="D632" t="inlineStr">
        <is>
          <t>Guwahati</t>
        </is>
      </c>
      <c r="E632" t="inlineStr">
        <is>
          <t>Small Business</t>
        </is>
      </c>
      <c r="F632" t="inlineStr">
        <is>
          <t>Partner</t>
        </is>
      </c>
      <c r="G632" t="inlineStr">
        <is>
          <t>Technology</t>
        </is>
      </c>
      <c r="H632" t="inlineStr">
        <is>
          <t>Headphones</t>
        </is>
      </c>
      <c r="I632" t="n">
        <v>1</v>
      </c>
      <c r="J632" s="12" t="n">
        <v>2183.25</v>
      </c>
      <c r="K632" s="13" t="n">
        <v>0.05</v>
      </c>
      <c r="L632" s="12" t="n">
        <v>2074.09</v>
      </c>
      <c r="M632" s="12" t="n">
        <v>1702.93</v>
      </c>
      <c r="N632" s="12" t="n">
        <v>371.16</v>
      </c>
      <c r="O632" t="inlineStr">
        <is>
          <t>Credit Card</t>
        </is>
      </c>
      <c r="P632" t="inlineStr">
        <is>
          <t>Anaya Rao</t>
        </is>
      </c>
    </row>
    <row r="633">
      <c r="A633" t="inlineStr">
        <is>
          <t>ORD-2512-0632</t>
        </is>
      </c>
      <c r="B633" s="11" t="n">
        <v>46021</v>
      </c>
      <c r="C633" t="inlineStr">
        <is>
          <t>Central</t>
        </is>
      </c>
      <c r="D633" t="inlineStr">
        <is>
          <t>Raipur</t>
        </is>
      </c>
      <c r="E633" t="inlineStr">
        <is>
          <t>Consumer</t>
        </is>
      </c>
      <c r="F633" t="inlineStr">
        <is>
          <t>Online</t>
        </is>
      </c>
      <c r="G633" t="inlineStr">
        <is>
          <t>Furniture</t>
        </is>
      </c>
      <c r="H633" t="inlineStr">
        <is>
          <t>Bookshelf</t>
        </is>
      </c>
      <c r="I633" t="n">
        <v>3</v>
      </c>
      <c r="J633" s="12" t="n">
        <v>5570.54</v>
      </c>
      <c r="K633" s="13" t="n">
        <v>0.15</v>
      </c>
      <c r="L633" s="12" t="n">
        <v>14204.88</v>
      </c>
      <c r="M633" s="12" t="n">
        <v>12366.6</v>
      </c>
      <c r="N633" s="12" t="n">
        <v>1838.28</v>
      </c>
      <c r="O633" t="inlineStr">
        <is>
          <t>Debit Card</t>
        </is>
      </c>
      <c r="P633" t="inlineStr">
        <is>
          <t>Diya Patel</t>
        </is>
      </c>
    </row>
    <row r="634">
      <c r="A634" t="inlineStr">
        <is>
          <t>ORD-2502-0633</t>
        </is>
      </c>
      <c r="B634" s="11" t="n">
        <v>45699</v>
      </c>
      <c r="C634" t="inlineStr">
        <is>
          <t>West</t>
        </is>
      </c>
      <c r="D634" t="inlineStr">
        <is>
          <t>Pune</t>
        </is>
      </c>
      <c r="E634" t="inlineStr">
        <is>
          <t>Consumer</t>
        </is>
      </c>
      <c r="F634" t="inlineStr">
        <is>
          <t>Partner</t>
        </is>
      </c>
      <c r="G634" t="inlineStr">
        <is>
          <t>Technology</t>
        </is>
      </c>
      <c r="H634" t="inlineStr">
        <is>
          <t>Headphones</t>
        </is>
      </c>
      <c r="I634" t="n">
        <v>8</v>
      </c>
      <c r="J634" s="12" t="n">
        <v>2082</v>
      </c>
      <c r="K634" s="13" t="n">
        <v>0</v>
      </c>
      <c r="L634" s="12" t="n">
        <v>16656</v>
      </c>
      <c r="M634" s="12" t="n">
        <v>12991.68</v>
      </c>
      <c r="N634" s="12" t="n">
        <v>3664.32</v>
      </c>
      <c r="O634" t="inlineStr">
        <is>
          <t>UPI</t>
        </is>
      </c>
      <c r="P634" t="inlineStr">
        <is>
          <t>Anaya Rao</t>
        </is>
      </c>
    </row>
    <row r="635">
      <c r="A635" t="inlineStr">
        <is>
          <t>ORD-2503-0634</t>
        </is>
      </c>
      <c r="B635" s="11" t="n">
        <v>45735</v>
      </c>
      <c r="C635" t="inlineStr">
        <is>
          <t>South</t>
        </is>
      </c>
      <c r="D635" t="inlineStr">
        <is>
          <t>Bengaluru</t>
        </is>
      </c>
      <c r="E635" t="inlineStr">
        <is>
          <t>Corporate</t>
        </is>
      </c>
      <c r="F635" t="inlineStr">
        <is>
          <t>Retail Store</t>
        </is>
      </c>
      <c r="G635" t="inlineStr">
        <is>
          <t>Technology</t>
        </is>
      </c>
      <c r="H635" t="inlineStr">
        <is>
          <t>Headphones</t>
        </is>
      </c>
      <c r="I635" t="n">
        <v>2</v>
      </c>
      <c r="J635" s="12" t="n">
        <v>2351.97</v>
      </c>
      <c r="K635" s="13" t="n">
        <v>0.1</v>
      </c>
      <c r="L635" s="12" t="n">
        <v>4233.55</v>
      </c>
      <c r="M635" s="12" t="n">
        <v>3669.07</v>
      </c>
      <c r="N635" s="12" t="n">
        <v>564.48</v>
      </c>
      <c r="O635" t="inlineStr">
        <is>
          <t>Debit Card</t>
        </is>
      </c>
      <c r="P635" t="inlineStr">
        <is>
          <t>Anaya Rao</t>
        </is>
      </c>
    </row>
    <row r="636">
      <c r="A636" t="inlineStr">
        <is>
          <t>ORD-2511-0635</t>
        </is>
      </c>
      <c r="B636" s="11" t="n">
        <v>45988</v>
      </c>
      <c r="C636" t="inlineStr">
        <is>
          <t>North</t>
        </is>
      </c>
      <c r="D636" t="inlineStr">
        <is>
          <t>Chandigarh</t>
        </is>
      </c>
      <c r="E636" t="inlineStr">
        <is>
          <t>Small Business</t>
        </is>
      </c>
      <c r="F636" t="inlineStr">
        <is>
          <t>Partner</t>
        </is>
      </c>
      <c r="G636" t="inlineStr">
        <is>
          <t>Technology</t>
        </is>
      </c>
      <c r="H636" t="inlineStr">
        <is>
          <t>Printer</t>
        </is>
      </c>
      <c r="I636" t="n">
        <v>1</v>
      </c>
      <c r="J636" s="12" t="n">
        <v>9093.139999999999</v>
      </c>
      <c r="K636" s="13" t="n">
        <v>0.15</v>
      </c>
      <c r="L636" s="12" t="n">
        <v>7729.17</v>
      </c>
      <c r="M636" s="12" t="n">
        <v>7638.24</v>
      </c>
      <c r="N636" s="12" t="n">
        <v>90.93000000000001</v>
      </c>
      <c r="O636" t="inlineStr">
        <is>
          <t>Net Banking</t>
        </is>
      </c>
      <c r="P636" t="inlineStr">
        <is>
          <t>Vivaan Gupta</t>
        </is>
      </c>
    </row>
    <row r="637">
      <c r="A637" t="inlineStr">
        <is>
          <t>ORD-2510-0636</t>
        </is>
      </c>
      <c r="B637" s="11" t="n">
        <v>45954</v>
      </c>
      <c r="C637" t="inlineStr">
        <is>
          <t>East</t>
        </is>
      </c>
      <c r="D637" t="inlineStr">
        <is>
          <t>Bhubaneswar</t>
        </is>
      </c>
      <c r="E637" t="inlineStr">
        <is>
          <t>Corporate</t>
        </is>
      </c>
      <c r="F637" t="inlineStr">
        <is>
          <t>Retail Store</t>
        </is>
      </c>
      <c r="G637" t="inlineStr">
        <is>
          <t>Furniture</t>
        </is>
      </c>
      <c r="H637" t="inlineStr">
        <is>
          <t>Bookshelf</t>
        </is>
      </c>
      <c r="I637" t="n">
        <v>3</v>
      </c>
      <c r="J637" s="12" t="n">
        <v>5484.47</v>
      </c>
      <c r="K637" s="13" t="n">
        <v>0.1</v>
      </c>
      <c r="L637" s="12" t="n">
        <v>14808.07</v>
      </c>
      <c r="M637" s="12" t="n">
        <v>12175.52</v>
      </c>
      <c r="N637" s="12" t="n">
        <v>2632.55</v>
      </c>
      <c r="O637" t="inlineStr">
        <is>
          <t>Net Banking</t>
        </is>
      </c>
      <c r="P637" t="inlineStr">
        <is>
          <t>Kabir Singh</t>
        </is>
      </c>
    </row>
    <row r="638">
      <c r="A638" t="inlineStr">
        <is>
          <t>ORD-2506-0637</t>
        </is>
      </c>
      <c r="B638" s="11" t="n">
        <v>45814</v>
      </c>
      <c r="C638" t="inlineStr">
        <is>
          <t>South</t>
        </is>
      </c>
      <c r="D638" t="inlineStr">
        <is>
          <t>Hyderabad</t>
        </is>
      </c>
      <c r="E638" t="inlineStr">
        <is>
          <t>Consumer</t>
        </is>
      </c>
      <c r="F638" t="inlineStr">
        <is>
          <t>Online</t>
        </is>
      </c>
      <c r="G638" t="inlineStr">
        <is>
          <t>Technology</t>
        </is>
      </c>
      <c r="H638" t="inlineStr">
        <is>
          <t>Printer</t>
        </is>
      </c>
      <c r="I638" t="n">
        <v>3</v>
      </c>
      <c r="J638" s="12" t="n">
        <v>9910.02</v>
      </c>
      <c r="K638" s="13" t="n">
        <v>0.2</v>
      </c>
      <c r="L638" s="12" t="n">
        <v>23784.05</v>
      </c>
      <c r="M638" s="12" t="n">
        <v>24973.25</v>
      </c>
      <c r="N638" s="12" t="n">
        <v>-1189.2</v>
      </c>
      <c r="O638" t="inlineStr">
        <is>
          <t>Net Banking</t>
        </is>
      </c>
      <c r="P638" t="inlineStr">
        <is>
          <t>Rohan Verma</t>
        </is>
      </c>
    </row>
    <row r="639">
      <c r="A639" t="inlineStr">
        <is>
          <t>ORD-2508-0638</t>
        </is>
      </c>
      <c r="B639" s="11" t="n">
        <v>45891</v>
      </c>
      <c r="C639" t="inlineStr">
        <is>
          <t>South</t>
        </is>
      </c>
      <c r="D639" t="inlineStr">
        <is>
          <t>Chennai</t>
        </is>
      </c>
      <c r="E639" t="inlineStr">
        <is>
          <t>Small Business</t>
        </is>
      </c>
      <c r="F639" t="inlineStr">
        <is>
          <t>Partner</t>
        </is>
      </c>
      <c r="G639" t="inlineStr">
        <is>
          <t>Office Supplies</t>
        </is>
      </c>
      <c r="H639" t="inlineStr">
        <is>
          <t>Paper Ream</t>
        </is>
      </c>
      <c r="I639" t="n">
        <v>3</v>
      </c>
      <c r="J639" s="12" t="n">
        <v>398.18</v>
      </c>
      <c r="K639" s="13" t="n">
        <v>0</v>
      </c>
      <c r="L639" s="12" t="n">
        <v>1194.54</v>
      </c>
      <c r="M639" s="12" t="n">
        <v>919.8</v>
      </c>
      <c r="N639" s="12" t="n">
        <v>274.74</v>
      </c>
      <c r="O639" t="inlineStr">
        <is>
          <t>UPI</t>
        </is>
      </c>
      <c r="P639" t="inlineStr">
        <is>
          <t>Kabir Singh</t>
        </is>
      </c>
    </row>
    <row r="640">
      <c r="A640" t="inlineStr">
        <is>
          <t>ORD-2505-0639</t>
        </is>
      </c>
      <c r="B640" s="11" t="n">
        <v>45779</v>
      </c>
      <c r="C640" t="inlineStr">
        <is>
          <t>North</t>
        </is>
      </c>
      <c r="D640" t="inlineStr">
        <is>
          <t>Delhi</t>
        </is>
      </c>
      <c r="E640" t="inlineStr">
        <is>
          <t>Consumer</t>
        </is>
      </c>
      <c r="F640" t="inlineStr">
        <is>
          <t>Partner</t>
        </is>
      </c>
      <c r="G640" t="inlineStr">
        <is>
          <t>Furniture</t>
        </is>
      </c>
      <c r="H640" t="inlineStr">
        <is>
          <t>Office Chair</t>
        </is>
      </c>
      <c r="I640" t="n">
        <v>3</v>
      </c>
      <c r="J640" s="12" t="n">
        <v>6658.2</v>
      </c>
      <c r="K640" s="13" t="n">
        <v>0.05</v>
      </c>
      <c r="L640" s="12" t="n">
        <v>18975.87</v>
      </c>
      <c r="M640" s="12" t="n">
        <v>14381.71</v>
      </c>
      <c r="N640" s="12" t="n">
        <v>4594.16</v>
      </c>
      <c r="O640" t="inlineStr">
        <is>
          <t>Credit Card</t>
        </is>
      </c>
      <c r="P640" t="inlineStr">
        <is>
          <t>Sara Khan</t>
        </is>
      </c>
    </row>
    <row r="641">
      <c r="A641" t="inlineStr">
        <is>
          <t>ORD-2506-0640</t>
        </is>
      </c>
      <c r="B641" s="11" t="n">
        <v>45834</v>
      </c>
      <c r="C641" t="inlineStr">
        <is>
          <t>South</t>
        </is>
      </c>
      <c r="D641" t="inlineStr">
        <is>
          <t>Hyderabad</t>
        </is>
      </c>
      <c r="E641" t="inlineStr">
        <is>
          <t>Consumer</t>
        </is>
      </c>
      <c r="F641" t="inlineStr">
        <is>
          <t>Retail Store</t>
        </is>
      </c>
      <c r="G641" t="inlineStr">
        <is>
          <t>Furniture</t>
        </is>
      </c>
      <c r="H641" t="inlineStr">
        <is>
          <t>Bookshelf</t>
        </is>
      </c>
      <c r="I641" t="n">
        <v>3</v>
      </c>
      <c r="J641" s="12" t="n">
        <v>5034.9</v>
      </c>
      <c r="K641" s="13" t="n">
        <v>0</v>
      </c>
      <c r="L641" s="12" t="n">
        <v>15104.7</v>
      </c>
      <c r="M641" s="12" t="n">
        <v>11177.48</v>
      </c>
      <c r="N641" s="12" t="n">
        <v>3927.22</v>
      </c>
      <c r="O641" t="inlineStr">
        <is>
          <t>Debit Card</t>
        </is>
      </c>
      <c r="P641" t="inlineStr">
        <is>
          <t>Kabir Singh</t>
        </is>
      </c>
    </row>
    <row r="642">
      <c r="A642" t="inlineStr">
        <is>
          <t>ORD-2508-0641</t>
        </is>
      </c>
      <c r="B642" s="11" t="n">
        <v>45892</v>
      </c>
      <c r="C642" t="inlineStr">
        <is>
          <t>East</t>
        </is>
      </c>
      <c r="D642" t="inlineStr">
        <is>
          <t>Patna</t>
        </is>
      </c>
      <c r="E642" t="inlineStr">
        <is>
          <t>Small Business</t>
        </is>
      </c>
      <c r="F642" t="inlineStr">
        <is>
          <t>Partner</t>
        </is>
      </c>
      <c r="G642" t="inlineStr">
        <is>
          <t>Technology</t>
        </is>
      </c>
      <c r="H642" t="inlineStr">
        <is>
          <t>Laptop</t>
        </is>
      </c>
      <c r="I642" t="n">
        <v>10</v>
      </c>
      <c r="J642" s="12" t="n">
        <v>42049.79</v>
      </c>
      <c r="K642" s="13" t="n">
        <v>0.1</v>
      </c>
      <c r="L642" s="12" t="n">
        <v>378448.11</v>
      </c>
      <c r="M642" s="12" t="n">
        <v>370038.15</v>
      </c>
      <c r="N642" s="12" t="n">
        <v>8409.959999999999</v>
      </c>
      <c r="O642" t="inlineStr">
        <is>
          <t>Net Banking</t>
        </is>
      </c>
      <c r="P642" t="inlineStr">
        <is>
          <t>Anaya Rao</t>
        </is>
      </c>
    </row>
    <row r="643">
      <c r="A643" t="inlineStr">
        <is>
          <t>ORD-2505-0642</t>
        </is>
      </c>
      <c r="B643" s="11" t="n">
        <v>45806</v>
      </c>
      <c r="C643" t="inlineStr">
        <is>
          <t>Central</t>
        </is>
      </c>
      <c r="D643" t="inlineStr">
        <is>
          <t>Indore</t>
        </is>
      </c>
      <c r="E643" t="inlineStr">
        <is>
          <t>Small Business</t>
        </is>
      </c>
      <c r="F643" t="inlineStr">
        <is>
          <t>Online</t>
        </is>
      </c>
      <c r="G643" t="inlineStr">
        <is>
          <t>Office Supplies</t>
        </is>
      </c>
      <c r="H643" t="inlineStr">
        <is>
          <t>File Folder</t>
        </is>
      </c>
      <c r="I643" t="n">
        <v>3</v>
      </c>
      <c r="J643" s="12" t="n">
        <v>89.17</v>
      </c>
      <c r="K643" s="13" t="n">
        <v>0.15</v>
      </c>
      <c r="L643" s="12" t="n">
        <v>227.38</v>
      </c>
      <c r="M643" s="12" t="n">
        <v>165.86</v>
      </c>
      <c r="N643" s="12" t="n">
        <v>61.52</v>
      </c>
      <c r="O643" t="inlineStr">
        <is>
          <t>Debit Card</t>
        </is>
      </c>
      <c r="P643" t="inlineStr">
        <is>
          <t>Aarav Sharma</t>
        </is>
      </c>
    </row>
    <row r="644">
      <c r="A644" t="inlineStr">
        <is>
          <t>ORD-2503-0643</t>
        </is>
      </c>
      <c r="B644" s="11" t="n">
        <v>45729</v>
      </c>
      <c r="C644" t="inlineStr">
        <is>
          <t>Central</t>
        </is>
      </c>
      <c r="D644" t="inlineStr">
        <is>
          <t>Bhopal</t>
        </is>
      </c>
      <c r="E644" t="inlineStr">
        <is>
          <t>Corporate</t>
        </is>
      </c>
      <c r="F644" t="inlineStr">
        <is>
          <t>Online</t>
        </is>
      </c>
      <c r="G644" t="inlineStr">
        <is>
          <t>Technology</t>
        </is>
      </c>
      <c r="H644" t="inlineStr">
        <is>
          <t>Headphones</t>
        </is>
      </c>
      <c r="I644" t="n">
        <v>1</v>
      </c>
      <c r="J644" s="12" t="n">
        <v>2101.57</v>
      </c>
      <c r="K644" s="13" t="n">
        <v>0.1</v>
      </c>
      <c r="L644" s="12" t="n">
        <v>1891.41</v>
      </c>
      <c r="M644" s="12" t="n">
        <v>1639.22</v>
      </c>
      <c r="N644" s="12" t="n">
        <v>252.19</v>
      </c>
      <c r="O644" t="inlineStr">
        <is>
          <t>Net Banking</t>
        </is>
      </c>
      <c r="P644" t="inlineStr">
        <is>
          <t>Aarav Sharma</t>
        </is>
      </c>
    </row>
    <row r="645">
      <c r="A645" t="inlineStr">
        <is>
          <t>ORD-2511-0644</t>
        </is>
      </c>
      <c r="B645" s="11" t="n">
        <v>45969</v>
      </c>
      <c r="C645" t="inlineStr">
        <is>
          <t>South</t>
        </is>
      </c>
      <c r="D645" t="inlineStr">
        <is>
          <t>Chennai</t>
        </is>
      </c>
      <c r="E645" t="inlineStr">
        <is>
          <t>Small Business</t>
        </is>
      </c>
      <c r="F645" t="inlineStr">
        <is>
          <t>Retail Store</t>
        </is>
      </c>
      <c r="G645" t="inlineStr">
        <is>
          <t>Office Supplies</t>
        </is>
      </c>
      <c r="H645" t="inlineStr">
        <is>
          <t>File Folder</t>
        </is>
      </c>
      <c r="I645" t="n">
        <v>8</v>
      </c>
      <c r="J645" s="12" t="n">
        <v>83.12</v>
      </c>
      <c r="K645" s="13" t="n">
        <v>0</v>
      </c>
      <c r="L645" s="12" t="n">
        <v>664.96</v>
      </c>
      <c r="M645" s="12" t="n">
        <v>412.28</v>
      </c>
      <c r="N645" s="12" t="n">
        <v>252.68</v>
      </c>
      <c r="O645" t="inlineStr">
        <is>
          <t>Credit Card</t>
        </is>
      </c>
      <c r="P645" t="inlineStr">
        <is>
          <t>Vivaan Gupta</t>
        </is>
      </c>
    </row>
    <row r="646">
      <c r="A646" t="inlineStr">
        <is>
          <t>ORD-2504-0645</t>
        </is>
      </c>
      <c r="B646" s="11" t="n">
        <v>45757</v>
      </c>
      <c r="C646" t="inlineStr">
        <is>
          <t>West</t>
        </is>
      </c>
      <c r="D646" t="inlineStr">
        <is>
          <t>Ahmedabad</t>
        </is>
      </c>
      <c r="E646" t="inlineStr">
        <is>
          <t>Corporate</t>
        </is>
      </c>
      <c r="F646" t="inlineStr">
        <is>
          <t>Retail Store</t>
        </is>
      </c>
      <c r="G646" t="inlineStr">
        <is>
          <t>Office Supplies</t>
        </is>
      </c>
      <c r="H646" t="inlineStr">
        <is>
          <t>Notebook Pack</t>
        </is>
      </c>
      <c r="I646" t="n">
        <v>3</v>
      </c>
      <c r="J646" s="12" t="n">
        <v>372.87</v>
      </c>
      <c r="K646" s="13" t="n">
        <v>0.2</v>
      </c>
      <c r="L646" s="12" t="n">
        <v>894.89</v>
      </c>
      <c r="M646" s="12" t="n">
        <v>760.65</v>
      </c>
      <c r="N646" s="12" t="n">
        <v>134.24</v>
      </c>
      <c r="O646" t="inlineStr">
        <is>
          <t>UPI</t>
        </is>
      </c>
      <c r="P646" t="inlineStr">
        <is>
          <t>Vivaan Gupta</t>
        </is>
      </c>
    </row>
    <row r="647">
      <c r="A647" t="inlineStr">
        <is>
          <t>ORD-2507-0646</t>
        </is>
      </c>
      <c r="B647" s="11" t="n">
        <v>45847</v>
      </c>
      <c r="C647" t="inlineStr">
        <is>
          <t>West</t>
        </is>
      </c>
      <c r="D647" t="inlineStr">
        <is>
          <t>Ahmedabad</t>
        </is>
      </c>
      <c r="E647" t="inlineStr">
        <is>
          <t>Small Business</t>
        </is>
      </c>
      <c r="F647" t="inlineStr">
        <is>
          <t>Online</t>
        </is>
      </c>
      <c r="G647" t="inlineStr">
        <is>
          <t>Technology</t>
        </is>
      </c>
      <c r="H647" t="inlineStr">
        <is>
          <t>Laptop</t>
        </is>
      </c>
      <c r="I647" t="n">
        <v>2</v>
      </c>
      <c r="J647" s="12" t="n">
        <v>45208.96</v>
      </c>
      <c r="K647" s="13" t="n">
        <v>0.05</v>
      </c>
      <c r="L647" s="12" t="n">
        <v>85897.02</v>
      </c>
      <c r="M647" s="12" t="n">
        <v>79567.77</v>
      </c>
      <c r="N647" s="12" t="n">
        <v>6329.25</v>
      </c>
      <c r="O647" t="inlineStr">
        <is>
          <t>UPI</t>
        </is>
      </c>
      <c r="P647" t="inlineStr">
        <is>
          <t>Anaya Rao</t>
        </is>
      </c>
    </row>
    <row r="648">
      <c r="A648" t="inlineStr">
        <is>
          <t>ORD-2508-0647</t>
        </is>
      </c>
      <c r="B648" s="11" t="n">
        <v>45870</v>
      </c>
      <c r="C648" t="inlineStr">
        <is>
          <t>West</t>
        </is>
      </c>
      <c r="D648" t="inlineStr">
        <is>
          <t>Ahmedabad</t>
        </is>
      </c>
      <c r="E648" t="inlineStr">
        <is>
          <t>Corporate</t>
        </is>
      </c>
      <c r="F648" t="inlineStr">
        <is>
          <t>Online</t>
        </is>
      </c>
      <c r="G648" t="inlineStr">
        <is>
          <t>Technology</t>
        </is>
      </c>
      <c r="H648" t="inlineStr">
        <is>
          <t>Keyboard</t>
        </is>
      </c>
      <c r="I648" t="n">
        <v>5</v>
      </c>
      <c r="J648" s="12" t="n">
        <v>1382.94</v>
      </c>
      <c r="K648" s="13" t="n">
        <v>0.2</v>
      </c>
      <c r="L648" s="12" t="n">
        <v>5531.76</v>
      </c>
      <c r="M648" s="12" t="n">
        <v>5186.03</v>
      </c>
      <c r="N648" s="12" t="n">
        <v>345.73</v>
      </c>
      <c r="O648" t="inlineStr">
        <is>
          <t>Cash</t>
        </is>
      </c>
      <c r="P648" t="inlineStr">
        <is>
          <t>Diya Patel</t>
        </is>
      </c>
    </row>
    <row r="649">
      <c r="A649" t="inlineStr">
        <is>
          <t>ORD-2503-0648</t>
        </is>
      </c>
      <c r="B649" s="11" t="n">
        <v>45731</v>
      </c>
      <c r="C649" t="inlineStr">
        <is>
          <t>South</t>
        </is>
      </c>
      <c r="D649" t="inlineStr">
        <is>
          <t>Hyderabad</t>
        </is>
      </c>
      <c r="E649" t="inlineStr">
        <is>
          <t>Small Business</t>
        </is>
      </c>
      <c r="F649" t="inlineStr">
        <is>
          <t>Retail Store</t>
        </is>
      </c>
      <c r="G649" t="inlineStr">
        <is>
          <t>Furniture</t>
        </is>
      </c>
      <c r="H649" t="inlineStr">
        <is>
          <t>Bookshelf</t>
        </is>
      </c>
      <c r="I649" t="n">
        <v>10</v>
      </c>
      <c r="J649" s="12" t="n">
        <v>5063.07</v>
      </c>
      <c r="K649" s="13" t="n">
        <v>0.1</v>
      </c>
      <c r="L649" s="12" t="n">
        <v>45567.63</v>
      </c>
      <c r="M649" s="12" t="n">
        <v>37466.72</v>
      </c>
      <c r="N649" s="12" t="n">
        <v>8100.91</v>
      </c>
      <c r="O649" t="inlineStr">
        <is>
          <t>Credit Card</t>
        </is>
      </c>
      <c r="P649" t="inlineStr">
        <is>
          <t>Aarav Sharma</t>
        </is>
      </c>
    </row>
    <row r="650">
      <c r="A650" t="inlineStr">
        <is>
          <t>ORD-2507-0649</t>
        </is>
      </c>
      <c r="B650" s="11" t="n">
        <v>45867</v>
      </c>
      <c r="C650" t="inlineStr">
        <is>
          <t>East</t>
        </is>
      </c>
      <c r="D650" t="inlineStr">
        <is>
          <t>Guwahati</t>
        </is>
      </c>
      <c r="E650" t="inlineStr">
        <is>
          <t>Consumer</t>
        </is>
      </c>
      <c r="F650" t="inlineStr">
        <is>
          <t>Online</t>
        </is>
      </c>
      <c r="G650" t="inlineStr">
        <is>
          <t>Technology</t>
        </is>
      </c>
      <c r="H650" t="inlineStr">
        <is>
          <t>Keyboard</t>
        </is>
      </c>
      <c r="I650" t="n">
        <v>3</v>
      </c>
      <c r="J650" s="12" t="n">
        <v>1457.17</v>
      </c>
      <c r="K650" s="13" t="n">
        <v>0.1</v>
      </c>
      <c r="L650" s="12" t="n">
        <v>3934.36</v>
      </c>
      <c r="M650" s="12" t="n">
        <v>3278.63</v>
      </c>
      <c r="N650" s="12" t="n">
        <v>655.73</v>
      </c>
      <c r="O650" t="inlineStr">
        <is>
          <t>UPI</t>
        </is>
      </c>
      <c r="P650" t="inlineStr">
        <is>
          <t>Vivaan Gupta</t>
        </is>
      </c>
    </row>
    <row r="651">
      <c r="A651" t="inlineStr">
        <is>
          <t>ORD-2505-0650</t>
        </is>
      </c>
      <c r="B651" s="11" t="n">
        <v>45806</v>
      </c>
      <c r="C651" t="inlineStr">
        <is>
          <t>Central</t>
        </is>
      </c>
      <c r="D651" t="inlineStr">
        <is>
          <t>Nagpur</t>
        </is>
      </c>
      <c r="E651" t="inlineStr">
        <is>
          <t>Corporate</t>
        </is>
      </c>
      <c r="F651" t="inlineStr">
        <is>
          <t>Partner</t>
        </is>
      </c>
      <c r="G651" t="inlineStr">
        <is>
          <t>Technology</t>
        </is>
      </c>
      <c r="H651" t="inlineStr">
        <is>
          <t>Laptop</t>
        </is>
      </c>
      <c r="I651" t="n">
        <v>5</v>
      </c>
      <c r="J651" s="12" t="n">
        <v>42572.6</v>
      </c>
      <c r="K651" s="13" t="n">
        <v>0.05</v>
      </c>
      <c r="L651" s="12" t="n">
        <v>202219.85</v>
      </c>
      <c r="M651" s="12" t="n">
        <v>187319.44</v>
      </c>
      <c r="N651" s="12" t="n">
        <v>14900.41</v>
      </c>
      <c r="O651" t="inlineStr">
        <is>
          <t>Debit Card</t>
        </is>
      </c>
      <c r="P651" t="inlineStr">
        <is>
          <t>Meera Joshi</t>
        </is>
      </c>
    </row>
    <row r="652">
      <c r="A652" t="inlineStr">
        <is>
          <t>ORD-2501-0651</t>
        </is>
      </c>
      <c r="B652" s="11" t="n">
        <v>45671</v>
      </c>
      <c r="C652" t="inlineStr">
        <is>
          <t>North</t>
        </is>
      </c>
      <c r="D652" t="inlineStr">
        <is>
          <t>Jaipur</t>
        </is>
      </c>
      <c r="E652" t="inlineStr">
        <is>
          <t>Consumer</t>
        </is>
      </c>
      <c r="F652" t="inlineStr">
        <is>
          <t>Partner</t>
        </is>
      </c>
      <c r="G652" t="inlineStr">
        <is>
          <t>Technology</t>
        </is>
      </c>
      <c r="H652" t="inlineStr">
        <is>
          <t>Headphones</t>
        </is>
      </c>
      <c r="I652" t="n">
        <v>2</v>
      </c>
      <c r="J652" s="12" t="n">
        <v>2248.07</v>
      </c>
      <c r="K652" s="13" t="n">
        <v>0.1</v>
      </c>
      <c r="L652" s="12" t="n">
        <v>4046.53</v>
      </c>
      <c r="M652" s="12" t="n">
        <v>3506.99</v>
      </c>
      <c r="N652" s="12" t="n">
        <v>539.54</v>
      </c>
      <c r="O652" t="inlineStr">
        <is>
          <t>Net Banking</t>
        </is>
      </c>
      <c r="P652" t="inlineStr">
        <is>
          <t>Vivaan Gupta</t>
        </is>
      </c>
    </row>
    <row r="653">
      <c r="A653" t="inlineStr">
        <is>
          <t>ORD-2504-0652</t>
        </is>
      </c>
      <c r="B653" s="11" t="n">
        <v>45749</v>
      </c>
      <c r="C653" t="inlineStr">
        <is>
          <t>West</t>
        </is>
      </c>
      <c r="D653" t="inlineStr">
        <is>
          <t>Pune</t>
        </is>
      </c>
      <c r="E653" t="inlineStr">
        <is>
          <t>Consumer</t>
        </is>
      </c>
      <c r="F653" t="inlineStr">
        <is>
          <t>Partner</t>
        </is>
      </c>
      <c r="G653" t="inlineStr">
        <is>
          <t>Technology</t>
        </is>
      </c>
      <c r="H653" t="inlineStr">
        <is>
          <t>Laptop</t>
        </is>
      </c>
      <c r="I653" t="n">
        <v>1</v>
      </c>
      <c r="J653" s="12" t="n">
        <v>45321.92</v>
      </c>
      <c r="K653" s="13" t="n">
        <v>0</v>
      </c>
      <c r="L653" s="12" t="n">
        <v>45321.92</v>
      </c>
      <c r="M653" s="12" t="n">
        <v>39883.29</v>
      </c>
      <c r="N653" s="12" t="n">
        <v>5438.63</v>
      </c>
      <c r="O653" t="inlineStr">
        <is>
          <t>Net Banking</t>
        </is>
      </c>
      <c r="P653" t="inlineStr">
        <is>
          <t>Anaya Rao</t>
        </is>
      </c>
    </row>
    <row r="654">
      <c r="A654" t="inlineStr">
        <is>
          <t>ORD-2510-0653</t>
        </is>
      </c>
      <c r="B654" s="11" t="n">
        <v>45947</v>
      </c>
      <c r="C654" t="inlineStr">
        <is>
          <t>West</t>
        </is>
      </c>
      <c r="D654" t="inlineStr">
        <is>
          <t>Ahmedabad</t>
        </is>
      </c>
      <c r="E654" t="inlineStr">
        <is>
          <t>Corporate</t>
        </is>
      </c>
      <c r="F654" t="inlineStr">
        <is>
          <t>Partner</t>
        </is>
      </c>
      <c r="G654" t="inlineStr">
        <is>
          <t>Office Supplies</t>
        </is>
      </c>
      <c r="H654" t="inlineStr">
        <is>
          <t>Pens Box</t>
        </is>
      </c>
      <c r="I654" t="n">
        <v>4</v>
      </c>
      <c r="J654" s="12" t="n">
        <v>189.17</v>
      </c>
      <c r="K654" s="13" t="n">
        <v>0.2</v>
      </c>
      <c r="L654" s="12" t="n">
        <v>605.34</v>
      </c>
      <c r="M654" s="12" t="n">
        <v>491.84</v>
      </c>
      <c r="N654" s="12" t="n">
        <v>113.5</v>
      </c>
      <c r="O654" t="inlineStr">
        <is>
          <t>Cash</t>
        </is>
      </c>
      <c r="P654" t="inlineStr">
        <is>
          <t>Aarav Sharma</t>
        </is>
      </c>
    </row>
    <row r="655">
      <c r="A655" t="inlineStr">
        <is>
          <t>ORD-2505-0654</t>
        </is>
      </c>
      <c r="B655" s="11" t="n">
        <v>45790</v>
      </c>
      <c r="C655" t="inlineStr">
        <is>
          <t>South</t>
        </is>
      </c>
      <c r="D655" t="inlineStr">
        <is>
          <t>Bengaluru</t>
        </is>
      </c>
      <c r="E655" t="inlineStr">
        <is>
          <t>Consumer</t>
        </is>
      </c>
      <c r="F655" t="inlineStr">
        <is>
          <t>Online</t>
        </is>
      </c>
      <c r="G655" t="inlineStr">
        <is>
          <t>Technology</t>
        </is>
      </c>
      <c r="H655" t="inlineStr">
        <is>
          <t>Keyboard</t>
        </is>
      </c>
      <c r="I655" t="n">
        <v>2</v>
      </c>
      <c r="J655" s="12" t="n">
        <v>1318.35</v>
      </c>
      <c r="K655" s="13" t="n">
        <v>0.15</v>
      </c>
      <c r="L655" s="12" t="n">
        <v>2241.19</v>
      </c>
      <c r="M655" s="12" t="n">
        <v>1977.52</v>
      </c>
      <c r="N655" s="12" t="n">
        <v>263.67</v>
      </c>
      <c r="O655" t="inlineStr">
        <is>
          <t>Net Banking</t>
        </is>
      </c>
      <c r="P655" t="inlineStr">
        <is>
          <t>Sara Khan</t>
        </is>
      </c>
    </row>
    <row r="656">
      <c r="A656" t="inlineStr">
        <is>
          <t>ORD-2508-0655</t>
        </is>
      </c>
      <c r="B656" s="11" t="n">
        <v>45872</v>
      </c>
      <c r="C656" t="inlineStr">
        <is>
          <t>East</t>
        </is>
      </c>
      <c r="D656" t="inlineStr">
        <is>
          <t>Kolkata</t>
        </is>
      </c>
      <c r="E656" t="inlineStr">
        <is>
          <t>Consumer</t>
        </is>
      </c>
      <c r="F656" t="inlineStr">
        <is>
          <t>Partner</t>
        </is>
      </c>
      <c r="G656" t="inlineStr">
        <is>
          <t>Technology</t>
        </is>
      </c>
      <c r="H656" t="inlineStr">
        <is>
          <t>Headphones</t>
        </is>
      </c>
      <c r="I656" t="n">
        <v>2</v>
      </c>
      <c r="J656" s="12" t="n">
        <v>2051.04</v>
      </c>
      <c r="K656" s="13" t="n">
        <v>0.1</v>
      </c>
      <c r="L656" s="12" t="n">
        <v>3691.87</v>
      </c>
      <c r="M656" s="12" t="n">
        <v>3199.62</v>
      </c>
      <c r="N656" s="12" t="n">
        <v>492.25</v>
      </c>
      <c r="O656" t="inlineStr">
        <is>
          <t>UPI</t>
        </is>
      </c>
      <c r="P656" t="inlineStr">
        <is>
          <t>Diya Patel</t>
        </is>
      </c>
    </row>
    <row r="657">
      <c r="A657" t="inlineStr">
        <is>
          <t>ORD-2511-0656</t>
        </is>
      </c>
      <c r="B657" s="11" t="n">
        <v>45964</v>
      </c>
      <c r="C657" t="inlineStr">
        <is>
          <t>South</t>
        </is>
      </c>
      <c r="D657" t="inlineStr">
        <is>
          <t>Hyderabad</t>
        </is>
      </c>
      <c r="E657" t="inlineStr">
        <is>
          <t>Corporate</t>
        </is>
      </c>
      <c r="F657" t="inlineStr">
        <is>
          <t>Partner</t>
        </is>
      </c>
      <c r="G657" t="inlineStr">
        <is>
          <t>Office Supplies</t>
        </is>
      </c>
      <c r="H657" t="inlineStr">
        <is>
          <t>Stapler</t>
        </is>
      </c>
      <c r="I657" t="n">
        <v>2</v>
      </c>
      <c r="J657" s="12" t="n">
        <v>272.47</v>
      </c>
      <c r="K657" s="13" t="n">
        <v>0.15</v>
      </c>
      <c r="L657" s="12" t="n">
        <v>463.2</v>
      </c>
      <c r="M657" s="12" t="n">
        <v>381.46</v>
      </c>
      <c r="N657" s="12" t="n">
        <v>81.73999999999999</v>
      </c>
      <c r="O657" t="inlineStr">
        <is>
          <t>Net Banking</t>
        </is>
      </c>
      <c r="P657" t="inlineStr">
        <is>
          <t>Diya Patel</t>
        </is>
      </c>
    </row>
    <row r="658">
      <c r="A658" t="inlineStr">
        <is>
          <t>ORD-2510-0657</t>
        </is>
      </c>
      <c r="B658" s="11" t="n">
        <v>45931</v>
      </c>
      <c r="C658" t="inlineStr">
        <is>
          <t>Central</t>
        </is>
      </c>
      <c r="D658" t="inlineStr">
        <is>
          <t>Raipur</t>
        </is>
      </c>
      <c r="E658" t="inlineStr">
        <is>
          <t>Corporate</t>
        </is>
      </c>
      <c r="F658" t="inlineStr">
        <is>
          <t>Retail Store</t>
        </is>
      </c>
      <c r="G658" t="inlineStr">
        <is>
          <t>Office Supplies</t>
        </is>
      </c>
      <c r="H658" t="inlineStr">
        <is>
          <t>Stapler</t>
        </is>
      </c>
      <c r="I658" t="n">
        <v>1</v>
      </c>
      <c r="J658" s="12" t="n">
        <v>250.91</v>
      </c>
      <c r="K658" s="13" t="n">
        <v>0</v>
      </c>
      <c r="L658" s="12" t="n">
        <v>250.91</v>
      </c>
      <c r="M658" s="12" t="n">
        <v>175.64</v>
      </c>
      <c r="N658" s="12" t="n">
        <v>75.27</v>
      </c>
      <c r="O658" t="inlineStr">
        <is>
          <t>Net Banking</t>
        </is>
      </c>
      <c r="P658" t="inlineStr">
        <is>
          <t>Kabir Singh</t>
        </is>
      </c>
    </row>
    <row r="659">
      <c r="A659" t="inlineStr">
        <is>
          <t>ORD-2502-0658</t>
        </is>
      </c>
      <c r="B659" s="11" t="n">
        <v>45710</v>
      </c>
      <c r="C659" t="inlineStr">
        <is>
          <t>South</t>
        </is>
      </c>
      <c r="D659" t="inlineStr">
        <is>
          <t>Chennai</t>
        </is>
      </c>
      <c r="E659" t="inlineStr">
        <is>
          <t>Small Business</t>
        </is>
      </c>
      <c r="F659" t="inlineStr">
        <is>
          <t>Partner</t>
        </is>
      </c>
      <c r="G659" t="inlineStr">
        <is>
          <t>Furniture</t>
        </is>
      </c>
      <c r="H659" t="inlineStr">
        <is>
          <t>Storage Cabinet</t>
        </is>
      </c>
      <c r="I659" t="n">
        <v>2</v>
      </c>
      <c r="J659" s="12" t="n">
        <v>9465.41</v>
      </c>
      <c r="K659" s="13" t="n">
        <v>0</v>
      </c>
      <c r="L659" s="12" t="n">
        <v>18930.82</v>
      </c>
      <c r="M659" s="12" t="n">
        <v>15144.66</v>
      </c>
      <c r="N659" s="12" t="n">
        <v>3786.16</v>
      </c>
      <c r="O659" t="inlineStr">
        <is>
          <t>Cash</t>
        </is>
      </c>
      <c r="P659" t="inlineStr">
        <is>
          <t>Diya Patel</t>
        </is>
      </c>
    </row>
    <row r="660">
      <c r="A660" t="inlineStr">
        <is>
          <t>ORD-2508-0659</t>
        </is>
      </c>
      <c r="B660" s="11" t="n">
        <v>45871</v>
      </c>
      <c r="C660" t="inlineStr">
        <is>
          <t>West</t>
        </is>
      </c>
      <c r="D660" t="inlineStr">
        <is>
          <t>Mumbai</t>
        </is>
      </c>
      <c r="E660" t="inlineStr">
        <is>
          <t>Corporate</t>
        </is>
      </c>
      <c r="F660" t="inlineStr">
        <is>
          <t>Partner</t>
        </is>
      </c>
      <c r="G660" t="inlineStr">
        <is>
          <t>Technology</t>
        </is>
      </c>
      <c r="H660" t="inlineStr">
        <is>
          <t>Monitor</t>
        </is>
      </c>
      <c r="I660" t="n">
        <v>5</v>
      </c>
      <c r="J660" s="12" t="n">
        <v>12459.04</v>
      </c>
      <c r="K660" s="13" t="n">
        <v>0.15</v>
      </c>
      <c r="L660" s="12" t="n">
        <v>52950.92</v>
      </c>
      <c r="M660" s="12" t="n">
        <v>51082.06</v>
      </c>
      <c r="N660" s="12" t="n">
        <v>1868.86</v>
      </c>
      <c r="O660" t="inlineStr">
        <is>
          <t>Net Banking</t>
        </is>
      </c>
      <c r="P660" t="inlineStr">
        <is>
          <t>Kabir Singh</t>
        </is>
      </c>
    </row>
    <row r="661">
      <c r="A661" t="inlineStr">
        <is>
          <t>ORD-2508-0660</t>
        </is>
      </c>
      <c r="B661" s="11" t="n">
        <v>45884</v>
      </c>
      <c r="C661" t="inlineStr">
        <is>
          <t>Central</t>
        </is>
      </c>
      <c r="D661" t="inlineStr">
        <is>
          <t>Raipur</t>
        </is>
      </c>
      <c r="E661" t="inlineStr">
        <is>
          <t>Consumer</t>
        </is>
      </c>
      <c r="F661" t="inlineStr">
        <is>
          <t>Online</t>
        </is>
      </c>
      <c r="G661" t="inlineStr">
        <is>
          <t>Technology</t>
        </is>
      </c>
      <c r="H661" t="inlineStr">
        <is>
          <t>Keyboard</t>
        </is>
      </c>
      <c r="I661" t="n">
        <v>4</v>
      </c>
      <c r="J661" s="12" t="n">
        <v>1470.46</v>
      </c>
      <c r="K661" s="13" t="n">
        <v>0</v>
      </c>
      <c r="L661" s="12" t="n">
        <v>5881.84</v>
      </c>
      <c r="M661" s="12" t="n">
        <v>4411.38</v>
      </c>
      <c r="N661" s="12" t="n">
        <v>1470.46</v>
      </c>
      <c r="O661" t="inlineStr">
        <is>
          <t>UPI</t>
        </is>
      </c>
      <c r="P661" t="inlineStr">
        <is>
          <t>Meera Joshi</t>
        </is>
      </c>
    </row>
    <row r="662">
      <c r="A662" t="inlineStr">
        <is>
          <t>ORD-2506-0661</t>
        </is>
      </c>
      <c r="B662" s="11" t="n">
        <v>45815</v>
      </c>
      <c r="C662" t="inlineStr">
        <is>
          <t>South</t>
        </is>
      </c>
      <c r="D662" t="inlineStr">
        <is>
          <t>Chennai</t>
        </is>
      </c>
      <c r="E662" t="inlineStr">
        <is>
          <t>Consumer</t>
        </is>
      </c>
      <c r="F662" t="inlineStr">
        <is>
          <t>Online</t>
        </is>
      </c>
      <c r="G662" t="inlineStr">
        <is>
          <t>Technology</t>
        </is>
      </c>
      <c r="H662" t="inlineStr">
        <is>
          <t>Keyboard</t>
        </is>
      </c>
      <c r="I662" t="n">
        <v>10</v>
      </c>
      <c r="J662" s="12" t="n">
        <v>1458.92</v>
      </c>
      <c r="K662" s="13" t="n">
        <v>0.05</v>
      </c>
      <c r="L662" s="12" t="n">
        <v>13859.74</v>
      </c>
      <c r="M662" s="12" t="n">
        <v>10941.9</v>
      </c>
      <c r="N662" s="12" t="n">
        <v>2917.84</v>
      </c>
      <c r="O662" t="inlineStr">
        <is>
          <t>Credit Card</t>
        </is>
      </c>
      <c r="P662" t="inlineStr">
        <is>
          <t>Anaya Rao</t>
        </is>
      </c>
    </row>
    <row r="663">
      <c r="A663" t="inlineStr">
        <is>
          <t>ORD-2508-0662</t>
        </is>
      </c>
      <c r="B663" s="11" t="n">
        <v>45878</v>
      </c>
      <c r="C663" t="inlineStr">
        <is>
          <t>North</t>
        </is>
      </c>
      <c r="D663" t="inlineStr">
        <is>
          <t>Jaipur</t>
        </is>
      </c>
      <c r="E663" t="inlineStr">
        <is>
          <t>Corporate</t>
        </is>
      </c>
      <c r="F663" t="inlineStr">
        <is>
          <t>Online</t>
        </is>
      </c>
      <c r="G663" t="inlineStr">
        <is>
          <t>Technology</t>
        </is>
      </c>
      <c r="H663" t="inlineStr">
        <is>
          <t>Monitor</t>
        </is>
      </c>
      <c r="I663" t="n">
        <v>1</v>
      </c>
      <c r="J663" s="12" t="n">
        <v>12686.35</v>
      </c>
      <c r="K663" s="13" t="n">
        <v>0.1</v>
      </c>
      <c r="L663" s="12" t="n">
        <v>11417.72</v>
      </c>
      <c r="M663" s="12" t="n">
        <v>10402.81</v>
      </c>
      <c r="N663" s="12" t="n">
        <v>1014.91</v>
      </c>
      <c r="O663" t="inlineStr">
        <is>
          <t>Net Banking</t>
        </is>
      </c>
      <c r="P663" t="inlineStr">
        <is>
          <t>Aarav Sharma</t>
        </is>
      </c>
    </row>
    <row r="664">
      <c r="A664" t="inlineStr">
        <is>
          <t>ORD-2502-0663</t>
        </is>
      </c>
      <c r="B664" s="11" t="n">
        <v>45691</v>
      </c>
      <c r="C664" t="inlineStr">
        <is>
          <t>East</t>
        </is>
      </c>
      <c r="D664" t="inlineStr">
        <is>
          <t>Kolkata</t>
        </is>
      </c>
      <c r="E664" t="inlineStr">
        <is>
          <t>Small Business</t>
        </is>
      </c>
      <c r="F664" t="inlineStr">
        <is>
          <t>Online</t>
        </is>
      </c>
      <c r="G664" t="inlineStr">
        <is>
          <t>Office Supplies</t>
        </is>
      </c>
      <c r="H664" t="inlineStr">
        <is>
          <t>File Folder</t>
        </is>
      </c>
      <c r="I664" t="n">
        <v>1</v>
      </c>
      <c r="J664" s="12" t="n">
        <v>91.47</v>
      </c>
      <c r="K664" s="13" t="n">
        <v>0</v>
      </c>
      <c r="L664" s="12" t="n">
        <v>91.47</v>
      </c>
      <c r="M664" s="12" t="n">
        <v>56.71</v>
      </c>
      <c r="N664" s="12" t="n">
        <v>34.76</v>
      </c>
      <c r="O664" t="inlineStr">
        <is>
          <t>UPI</t>
        </is>
      </c>
      <c r="P664" t="inlineStr">
        <is>
          <t>Sara Khan</t>
        </is>
      </c>
    </row>
    <row r="665">
      <c r="A665" t="inlineStr">
        <is>
          <t>ORD-2501-0664</t>
        </is>
      </c>
      <c r="B665" s="11" t="n">
        <v>45672</v>
      </c>
      <c r="C665" t="inlineStr">
        <is>
          <t>North</t>
        </is>
      </c>
      <c r="D665" t="inlineStr">
        <is>
          <t>Jaipur</t>
        </is>
      </c>
      <c r="E665" t="inlineStr">
        <is>
          <t>Corporate</t>
        </is>
      </c>
      <c r="F665" t="inlineStr">
        <is>
          <t>Online</t>
        </is>
      </c>
      <c r="G665" t="inlineStr">
        <is>
          <t>Office Supplies</t>
        </is>
      </c>
      <c r="H665" t="inlineStr">
        <is>
          <t>Stapler</t>
        </is>
      </c>
      <c r="I665" t="n">
        <v>4</v>
      </c>
      <c r="J665" s="12" t="n">
        <v>263.32</v>
      </c>
      <c r="K665" s="13" t="n">
        <v>0</v>
      </c>
      <c r="L665" s="12" t="n">
        <v>1053.28</v>
      </c>
      <c r="M665" s="12" t="n">
        <v>737.3</v>
      </c>
      <c r="N665" s="12" t="n">
        <v>315.98</v>
      </c>
      <c r="O665" t="inlineStr">
        <is>
          <t>Cash</t>
        </is>
      </c>
      <c r="P665" t="inlineStr">
        <is>
          <t>Meera Joshi</t>
        </is>
      </c>
    </row>
    <row r="666">
      <c r="A666" t="inlineStr">
        <is>
          <t>ORD-2509-0665</t>
        </is>
      </c>
      <c r="B666" s="11" t="n">
        <v>45916</v>
      </c>
      <c r="C666" t="inlineStr">
        <is>
          <t>Central</t>
        </is>
      </c>
      <c r="D666" t="inlineStr">
        <is>
          <t>Bhopal</t>
        </is>
      </c>
      <c r="E666" t="inlineStr">
        <is>
          <t>Small Business</t>
        </is>
      </c>
      <c r="F666" t="inlineStr">
        <is>
          <t>Online</t>
        </is>
      </c>
      <c r="G666" t="inlineStr">
        <is>
          <t>Technology</t>
        </is>
      </c>
      <c r="H666" t="inlineStr">
        <is>
          <t>Monitor</t>
        </is>
      </c>
      <c r="I666" t="n">
        <v>5</v>
      </c>
      <c r="J666" s="12" t="n">
        <v>12557.68</v>
      </c>
      <c r="K666" s="13" t="n">
        <v>0.1</v>
      </c>
      <c r="L666" s="12" t="n">
        <v>56509.56</v>
      </c>
      <c r="M666" s="12" t="n">
        <v>51486.49</v>
      </c>
      <c r="N666" s="12" t="n">
        <v>5023.07</v>
      </c>
      <c r="O666" t="inlineStr">
        <is>
          <t>Net Banking</t>
        </is>
      </c>
      <c r="P666" t="inlineStr">
        <is>
          <t>Kabir Singh</t>
        </is>
      </c>
    </row>
    <row r="667">
      <c r="A667" t="inlineStr">
        <is>
          <t>ORD-2510-0666</t>
        </is>
      </c>
      <c r="B667" s="11" t="n">
        <v>45933</v>
      </c>
      <c r="C667" t="inlineStr">
        <is>
          <t>North</t>
        </is>
      </c>
      <c r="D667" t="inlineStr">
        <is>
          <t>Delhi</t>
        </is>
      </c>
      <c r="E667" t="inlineStr">
        <is>
          <t>Small Business</t>
        </is>
      </c>
      <c r="F667" t="inlineStr">
        <is>
          <t>Partner</t>
        </is>
      </c>
      <c r="G667" t="inlineStr">
        <is>
          <t>Technology</t>
        </is>
      </c>
      <c r="H667" t="inlineStr">
        <is>
          <t>Printer</t>
        </is>
      </c>
      <c r="I667" t="n">
        <v>6</v>
      </c>
      <c r="J667" s="12" t="n">
        <v>9461.57</v>
      </c>
      <c r="K667" s="13" t="n">
        <v>0.15</v>
      </c>
      <c r="L667" s="12" t="n">
        <v>48254.01</v>
      </c>
      <c r="M667" s="12" t="n">
        <v>47686.31</v>
      </c>
      <c r="N667" s="12" t="n">
        <v>567.7</v>
      </c>
      <c r="O667" t="inlineStr">
        <is>
          <t>UPI</t>
        </is>
      </c>
      <c r="P667" t="inlineStr">
        <is>
          <t>Anaya Rao</t>
        </is>
      </c>
    </row>
    <row r="668">
      <c r="A668" t="inlineStr">
        <is>
          <t>ORD-2512-0667</t>
        </is>
      </c>
      <c r="B668" s="11" t="n">
        <v>46002</v>
      </c>
      <c r="C668" t="inlineStr">
        <is>
          <t>North</t>
        </is>
      </c>
      <c r="D668" t="inlineStr">
        <is>
          <t>Jaipur</t>
        </is>
      </c>
      <c r="E668" t="inlineStr">
        <is>
          <t>Consumer</t>
        </is>
      </c>
      <c r="F668" t="inlineStr">
        <is>
          <t>Retail Store</t>
        </is>
      </c>
      <c r="G668" t="inlineStr">
        <is>
          <t>Office Supplies</t>
        </is>
      </c>
      <c r="H668" t="inlineStr">
        <is>
          <t>Stapler</t>
        </is>
      </c>
      <c r="I668" t="n">
        <v>2</v>
      </c>
      <c r="J668" s="12" t="n">
        <v>248.11</v>
      </c>
      <c r="K668" s="13" t="n">
        <v>0.05</v>
      </c>
      <c r="L668" s="12" t="n">
        <v>471.41</v>
      </c>
      <c r="M668" s="12" t="n">
        <v>347.35</v>
      </c>
      <c r="N668" s="12" t="n">
        <v>124.06</v>
      </c>
      <c r="O668" t="inlineStr">
        <is>
          <t>Credit Card</t>
        </is>
      </c>
      <c r="P668" t="inlineStr">
        <is>
          <t>Sara Khan</t>
        </is>
      </c>
    </row>
    <row r="669">
      <c r="A669" t="inlineStr">
        <is>
          <t>ORD-2503-0668</t>
        </is>
      </c>
      <c r="B669" s="11" t="n">
        <v>45721</v>
      </c>
      <c r="C669" t="inlineStr">
        <is>
          <t>West</t>
        </is>
      </c>
      <c r="D669" t="inlineStr">
        <is>
          <t>Mumbai</t>
        </is>
      </c>
      <c r="E669" t="inlineStr">
        <is>
          <t>Small Business</t>
        </is>
      </c>
      <c r="F669" t="inlineStr">
        <is>
          <t>Partner</t>
        </is>
      </c>
      <c r="G669" t="inlineStr">
        <is>
          <t>Furniture</t>
        </is>
      </c>
      <c r="H669" t="inlineStr">
        <is>
          <t>Storage Cabinet</t>
        </is>
      </c>
      <c r="I669" t="n">
        <v>1</v>
      </c>
      <c r="J669" s="12" t="n">
        <v>9191.540000000001</v>
      </c>
      <c r="K669" s="13" t="n">
        <v>0.1</v>
      </c>
      <c r="L669" s="12" t="n">
        <v>8272.389999999999</v>
      </c>
      <c r="M669" s="12" t="n">
        <v>7353.23</v>
      </c>
      <c r="N669" s="12" t="n">
        <v>919.16</v>
      </c>
      <c r="O669" t="inlineStr">
        <is>
          <t>Credit Card</t>
        </is>
      </c>
      <c r="P669" t="inlineStr">
        <is>
          <t>Diya Patel</t>
        </is>
      </c>
    </row>
    <row r="670">
      <c r="A670" t="inlineStr">
        <is>
          <t>ORD-2506-0669</t>
        </is>
      </c>
      <c r="B670" s="11" t="n">
        <v>45825</v>
      </c>
      <c r="C670" t="inlineStr">
        <is>
          <t>West</t>
        </is>
      </c>
      <c r="D670" t="inlineStr">
        <is>
          <t>Mumbai</t>
        </is>
      </c>
      <c r="E670" t="inlineStr">
        <is>
          <t>Corporate</t>
        </is>
      </c>
      <c r="F670" t="inlineStr">
        <is>
          <t>Online</t>
        </is>
      </c>
      <c r="G670" t="inlineStr">
        <is>
          <t>Furniture</t>
        </is>
      </c>
      <c r="H670" t="inlineStr">
        <is>
          <t>Desk</t>
        </is>
      </c>
      <c r="I670" t="n">
        <v>2</v>
      </c>
      <c r="J670" s="12" t="n">
        <v>11154.09</v>
      </c>
      <c r="K670" s="13" t="n">
        <v>0.1</v>
      </c>
      <c r="L670" s="12" t="n">
        <v>20077.36</v>
      </c>
      <c r="M670" s="12" t="n">
        <v>16954.22</v>
      </c>
      <c r="N670" s="12" t="n">
        <v>3123.14</v>
      </c>
      <c r="O670" t="inlineStr">
        <is>
          <t>Cash</t>
        </is>
      </c>
      <c r="P670" t="inlineStr">
        <is>
          <t>Vivaan Gupta</t>
        </is>
      </c>
    </row>
    <row r="671">
      <c r="A671" t="inlineStr">
        <is>
          <t>ORD-2505-0670</t>
        </is>
      </c>
      <c r="B671" s="11" t="n">
        <v>45806</v>
      </c>
      <c r="C671" t="inlineStr">
        <is>
          <t>West</t>
        </is>
      </c>
      <c r="D671" t="inlineStr">
        <is>
          <t>Pune</t>
        </is>
      </c>
      <c r="E671" t="inlineStr">
        <is>
          <t>Small Business</t>
        </is>
      </c>
      <c r="F671" t="inlineStr">
        <is>
          <t>Retail Store</t>
        </is>
      </c>
      <c r="G671" t="inlineStr">
        <is>
          <t>Office Supplies</t>
        </is>
      </c>
      <c r="H671" t="inlineStr">
        <is>
          <t>Stapler</t>
        </is>
      </c>
      <c r="I671" t="n">
        <v>1</v>
      </c>
      <c r="J671" s="12" t="n">
        <v>258.99</v>
      </c>
      <c r="K671" s="13" t="n">
        <v>0.15</v>
      </c>
      <c r="L671" s="12" t="n">
        <v>220.14</v>
      </c>
      <c r="M671" s="12" t="n">
        <v>181.29</v>
      </c>
      <c r="N671" s="12" t="n">
        <v>38.85</v>
      </c>
      <c r="O671" t="inlineStr">
        <is>
          <t>UPI</t>
        </is>
      </c>
      <c r="P671" t="inlineStr">
        <is>
          <t>Aarav Sharma</t>
        </is>
      </c>
    </row>
    <row r="672">
      <c r="A672" t="inlineStr">
        <is>
          <t>ORD-2512-0671</t>
        </is>
      </c>
      <c r="B672" s="11" t="n">
        <v>46003</v>
      </c>
      <c r="C672" t="inlineStr">
        <is>
          <t>West</t>
        </is>
      </c>
      <c r="D672" t="inlineStr">
        <is>
          <t>Mumbai</t>
        </is>
      </c>
      <c r="E672" t="inlineStr">
        <is>
          <t>Consumer</t>
        </is>
      </c>
      <c r="F672" t="inlineStr">
        <is>
          <t>Retail Store</t>
        </is>
      </c>
      <c r="G672" t="inlineStr">
        <is>
          <t>Furniture</t>
        </is>
      </c>
      <c r="H672" t="inlineStr">
        <is>
          <t>Desk</t>
        </is>
      </c>
      <c r="I672" t="n">
        <v>2</v>
      </c>
      <c r="J672" s="12" t="n">
        <v>10736.41</v>
      </c>
      <c r="K672" s="13" t="n">
        <v>0.1</v>
      </c>
      <c r="L672" s="12" t="n">
        <v>19325.54</v>
      </c>
      <c r="M672" s="12" t="n">
        <v>16319.34</v>
      </c>
      <c r="N672" s="12" t="n">
        <v>3006.2</v>
      </c>
      <c r="O672" t="inlineStr">
        <is>
          <t>Debit Card</t>
        </is>
      </c>
      <c r="P672" t="inlineStr">
        <is>
          <t>Diya Patel</t>
        </is>
      </c>
    </row>
    <row r="673">
      <c r="A673" t="inlineStr">
        <is>
          <t>ORD-2503-0672</t>
        </is>
      </c>
      <c r="B673" s="11" t="n">
        <v>45744</v>
      </c>
      <c r="C673" t="inlineStr">
        <is>
          <t>North</t>
        </is>
      </c>
      <c r="D673" t="inlineStr">
        <is>
          <t>Chandigarh</t>
        </is>
      </c>
      <c r="E673" t="inlineStr">
        <is>
          <t>Consumer</t>
        </is>
      </c>
      <c r="F673" t="inlineStr">
        <is>
          <t>Online</t>
        </is>
      </c>
      <c r="G673" t="inlineStr">
        <is>
          <t>Technology</t>
        </is>
      </c>
      <c r="H673" t="inlineStr">
        <is>
          <t>Printer</t>
        </is>
      </c>
      <c r="I673" t="n">
        <v>2</v>
      </c>
      <c r="J673" s="12" t="n">
        <v>10245.81</v>
      </c>
      <c r="K673" s="13" t="n">
        <v>0.1</v>
      </c>
      <c r="L673" s="12" t="n">
        <v>18442.46</v>
      </c>
      <c r="M673" s="12" t="n">
        <v>17212.96</v>
      </c>
      <c r="N673" s="12" t="n">
        <v>1229.5</v>
      </c>
      <c r="O673" t="inlineStr">
        <is>
          <t>Debit Card</t>
        </is>
      </c>
      <c r="P673" t="inlineStr">
        <is>
          <t>Anaya Rao</t>
        </is>
      </c>
    </row>
    <row r="674">
      <c r="A674" t="inlineStr">
        <is>
          <t>ORD-2505-0673</t>
        </is>
      </c>
      <c r="B674" s="11" t="n">
        <v>45800</v>
      </c>
      <c r="C674" t="inlineStr">
        <is>
          <t>Central</t>
        </is>
      </c>
      <c r="D674" t="inlineStr">
        <is>
          <t>Raipur</t>
        </is>
      </c>
      <c r="E674" t="inlineStr">
        <is>
          <t>Corporate</t>
        </is>
      </c>
      <c r="F674" t="inlineStr">
        <is>
          <t>Partner</t>
        </is>
      </c>
      <c r="G674" t="inlineStr">
        <is>
          <t>Office Supplies</t>
        </is>
      </c>
      <c r="H674" t="inlineStr">
        <is>
          <t>File Folder</t>
        </is>
      </c>
      <c r="I674" t="n">
        <v>5</v>
      </c>
      <c r="J674" s="12" t="n">
        <v>88.56</v>
      </c>
      <c r="K674" s="13" t="n">
        <v>0.1</v>
      </c>
      <c r="L674" s="12" t="n">
        <v>398.52</v>
      </c>
      <c r="M674" s="12" t="n">
        <v>274.54</v>
      </c>
      <c r="N674" s="12" t="n">
        <v>123.98</v>
      </c>
      <c r="O674" t="inlineStr">
        <is>
          <t>Cash</t>
        </is>
      </c>
      <c r="P674" t="inlineStr">
        <is>
          <t>Vivaan Gupta</t>
        </is>
      </c>
    </row>
    <row r="675">
      <c r="A675" t="inlineStr">
        <is>
          <t>ORD-2509-0674</t>
        </is>
      </c>
      <c r="B675" s="11" t="n">
        <v>45906</v>
      </c>
      <c r="C675" t="inlineStr">
        <is>
          <t>Central</t>
        </is>
      </c>
      <c r="D675" t="inlineStr">
        <is>
          <t>Raipur</t>
        </is>
      </c>
      <c r="E675" t="inlineStr">
        <is>
          <t>Corporate</t>
        </is>
      </c>
      <c r="F675" t="inlineStr">
        <is>
          <t>Online</t>
        </is>
      </c>
      <c r="G675" t="inlineStr">
        <is>
          <t>Technology</t>
        </is>
      </c>
      <c r="H675" t="inlineStr">
        <is>
          <t>Keyboard</t>
        </is>
      </c>
      <c r="I675" t="n">
        <v>4</v>
      </c>
      <c r="J675" s="12" t="n">
        <v>1344.15</v>
      </c>
      <c r="K675" s="13" t="n">
        <v>0</v>
      </c>
      <c r="L675" s="12" t="n">
        <v>5376.6</v>
      </c>
      <c r="M675" s="12" t="n">
        <v>4032.45</v>
      </c>
      <c r="N675" s="12" t="n">
        <v>1344.15</v>
      </c>
      <c r="O675" t="inlineStr">
        <is>
          <t>UPI</t>
        </is>
      </c>
      <c r="P675" t="inlineStr">
        <is>
          <t>Aarav Sharma</t>
        </is>
      </c>
    </row>
    <row r="676">
      <c r="A676" t="inlineStr">
        <is>
          <t>ORD-2502-0675</t>
        </is>
      </c>
      <c r="B676" s="11" t="n">
        <v>45708</v>
      </c>
      <c r="C676" t="inlineStr">
        <is>
          <t>North</t>
        </is>
      </c>
      <c r="D676" t="inlineStr">
        <is>
          <t>Delhi</t>
        </is>
      </c>
      <c r="E676" t="inlineStr">
        <is>
          <t>Small Business</t>
        </is>
      </c>
      <c r="F676" t="inlineStr">
        <is>
          <t>Retail Store</t>
        </is>
      </c>
      <c r="G676" t="inlineStr">
        <is>
          <t>Furniture</t>
        </is>
      </c>
      <c r="H676" t="inlineStr">
        <is>
          <t>Bookshelf</t>
        </is>
      </c>
      <c r="I676" t="n">
        <v>4</v>
      </c>
      <c r="J676" s="12" t="n">
        <v>5102.35</v>
      </c>
      <c r="K676" s="13" t="n">
        <v>0.2</v>
      </c>
      <c r="L676" s="12" t="n">
        <v>16327.52</v>
      </c>
      <c r="M676" s="12" t="n">
        <v>15102.96</v>
      </c>
      <c r="N676" s="12" t="n">
        <v>1224.56</v>
      </c>
      <c r="O676" t="inlineStr">
        <is>
          <t>UPI</t>
        </is>
      </c>
      <c r="P676" t="inlineStr">
        <is>
          <t>Rohan Verma</t>
        </is>
      </c>
    </row>
    <row r="677">
      <c r="A677" t="inlineStr">
        <is>
          <t>ORD-2511-0676</t>
        </is>
      </c>
      <c r="B677" s="11" t="n">
        <v>45976</v>
      </c>
      <c r="C677" t="inlineStr">
        <is>
          <t>Central</t>
        </is>
      </c>
      <c r="D677" t="inlineStr">
        <is>
          <t>Bhopal</t>
        </is>
      </c>
      <c r="E677" t="inlineStr">
        <is>
          <t>Corporate</t>
        </is>
      </c>
      <c r="F677" t="inlineStr">
        <is>
          <t>Online</t>
        </is>
      </c>
      <c r="G677" t="inlineStr">
        <is>
          <t>Office Supplies</t>
        </is>
      </c>
      <c r="H677" t="inlineStr">
        <is>
          <t>File Folder</t>
        </is>
      </c>
      <c r="I677" t="n">
        <v>1</v>
      </c>
      <c r="J677" s="12" t="n">
        <v>93.84999999999999</v>
      </c>
      <c r="K677" s="13" t="n">
        <v>0.1</v>
      </c>
      <c r="L677" s="12" t="n">
        <v>84.47</v>
      </c>
      <c r="M677" s="12" t="n">
        <v>58.19</v>
      </c>
      <c r="N677" s="12" t="n">
        <v>26.28</v>
      </c>
      <c r="O677" t="inlineStr">
        <is>
          <t>Net Banking</t>
        </is>
      </c>
      <c r="P677" t="inlineStr">
        <is>
          <t>Anaya Rao</t>
        </is>
      </c>
    </row>
    <row r="678">
      <c r="A678" t="inlineStr">
        <is>
          <t>ORD-2509-0677</t>
        </is>
      </c>
      <c r="B678" s="11" t="n">
        <v>45909</v>
      </c>
      <c r="C678" t="inlineStr">
        <is>
          <t>Central</t>
        </is>
      </c>
      <c r="D678" t="inlineStr">
        <is>
          <t>Raipur</t>
        </is>
      </c>
      <c r="E678" t="inlineStr">
        <is>
          <t>Consumer</t>
        </is>
      </c>
      <c r="F678" t="inlineStr">
        <is>
          <t>Retail Store</t>
        </is>
      </c>
      <c r="G678" t="inlineStr">
        <is>
          <t>Furniture</t>
        </is>
      </c>
      <c r="H678" t="inlineStr">
        <is>
          <t>Storage Cabinet</t>
        </is>
      </c>
      <c r="I678" t="n">
        <v>2</v>
      </c>
      <c r="J678" s="12" t="n">
        <v>8966.389999999999</v>
      </c>
      <c r="K678" s="13" t="n">
        <v>0.15</v>
      </c>
      <c r="L678" s="12" t="n">
        <v>15242.86</v>
      </c>
      <c r="M678" s="12" t="n">
        <v>14346.22</v>
      </c>
      <c r="N678" s="12" t="n">
        <v>896.64</v>
      </c>
      <c r="O678" t="inlineStr">
        <is>
          <t>Credit Card</t>
        </is>
      </c>
      <c r="P678" t="inlineStr">
        <is>
          <t>Vivaan Gupta</t>
        </is>
      </c>
    </row>
    <row r="679">
      <c r="A679" t="inlineStr">
        <is>
          <t>ORD-2508-0678</t>
        </is>
      </c>
      <c r="B679" s="11" t="n">
        <v>45888</v>
      </c>
      <c r="C679" t="inlineStr">
        <is>
          <t>East</t>
        </is>
      </c>
      <c r="D679" t="inlineStr">
        <is>
          <t>Guwahati</t>
        </is>
      </c>
      <c r="E679" t="inlineStr">
        <is>
          <t>Corporate</t>
        </is>
      </c>
      <c r="F679" t="inlineStr">
        <is>
          <t>Partner</t>
        </is>
      </c>
      <c r="G679" t="inlineStr">
        <is>
          <t>Furniture</t>
        </is>
      </c>
      <c r="H679" t="inlineStr">
        <is>
          <t>Bookshelf</t>
        </is>
      </c>
      <c r="I679" t="n">
        <v>3</v>
      </c>
      <c r="J679" s="12" t="n">
        <v>5247.15</v>
      </c>
      <c r="K679" s="13" t="n">
        <v>0</v>
      </c>
      <c r="L679" s="12" t="n">
        <v>15741.45</v>
      </c>
      <c r="M679" s="12" t="n">
        <v>11648.67</v>
      </c>
      <c r="N679" s="12" t="n">
        <v>4092.78</v>
      </c>
      <c r="O679" t="inlineStr">
        <is>
          <t>UPI</t>
        </is>
      </c>
      <c r="P679" t="inlineStr">
        <is>
          <t>Anaya Rao</t>
        </is>
      </c>
    </row>
    <row r="680">
      <c r="A680" t="inlineStr">
        <is>
          <t>ORD-2508-0679</t>
        </is>
      </c>
      <c r="B680" s="11" t="n">
        <v>45878</v>
      </c>
      <c r="C680" t="inlineStr">
        <is>
          <t>South</t>
        </is>
      </c>
      <c r="D680" t="inlineStr">
        <is>
          <t>Hyderabad</t>
        </is>
      </c>
      <c r="E680" t="inlineStr">
        <is>
          <t>Corporate</t>
        </is>
      </c>
      <c r="F680" t="inlineStr">
        <is>
          <t>Partner</t>
        </is>
      </c>
      <c r="G680" t="inlineStr">
        <is>
          <t>Office Supplies</t>
        </is>
      </c>
      <c r="H680" t="inlineStr">
        <is>
          <t>Paper Ream</t>
        </is>
      </c>
      <c r="I680" t="n">
        <v>2</v>
      </c>
      <c r="J680" s="12" t="n">
        <v>424.63</v>
      </c>
      <c r="K680" s="13" t="n">
        <v>0.1</v>
      </c>
      <c r="L680" s="12" t="n">
        <v>764.33</v>
      </c>
      <c r="M680" s="12" t="n">
        <v>653.9299999999999</v>
      </c>
      <c r="N680" s="12" t="n">
        <v>110.4</v>
      </c>
      <c r="O680" t="inlineStr">
        <is>
          <t>Cash</t>
        </is>
      </c>
      <c r="P680" t="inlineStr">
        <is>
          <t>Anaya Rao</t>
        </is>
      </c>
    </row>
    <row r="681">
      <c r="A681" t="inlineStr">
        <is>
          <t>ORD-2509-0680</t>
        </is>
      </c>
      <c r="B681" s="11" t="n">
        <v>45901</v>
      </c>
      <c r="C681" t="inlineStr">
        <is>
          <t>Central</t>
        </is>
      </c>
      <c r="D681" t="inlineStr">
        <is>
          <t>Indore</t>
        </is>
      </c>
      <c r="E681" t="inlineStr">
        <is>
          <t>Corporate</t>
        </is>
      </c>
      <c r="F681" t="inlineStr">
        <is>
          <t>Partner</t>
        </is>
      </c>
      <c r="G681" t="inlineStr">
        <is>
          <t>Furniture</t>
        </is>
      </c>
      <c r="H681" t="inlineStr">
        <is>
          <t>Storage Cabinet</t>
        </is>
      </c>
      <c r="I681" t="n">
        <v>1</v>
      </c>
      <c r="J681" s="12" t="n">
        <v>9029.65</v>
      </c>
      <c r="K681" s="13" t="n">
        <v>0</v>
      </c>
      <c r="L681" s="12" t="n">
        <v>9029.65</v>
      </c>
      <c r="M681" s="12" t="n">
        <v>7223.72</v>
      </c>
      <c r="N681" s="12" t="n">
        <v>1805.93</v>
      </c>
      <c r="O681" t="inlineStr">
        <is>
          <t>Net Banking</t>
        </is>
      </c>
      <c r="P681" t="inlineStr">
        <is>
          <t>Rohan Verma</t>
        </is>
      </c>
    </row>
    <row r="682">
      <c r="A682" t="inlineStr">
        <is>
          <t>ORD-2506-0681</t>
        </is>
      </c>
      <c r="B682" s="11" t="n">
        <v>45822</v>
      </c>
      <c r="C682" t="inlineStr">
        <is>
          <t>North</t>
        </is>
      </c>
      <c r="D682" t="inlineStr">
        <is>
          <t>Delhi</t>
        </is>
      </c>
      <c r="E682" t="inlineStr">
        <is>
          <t>Small Business</t>
        </is>
      </c>
      <c r="F682" t="inlineStr">
        <is>
          <t>Partner</t>
        </is>
      </c>
      <c r="G682" t="inlineStr">
        <is>
          <t>Office Supplies</t>
        </is>
      </c>
      <c r="H682" t="inlineStr">
        <is>
          <t>Notebook Pack</t>
        </is>
      </c>
      <c r="I682" t="n">
        <v>1</v>
      </c>
      <c r="J682" s="12" t="n">
        <v>341.54</v>
      </c>
      <c r="K682" s="13" t="n">
        <v>0.15</v>
      </c>
      <c r="L682" s="12" t="n">
        <v>290.31</v>
      </c>
      <c r="M682" s="12" t="n">
        <v>232.25</v>
      </c>
      <c r="N682" s="12" t="n">
        <v>58.06</v>
      </c>
      <c r="O682" t="inlineStr">
        <is>
          <t>Credit Card</t>
        </is>
      </c>
      <c r="P682" t="inlineStr">
        <is>
          <t>Sara Khan</t>
        </is>
      </c>
    </row>
    <row r="683">
      <c r="A683" t="inlineStr">
        <is>
          <t>ORD-2507-0682</t>
        </is>
      </c>
      <c r="B683" s="11" t="n">
        <v>45852</v>
      </c>
      <c r="C683" t="inlineStr">
        <is>
          <t>North</t>
        </is>
      </c>
      <c r="D683" t="inlineStr">
        <is>
          <t>Lucknow</t>
        </is>
      </c>
      <c r="E683" t="inlineStr">
        <is>
          <t>Consumer</t>
        </is>
      </c>
      <c r="F683" t="inlineStr">
        <is>
          <t>Online</t>
        </is>
      </c>
      <c r="G683" t="inlineStr">
        <is>
          <t>Furniture</t>
        </is>
      </c>
      <c r="H683" t="inlineStr">
        <is>
          <t>Office Chair</t>
        </is>
      </c>
      <c r="I683" t="n">
        <v>10</v>
      </c>
      <c r="J683" s="12" t="n">
        <v>6317.42</v>
      </c>
      <c r="K683" s="13" t="n">
        <v>0.05</v>
      </c>
      <c r="L683" s="12" t="n">
        <v>60015.49</v>
      </c>
      <c r="M683" s="12" t="n">
        <v>45485.42</v>
      </c>
      <c r="N683" s="12" t="n">
        <v>14530.07</v>
      </c>
      <c r="O683" t="inlineStr">
        <is>
          <t>UPI</t>
        </is>
      </c>
      <c r="P683" t="inlineStr">
        <is>
          <t>Rohan Verma</t>
        </is>
      </c>
    </row>
    <row r="684">
      <c r="A684" t="inlineStr">
        <is>
          <t>ORD-2510-0683</t>
        </is>
      </c>
      <c r="B684" s="11" t="n">
        <v>45961</v>
      </c>
      <c r="C684" t="inlineStr">
        <is>
          <t>North</t>
        </is>
      </c>
      <c r="D684" t="inlineStr">
        <is>
          <t>Delhi</t>
        </is>
      </c>
      <c r="E684" t="inlineStr">
        <is>
          <t>Corporate</t>
        </is>
      </c>
      <c r="F684" t="inlineStr">
        <is>
          <t>Online</t>
        </is>
      </c>
      <c r="G684" t="inlineStr">
        <is>
          <t>Office Supplies</t>
        </is>
      </c>
      <c r="H684" t="inlineStr">
        <is>
          <t>Stapler</t>
        </is>
      </c>
      <c r="I684" t="n">
        <v>2</v>
      </c>
      <c r="J684" s="12" t="n">
        <v>240.02</v>
      </c>
      <c r="K684" s="13" t="n">
        <v>0.05</v>
      </c>
      <c r="L684" s="12" t="n">
        <v>456.04</v>
      </c>
      <c r="M684" s="12" t="n">
        <v>336.03</v>
      </c>
      <c r="N684" s="12" t="n">
        <v>120.01</v>
      </c>
      <c r="O684" t="inlineStr">
        <is>
          <t>Debit Card</t>
        </is>
      </c>
      <c r="P684" t="inlineStr">
        <is>
          <t>Vivaan Gupta</t>
        </is>
      </c>
    </row>
    <row r="685">
      <c r="A685" t="inlineStr">
        <is>
          <t>ORD-2510-0684</t>
        </is>
      </c>
      <c r="B685" s="11" t="n">
        <v>45948</v>
      </c>
      <c r="C685" t="inlineStr">
        <is>
          <t>Central</t>
        </is>
      </c>
      <c r="D685" t="inlineStr">
        <is>
          <t>Nagpur</t>
        </is>
      </c>
      <c r="E685" t="inlineStr">
        <is>
          <t>Corporate</t>
        </is>
      </c>
      <c r="F685" t="inlineStr">
        <is>
          <t>Retail Store</t>
        </is>
      </c>
      <c r="G685" t="inlineStr">
        <is>
          <t>Technology</t>
        </is>
      </c>
      <c r="H685" t="inlineStr">
        <is>
          <t>Headphones</t>
        </is>
      </c>
      <c r="I685" t="n">
        <v>1</v>
      </c>
      <c r="J685" s="12" t="n">
        <v>2031.83</v>
      </c>
      <c r="K685" s="13" t="n">
        <v>0.05</v>
      </c>
      <c r="L685" s="12" t="n">
        <v>1930.24</v>
      </c>
      <c r="M685" s="12" t="n">
        <v>1584.83</v>
      </c>
      <c r="N685" s="12" t="n">
        <v>345.41</v>
      </c>
      <c r="O685" t="inlineStr">
        <is>
          <t>Cash</t>
        </is>
      </c>
      <c r="P685" t="inlineStr">
        <is>
          <t>Vivaan Gupta</t>
        </is>
      </c>
    </row>
    <row r="686">
      <c r="A686" t="inlineStr">
        <is>
          <t>ORD-2506-0685</t>
        </is>
      </c>
      <c r="B686" s="11" t="n">
        <v>45823</v>
      </c>
      <c r="C686" t="inlineStr">
        <is>
          <t>Central</t>
        </is>
      </c>
      <c r="D686" t="inlineStr">
        <is>
          <t>Bhopal</t>
        </is>
      </c>
      <c r="E686" t="inlineStr">
        <is>
          <t>Corporate</t>
        </is>
      </c>
      <c r="F686" t="inlineStr">
        <is>
          <t>Partner</t>
        </is>
      </c>
      <c r="G686" t="inlineStr">
        <is>
          <t>Office Supplies</t>
        </is>
      </c>
      <c r="H686" t="inlineStr">
        <is>
          <t>File Folder</t>
        </is>
      </c>
      <c r="I686" t="n">
        <v>3</v>
      </c>
      <c r="J686" s="12" t="n">
        <v>85.77</v>
      </c>
      <c r="K686" s="13" t="n">
        <v>0.1</v>
      </c>
      <c r="L686" s="12" t="n">
        <v>231.58</v>
      </c>
      <c r="M686" s="12" t="n">
        <v>159.53</v>
      </c>
      <c r="N686" s="12" t="n">
        <v>72.05</v>
      </c>
      <c r="O686" t="inlineStr">
        <is>
          <t>Net Banking</t>
        </is>
      </c>
      <c r="P686" t="inlineStr">
        <is>
          <t>Kabir Singh</t>
        </is>
      </c>
    </row>
    <row r="687">
      <c r="A687" t="inlineStr">
        <is>
          <t>ORD-2511-0686</t>
        </is>
      </c>
      <c r="B687" s="11" t="n">
        <v>45972</v>
      </c>
      <c r="C687" t="inlineStr">
        <is>
          <t>East</t>
        </is>
      </c>
      <c r="D687" t="inlineStr">
        <is>
          <t>Bhubaneswar</t>
        </is>
      </c>
      <c r="E687" t="inlineStr">
        <is>
          <t>Consumer</t>
        </is>
      </c>
      <c r="F687" t="inlineStr">
        <is>
          <t>Partner</t>
        </is>
      </c>
      <c r="G687" t="inlineStr">
        <is>
          <t>Furniture</t>
        </is>
      </c>
      <c r="H687" t="inlineStr">
        <is>
          <t>Desk</t>
        </is>
      </c>
      <c r="I687" t="n">
        <v>2</v>
      </c>
      <c r="J687" s="12" t="n">
        <v>12372.36</v>
      </c>
      <c r="K687" s="13" t="n">
        <v>0.1</v>
      </c>
      <c r="L687" s="12" t="n">
        <v>22270.25</v>
      </c>
      <c r="M687" s="12" t="n">
        <v>18805.99</v>
      </c>
      <c r="N687" s="12" t="n">
        <v>3464.26</v>
      </c>
      <c r="O687" t="inlineStr">
        <is>
          <t>UPI</t>
        </is>
      </c>
      <c r="P687" t="inlineStr">
        <is>
          <t>Rohan Verma</t>
        </is>
      </c>
    </row>
    <row r="688">
      <c r="A688" t="inlineStr">
        <is>
          <t>ORD-2505-0687</t>
        </is>
      </c>
      <c r="B688" s="11" t="n">
        <v>45793</v>
      </c>
      <c r="C688" t="inlineStr">
        <is>
          <t>North</t>
        </is>
      </c>
      <c r="D688" t="inlineStr">
        <is>
          <t>Chandigarh</t>
        </is>
      </c>
      <c r="E688" t="inlineStr">
        <is>
          <t>Consumer</t>
        </is>
      </c>
      <c r="F688" t="inlineStr">
        <is>
          <t>Partner</t>
        </is>
      </c>
      <c r="G688" t="inlineStr">
        <is>
          <t>Office Supplies</t>
        </is>
      </c>
      <c r="H688" t="inlineStr">
        <is>
          <t>Notebook Pack</t>
        </is>
      </c>
      <c r="I688" t="n">
        <v>2</v>
      </c>
      <c r="J688" s="12" t="n">
        <v>363.6</v>
      </c>
      <c r="K688" s="13" t="n">
        <v>0</v>
      </c>
      <c r="L688" s="12" t="n">
        <v>727.2</v>
      </c>
      <c r="M688" s="12" t="n">
        <v>494.5</v>
      </c>
      <c r="N688" s="12" t="n">
        <v>232.7</v>
      </c>
      <c r="O688" t="inlineStr">
        <is>
          <t>Cash</t>
        </is>
      </c>
      <c r="P688" t="inlineStr">
        <is>
          <t>Diya Patel</t>
        </is>
      </c>
    </row>
    <row r="689">
      <c r="A689" t="inlineStr">
        <is>
          <t>ORD-2510-0688</t>
        </is>
      </c>
      <c r="B689" s="11" t="n">
        <v>45961</v>
      </c>
      <c r="C689" t="inlineStr">
        <is>
          <t>East</t>
        </is>
      </c>
      <c r="D689" t="inlineStr">
        <is>
          <t>Bhubaneswar</t>
        </is>
      </c>
      <c r="E689" t="inlineStr">
        <is>
          <t>Corporate</t>
        </is>
      </c>
      <c r="F689" t="inlineStr">
        <is>
          <t>Online</t>
        </is>
      </c>
      <c r="G689" t="inlineStr">
        <is>
          <t>Technology</t>
        </is>
      </c>
      <c r="H689" t="inlineStr">
        <is>
          <t>Monitor</t>
        </is>
      </c>
      <c r="I689" t="n">
        <v>3</v>
      </c>
      <c r="J689" s="12" t="n">
        <v>12354.21</v>
      </c>
      <c r="K689" s="13" t="n">
        <v>0.1</v>
      </c>
      <c r="L689" s="12" t="n">
        <v>33356.37</v>
      </c>
      <c r="M689" s="12" t="n">
        <v>30391.36</v>
      </c>
      <c r="N689" s="12" t="n">
        <v>2965.01</v>
      </c>
      <c r="O689" t="inlineStr">
        <is>
          <t>Net Banking</t>
        </is>
      </c>
      <c r="P689" t="inlineStr">
        <is>
          <t>Rohan Verma</t>
        </is>
      </c>
    </row>
    <row r="690">
      <c r="A690" t="inlineStr">
        <is>
          <t>ORD-2508-0689</t>
        </is>
      </c>
      <c r="B690" s="11" t="n">
        <v>45879</v>
      </c>
      <c r="C690" t="inlineStr">
        <is>
          <t>Central</t>
        </is>
      </c>
      <c r="D690" t="inlineStr">
        <is>
          <t>Raipur</t>
        </is>
      </c>
      <c r="E690" t="inlineStr">
        <is>
          <t>Small Business</t>
        </is>
      </c>
      <c r="F690" t="inlineStr">
        <is>
          <t>Partner</t>
        </is>
      </c>
      <c r="G690" t="inlineStr">
        <is>
          <t>Technology</t>
        </is>
      </c>
      <c r="H690" t="inlineStr">
        <is>
          <t>Printer</t>
        </is>
      </c>
      <c r="I690" t="n">
        <v>2</v>
      </c>
      <c r="J690" s="12" t="n">
        <v>9523.360000000001</v>
      </c>
      <c r="K690" s="13" t="n">
        <v>0</v>
      </c>
      <c r="L690" s="12" t="n">
        <v>19046.72</v>
      </c>
      <c r="M690" s="12" t="n">
        <v>15999.24</v>
      </c>
      <c r="N690" s="12" t="n">
        <v>3047.48</v>
      </c>
      <c r="O690" t="inlineStr">
        <is>
          <t>UPI</t>
        </is>
      </c>
      <c r="P690" t="inlineStr">
        <is>
          <t>Aarav Sharma</t>
        </is>
      </c>
    </row>
    <row r="691">
      <c r="A691" t="inlineStr">
        <is>
          <t>ORD-2511-0690</t>
        </is>
      </c>
      <c r="B691" s="11" t="n">
        <v>45979</v>
      </c>
      <c r="C691" t="inlineStr">
        <is>
          <t>Central</t>
        </is>
      </c>
      <c r="D691" t="inlineStr">
        <is>
          <t>Indore</t>
        </is>
      </c>
      <c r="E691" t="inlineStr">
        <is>
          <t>Corporate</t>
        </is>
      </c>
      <c r="F691" t="inlineStr">
        <is>
          <t>Retail Store</t>
        </is>
      </c>
      <c r="G691" t="inlineStr">
        <is>
          <t>Office Supplies</t>
        </is>
      </c>
      <c r="H691" t="inlineStr">
        <is>
          <t>Notebook Pack</t>
        </is>
      </c>
      <c r="I691" t="n">
        <v>3</v>
      </c>
      <c r="J691" s="12" t="n">
        <v>368.14</v>
      </c>
      <c r="K691" s="13" t="n">
        <v>0.1</v>
      </c>
      <c r="L691" s="12" t="n">
        <v>993.98</v>
      </c>
      <c r="M691" s="12" t="n">
        <v>751.01</v>
      </c>
      <c r="N691" s="12" t="n">
        <v>242.97</v>
      </c>
      <c r="O691" t="inlineStr">
        <is>
          <t>Cash</t>
        </is>
      </c>
      <c r="P691" t="inlineStr">
        <is>
          <t>Vivaan Gupta</t>
        </is>
      </c>
    </row>
    <row r="692">
      <c r="A692" t="inlineStr">
        <is>
          <t>ORD-2510-0691</t>
        </is>
      </c>
      <c r="B692" s="11" t="n">
        <v>45947</v>
      </c>
      <c r="C692" t="inlineStr">
        <is>
          <t>North</t>
        </is>
      </c>
      <c r="D692" t="inlineStr">
        <is>
          <t>Jaipur</t>
        </is>
      </c>
      <c r="E692" t="inlineStr">
        <is>
          <t>Corporate</t>
        </is>
      </c>
      <c r="F692" t="inlineStr">
        <is>
          <t>Retail Store</t>
        </is>
      </c>
      <c r="G692" t="inlineStr">
        <is>
          <t>Furniture</t>
        </is>
      </c>
      <c r="H692" t="inlineStr">
        <is>
          <t>Office Chair</t>
        </is>
      </c>
      <c r="I692" t="n">
        <v>3</v>
      </c>
      <c r="J692" s="12" t="n">
        <v>7068.12</v>
      </c>
      <c r="K692" s="13" t="n">
        <v>0</v>
      </c>
      <c r="L692" s="12" t="n">
        <v>21204.36</v>
      </c>
      <c r="M692" s="12" t="n">
        <v>15267.14</v>
      </c>
      <c r="N692" s="12" t="n">
        <v>5937.22</v>
      </c>
      <c r="O692" t="inlineStr">
        <is>
          <t>Debit Card</t>
        </is>
      </c>
      <c r="P692" t="inlineStr">
        <is>
          <t>Sara Khan</t>
        </is>
      </c>
    </row>
    <row r="693">
      <c r="A693" t="inlineStr">
        <is>
          <t>ORD-2502-0692</t>
        </is>
      </c>
      <c r="B693" s="11" t="n">
        <v>45690</v>
      </c>
      <c r="C693" t="inlineStr">
        <is>
          <t>South</t>
        </is>
      </c>
      <c r="D693" t="inlineStr">
        <is>
          <t>Kochi</t>
        </is>
      </c>
      <c r="E693" t="inlineStr">
        <is>
          <t>Small Business</t>
        </is>
      </c>
      <c r="F693" t="inlineStr">
        <is>
          <t>Online</t>
        </is>
      </c>
      <c r="G693" t="inlineStr">
        <is>
          <t>Technology</t>
        </is>
      </c>
      <c r="H693" t="inlineStr">
        <is>
          <t>Headphones</t>
        </is>
      </c>
      <c r="I693" t="n">
        <v>5</v>
      </c>
      <c r="J693" s="12" t="n">
        <v>2114.27</v>
      </c>
      <c r="K693" s="13" t="n">
        <v>0.1</v>
      </c>
      <c r="L693" s="12" t="n">
        <v>9514.219999999999</v>
      </c>
      <c r="M693" s="12" t="n">
        <v>8245.65</v>
      </c>
      <c r="N693" s="12" t="n">
        <v>1268.57</v>
      </c>
      <c r="O693" t="inlineStr">
        <is>
          <t>Debit Card</t>
        </is>
      </c>
      <c r="P693" t="inlineStr">
        <is>
          <t>Meera Joshi</t>
        </is>
      </c>
    </row>
    <row r="694">
      <c r="A694" t="inlineStr">
        <is>
          <t>ORD-2502-0693</t>
        </is>
      </c>
      <c r="B694" s="11" t="n">
        <v>45716</v>
      </c>
      <c r="C694" t="inlineStr">
        <is>
          <t>South</t>
        </is>
      </c>
      <c r="D694" t="inlineStr">
        <is>
          <t>Chennai</t>
        </is>
      </c>
      <c r="E694" t="inlineStr">
        <is>
          <t>Small Business</t>
        </is>
      </c>
      <c r="F694" t="inlineStr">
        <is>
          <t>Retail Store</t>
        </is>
      </c>
      <c r="G694" t="inlineStr">
        <is>
          <t>Technology</t>
        </is>
      </c>
      <c r="H694" t="inlineStr">
        <is>
          <t>Laptop</t>
        </is>
      </c>
      <c r="I694" t="n">
        <v>2</v>
      </c>
      <c r="J694" s="12" t="n">
        <v>41759.15</v>
      </c>
      <c r="K694" s="13" t="n">
        <v>0.15</v>
      </c>
      <c r="L694" s="12" t="n">
        <v>70990.56</v>
      </c>
      <c r="M694" s="12" t="n">
        <v>73496.10000000001</v>
      </c>
      <c r="N694" s="12" t="n">
        <v>-2505.54</v>
      </c>
      <c r="O694" t="inlineStr">
        <is>
          <t>Debit Card</t>
        </is>
      </c>
      <c r="P694" t="inlineStr">
        <is>
          <t>Aarav Sharma</t>
        </is>
      </c>
    </row>
    <row r="695">
      <c r="A695" t="inlineStr">
        <is>
          <t>ORD-2504-0694</t>
        </is>
      </c>
      <c r="B695" s="11" t="n">
        <v>45761</v>
      </c>
      <c r="C695" t="inlineStr">
        <is>
          <t>South</t>
        </is>
      </c>
      <c r="D695" t="inlineStr">
        <is>
          <t>Hyderabad</t>
        </is>
      </c>
      <c r="E695" t="inlineStr">
        <is>
          <t>Small Business</t>
        </is>
      </c>
      <c r="F695" t="inlineStr">
        <is>
          <t>Online</t>
        </is>
      </c>
      <c r="G695" t="inlineStr">
        <is>
          <t>Technology</t>
        </is>
      </c>
      <c r="H695" t="inlineStr">
        <is>
          <t>Keyboard</t>
        </is>
      </c>
      <c r="I695" t="n">
        <v>1</v>
      </c>
      <c r="J695" s="12" t="n">
        <v>1350.22</v>
      </c>
      <c r="K695" s="13" t="n">
        <v>0.15</v>
      </c>
      <c r="L695" s="12" t="n">
        <v>1147.69</v>
      </c>
      <c r="M695" s="12" t="n">
        <v>1012.66</v>
      </c>
      <c r="N695" s="12" t="n">
        <v>135.03</v>
      </c>
      <c r="O695" t="inlineStr">
        <is>
          <t>Credit Card</t>
        </is>
      </c>
      <c r="P695" t="inlineStr">
        <is>
          <t>Anaya Rao</t>
        </is>
      </c>
    </row>
    <row r="696">
      <c r="A696" t="inlineStr">
        <is>
          <t>ORD-2501-0695</t>
        </is>
      </c>
      <c r="B696" s="11" t="n">
        <v>45668</v>
      </c>
      <c r="C696" t="inlineStr">
        <is>
          <t>North</t>
        </is>
      </c>
      <c r="D696" t="inlineStr">
        <is>
          <t>Delhi</t>
        </is>
      </c>
      <c r="E696" t="inlineStr">
        <is>
          <t>Corporate</t>
        </is>
      </c>
      <c r="F696" t="inlineStr">
        <is>
          <t>Retail Store</t>
        </is>
      </c>
      <c r="G696" t="inlineStr">
        <is>
          <t>Furniture</t>
        </is>
      </c>
      <c r="H696" t="inlineStr">
        <is>
          <t>Office Chair</t>
        </is>
      </c>
      <c r="I696" t="n">
        <v>3</v>
      </c>
      <c r="J696" s="12" t="n">
        <v>7235.83</v>
      </c>
      <c r="K696" s="13" t="n">
        <v>0.15</v>
      </c>
      <c r="L696" s="12" t="n">
        <v>18451.37</v>
      </c>
      <c r="M696" s="12" t="n">
        <v>15629.39</v>
      </c>
      <c r="N696" s="12" t="n">
        <v>2821.98</v>
      </c>
      <c r="O696" t="inlineStr">
        <is>
          <t>Credit Card</t>
        </is>
      </c>
      <c r="P696" t="inlineStr">
        <is>
          <t>Vivaan Gupta</t>
        </is>
      </c>
    </row>
    <row r="697">
      <c r="A697" t="inlineStr">
        <is>
          <t>ORD-2503-0696</t>
        </is>
      </c>
      <c r="B697" s="11" t="n">
        <v>45729</v>
      </c>
      <c r="C697" t="inlineStr">
        <is>
          <t>South</t>
        </is>
      </c>
      <c r="D697" t="inlineStr">
        <is>
          <t>Bengaluru</t>
        </is>
      </c>
      <c r="E697" t="inlineStr">
        <is>
          <t>Small Business</t>
        </is>
      </c>
      <c r="F697" t="inlineStr">
        <is>
          <t>Partner</t>
        </is>
      </c>
      <c r="G697" t="inlineStr">
        <is>
          <t>Office Supplies</t>
        </is>
      </c>
      <c r="H697" t="inlineStr">
        <is>
          <t>Notebook Pack</t>
        </is>
      </c>
      <c r="I697" t="n">
        <v>4</v>
      </c>
      <c r="J697" s="12" t="n">
        <v>351.23</v>
      </c>
      <c r="K697" s="13" t="n">
        <v>0.15</v>
      </c>
      <c r="L697" s="12" t="n">
        <v>1194.18</v>
      </c>
      <c r="M697" s="12" t="n">
        <v>955.35</v>
      </c>
      <c r="N697" s="12" t="n">
        <v>238.83</v>
      </c>
      <c r="O697" t="inlineStr">
        <is>
          <t>Net Banking</t>
        </is>
      </c>
      <c r="P697" t="inlineStr">
        <is>
          <t>Anaya Rao</t>
        </is>
      </c>
    </row>
    <row r="698">
      <c r="A698" t="inlineStr">
        <is>
          <t>ORD-2502-0697</t>
        </is>
      </c>
      <c r="B698" s="11" t="n">
        <v>45704</v>
      </c>
      <c r="C698" t="inlineStr">
        <is>
          <t>South</t>
        </is>
      </c>
      <c r="D698" t="inlineStr">
        <is>
          <t>Bengaluru</t>
        </is>
      </c>
      <c r="E698" t="inlineStr">
        <is>
          <t>Corporate</t>
        </is>
      </c>
      <c r="F698" t="inlineStr">
        <is>
          <t>Partner</t>
        </is>
      </c>
      <c r="G698" t="inlineStr">
        <is>
          <t>Office Supplies</t>
        </is>
      </c>
      <c r="H698" t="inlineStr">
        <is>
          <t>File Folder</t>
        </is>
      </c>
      <c r="I698" t="n">
        <v>5</v>
      </c>
      <c r="J698" s="12" t="n">
        <v>91.20999999999999</v>
      </c>
      <c r="K698" s="13" t="n">
        <v>0.05</v>
      </c>
      <c r="L698" s="12" t="n">
        <v>433.25</v>
      </c>
      <c r="M698" s="12" t="n">
        <v>282.75</v>
      </c>
      <c r="N698" s="12" t="n">
        <v>150.5</v>
      </c>
      <c r="O698" t="inlineStr">
        <is>
          <t>UPI</t>
        </is>
      </c>
      <c r="P698" t="inlineStr">
        <is>
          <t>Vivaan Gupta</t>
        </is>
      </c>
    </row>
    <row r="699">
      <c r="A699" t="inlineStr">
        <is>
          <t>ORD-2504-0698</t>
        </is>
      </c>
      <c r="B699" s="11" t="n">
        <v>45769</v>
      </c>
      <c r="C699" t="inlineStr">
        <is>
          <t>South</t>
        </is>
      </c>
      <c r="D699" t="inlineStr">
        <is>
          <t>Bengaluru</t>
        </is>
      </c>
      <c r="E699" t="inlineStr">
        <is>
          <t>Small Business</t>
        </is>
      </c>
      <c r="F699" t="inlineStr">
        <is>
          <t>Online</t>
        </is>
      </c>
      <c r="G699" t="inlineStr">
        <is>
          <t>Technology</t>
        </is>
      </c>
      <c r="H699" t="inlineStr">
        <is>
          <t>Keyboard</t>
        </is>
      </c>
      <c r="I699" t="n">
        <v>2</v>
      </c>
      <c r="J699" s="12" t="n">
        <v>1379.48</v>
      </c>
      <c r="K699" s="13" t="n">
        <v>0</v>
      </c>
      <c r="L699" s="12" t="n">
        <v>2758.96</v>
      </c>
      <c r="M699" s="12" t="n">
        <v>2069.22</v>
      </c>
      <c r="N699" s="12" t="n">
        <v>689.74</v>
      </c>
      <c r="O699" t="inlineStr">
        <is>
          <t>Debit Card</t>
        </is>
      </c>
      <c r="P699" t="inlineStr">
        <is>
          <t>Sara Khan</t>
        </is>
      </c>
    </row>
    <row r="700">
      <c r="A700" t="inlineStr">
        <is>
          <t>ORD-2512-0699</t>
        </is>
      </c>
      <c r="B700" s="11" t="n">
        <v>46016</v>
      </c>
      <c r="C700" t="inlineStr">
        <is>
          <t>North</t>
        </is>
      </c>
      <c r="D700" t="inlineStr">
        <is>
          <t>Chandigarh</t>
        </is>
      </c>
      <c r="E700" t="inlineStr">
        <is>
          <t>Consumer</t>
        </is>
      </c>
      <c r="F700" t="inlineStr">
        <is>
          <t>Retail Store</t>
        </is>
      </c>
      <c r="G700" t="inlineStr">
        <is>
          <t>Furniture</t>
        </is>
      </c>
      <c r="H700" t="inlineStr">
        <is>
          <t>Storage Cabinet</t>
        </is>
      </c>
      <c r="I700" t="n">
        <v>2</v>
      </c>
      <c r="J700" s="12" t="n">
        <v>9559.76</v>
      </c>
      <c r="K700" s="13" t="n">
        <v>0.1</v>
      </c>
      <c r="L700" s="12" t="n">
        <v>17207.57</v>
      </c>
      <c r="M700" s="12" t="n">
        <v>15295.62</v>
      </c>
      <c r="N700" s="12" t="n">
        <v>1911.95</v>
      </c>
      <c r="O700" t="inlineStr">
        <is>
          <t>Debit Card</t>
        </is>
      </c>
      <c r="P700" t="inlineStr">
        <is>
          <t>Sara Khan</t>
        </is>
      </c>
    </row>
    <row r="701">
      <c r="A701" t="inlineStr">
        <is>
          <t>ORD-2506-0700</t>
        </is>
      </c>
      <c r="B701" s="11" t="n">
        <v>45815</v>
      </c>
      <c r="C701" t="inlineStr">
        <is>
          <t>North</t>
        </is>
      </c>
      <c r="D701" t="inlineStr">
        <is>
          <t>Delhi</t>
        </is>
      </c>
      <c r="E701" t="inlineStr">
        <is>
          <t>Small Business</t>
        </is>
      </c>
      <c r="F701" t="inlineStr">
        <is>
          <t>Online</t>
        </is>
      </c>
      <c r="G701" t="inlineStr">
        <is>
          <t>Office Supplies</t>
        </is>
      </c>
      <c r="H701" t="inlineStr">
        <is>
          <t>Stapler</t>
        </is>
      </c>
      <c r="I701" t="n">
        <v>4</v>
      </c>
      <c r="J701" s="12" t="n">
        <v>241.47</v>
      </c>
      <c r="K701" s="13" t="n">
        <v>0.15</v>
      </c>
      <c r="L701" s="12" t="n">
        <v>821</v>
      </c>
      <c r="M701" s="12" t="n">
        <v>676.12</v>
      </c>
      <c r="N701" s="12" t="n">
        <v>144.88</v>
      </c>
      <c r="O701" t="inlineStr">
        <is>
          <t>Net Banking</t>
        </is>
      </c>
      <c r="P701" t="inlineStr">
        <is>
          <t>Vivaan Gupta</t>
        </is>
      </c>
    </row>
    <row r="702">
      <c r="A702" t="inlineStr">
        <is>
          <t>ORD-2506-0701</t>
        </is>
      </c>
      <c r="B702" s="11" t="n">
        <v>45816</v>
      </c>
      <c r="C702" t="inlineStr">
        <is>
          <t>East</t>
        </is>
      </c>
      <c r="D702" t="inlineStr">
        <is>
          <t>Kolkata</t>
        </is>
      </c>
      <c r="E702" t="inlineStr">
        <is>
          <t>Corporate</t>
        </is>
      </c>
      <c r="F702" t="inlineStr">
        <is>
          <t>Retail Store</t>
        </is>
      </c>
      <c r="G702" t="inlineStr">
        <is>
          <t>Furniture</t>
        </is>
      </c>
      <c r="H702" t="inlineStr">
        <is>
          <t>Storage Cabinet</t>
        </is>
      </c>
      <c r="I702" t="n">
        <v>5</v>
      </c>
      <c r="J702" s="12" t="n">
        <v>8741.18</v>
      </c>
      <c r="K702" s="13" t="n">
        <v>0.15</v>
      </c>
      <c r="L702" s="12" t="n">
        <v>37150.01</v>
      </c>
      <c r="M702" s="12" t="n">
        <v>34964.72</v>
      </c>
      <c r="N702" s="12" t="n">
        <v>2185.29</v>
      </c>
      <c r="O702" t="inlineStr">
        <is>
          <t>Net Banking</t>
        </is>
      </c>
      <c r="P702" t="inlineStr">
        <is>
          <t>Diya Patel</t>
        </is>
      </c>
    </row>
    <row r="703">
      <c r="A703" t="inlineStr">
        <is>
          <t>ORD-2505-0702</t>
        </is>
      </c>
      <c r="B703" s="11" t="n">
        <v>45778</v>
      </c>
      <c r="C703" t="inlineStr">
        <is>
          <t>East</t>
        </is>
      </c>
      <c r="D703" t="inlineStr">
        <is>
          <t>Patna</t>
        </is>
      </c>
      <c r="E703" t="inlineStr">
        <is>
          <t>Small Business</t>
        </is>
      </c>
      <c r="F703" t="inlineStr">
        <is>
          <t>Retail Store</t>
        </is>
      </c>
      <c r="G703" t="inlineStr">
        <is>
          <t>Office Supplies</t>
        </is>
      </c>
      <c r="H703" t="inlineStr">
        <is>
          <t>Stapler</t>
        </is>
      </c>
      <c r="I703" t="n">
        <v>6</v>
      </c>
      <c r="J703" s="12" t="n">
        <v>265.46</v>
      </c>
      <c r="K703" s="13" t="n">
        <v>0.15</v>
      </c>
      <c r="L703" s="12" t="n">
        <v>1353.85</v>
      </c>
      <c r="M703" s="12" t="n">
        <v>1114.93</v>
      </c>
      <c r="N703" s="12" t="n">
        <v>238.92</v>
      </c>
      <c r="O703" t="inlineStr">
        <is>
          <t>Credit Card</t>
        </is>
      </c>
      <c r="P703" t="inlineStr">
        <is>
          <t>Rohan Verma</t>
        </is>
      </c>
    </row>
    <row r="704">
      <c r="A704" t="inlineStr">
        <is>
          <t>ORD-2502-0703</t>
        </is>
      </c>
      <c r="B704" s="11" t="n">
        <v>45699</v>
      </c>
      <c r="C704" t="inlineStr">
        <is>
          <t>West</t>
        </is>
      </c>
      <c r="D704" t="inlineStr">
        <is>
          <t>Surat</t>
        </is>
      </c>
      <c r="E704" t="inlineStr">
        <is>
          <t>Consumer</t>
        </is>
      </c>
      <c r="F704" t="inlineStr">
        <is>
          <t>Online</t>
        </is>
      </c>
      <c r="G704" t="inlineStr">
        <is>
          <t>Office Supplies</t>
        </is>
      </c>
      <c r="H704" t="inlineStr">
        <is>
          <t>Paper Ream</t>
        </is>
      </c>
      <c r="I704" t="n">
        <v>2</v>
      </c>
      <c r="J704" s="12" t="n">
        <v>434.61</v>
      </c>
      <c r="K704" s="13" t="n">
        <v>0.15</v>
      </c>
      <c r="L704" s="12" t="n">
        <v>738.84</v>
      </c>
      <c r="M704" s="12" t="n">
        <v>669.3</v>
      </c>
      <c r="N704" s="12" t="n">
        <v>69.54000000000001</v>
      </c>
      <c r="O704" t="inlineStr">
        <is>
          <t>Net Banking</t>
        </is>
      </c>
      <c r="P704" t="inlineStr">
        <is>
          <t>Diya Patel</t>
        </is>
      </c>
    </row>
    <row r="705">
      <c r="A705" t="inlineStr">
        <is>
          <t>ORD-2506-0704</t>
        </is>
      </c>
      <c r="B705" s="11" t="n">
        <v>45838</v>
      </c>
      <c r="C705" t="inlineStr">
        <is>
          <t>West</t>
        </is>
      </c>
      <c r="D705" t="inlineStr">
        <is>
          <t>Ahmedabad</t>
        </is>
      </c>
      <c r="E705" t="inlineStr">
        <is>
          <t>Consumer</t>
        </is>
      </c>
      <c r="F705" t="inlineStr">
        <is>
          <t>Partner</t>
        </is>
      </c>
      <c r="G705" t="inlineStr">
        <is>
          <t>Furniture</t>
        </is>
      </c>
      <c r="H705" t="inlineStr">
        <is>
          <t>Bookshelf</t>
        </is>
      </c>
      <c r="I705" t="n">
        <v>4</v>
      </c>
      <c r="J705" s="12" t="n">
        <v>5317.62</v>
      </c>
      <c r="K705" s="13" t="n">
        <v>0.1</v>
      </c>
      <c r="L705" s="12" t="n">
        <v>19143.43</v>
      </c>
      <c r="M705" s="12" t="n">
        <v>15740.16</v>
      </c>
      <c r="N705" s="12" t="n">
        <v>3403.27</v>
      </c>
      <c r="O705" t="inlineStr">
        <is>
          <t>Debit Card</t>
        </is>
      </c>
      <c r="P705" t="inlineStr">
        <is>
          <t>Kabir Singh</t>
        </is>
      </c>
    </row>
    <row r="706">
      <c r="A706" t="inlineStr">
        <is>
          <t>ORD-2501-0705</t>
        </is>
      </c>
      <c r="B706" s="11" t="n">
        <v>45659</v>
      </c>
      <c r="C706" t="inlineStr">
        <is>
          <t>West</t>
        </is>
      </c>
      <c r="D706" t="inlineStr">
        <is>
          <t>Pune</t>
        </is>
      </c>
      <c r="E706" t="inlineStr">
        <is>
          <t>Consumer</t>
        </is>
      </c>
      <c r="F706" t="inlineStr">
        <is>
          <t>Partner</t>
        </is>
      </c>
      <c r="G706" t="inlineStr">
        <is>
          <t>Office Supplies</t>
        </is>
      </c>
      <c r="H706" t="inlineStr">
        <is>
          <t>Pens Box</t>
        </is>
      </c>
      <c r="I706" t="n">
        <v>2</v>
      </c>
      <c r="J706" s="12" t="n">
        <v>168.79</v>
      </c>
      <c r="K706" s="13" t="n">
        <v>0.1</v>
      </c>
      <c r="L706" s="12" t="n">
        <v>303.82</v>
      </c>
      <c r="M706" s="12" t="n">
        <v>219.43</v>
      </c>
      <c r="N706" s="12" t="n">
        <v>84.39</v>
      </c>
      <c r="O706" t="inlineStr">
        <is>
          <t>UPI</t>
        </is>
      </c>
      <c r="P706" t="inlineStr">
        <is>
          <t>Vivaan Gupta</t>
        </is>
      </c>
    </row>
    <row r="707">
      <c r="A707" t="inlineStr">
        <is>
          <t>ORD-2506-0706</t>
        </is>
      </c>
      <c r="B707" s="11" t="n">
        <v>45821</v>
      </c>
      <c r="C707" t="inlineStr">
        <is>
          <t>West</t>
        </is>
      </c>
      <c r="D707" t="inlineStr">
        <is>
          <t>Surat</t>
        </is>
      </c>
      <c r="E707" t="inlineStr">
        <is>
          <t>Corporate</t>
        </is>
      </c>
      <c r="F707" t="inlineStr">
        <is>
          <t>Retail Store</t>
        </is>
      </c>
      <c r="G707" t="inlineStr">
        <is>
          <t>Office Supplies</t>
        </is>
      </c>
      <c r="H707" t="inlineStr">
        <is>
          <t>Stapler</t>
        </is>
      </c>
      <c r="I707" t="n">
        <v>4</v>
      </c>
      <c r="J707" s="12" t="n">
        <v>267.8</v>
      </c>
      <c r="K707" s="13" t="n">
        <v>0</v>
      </c>
      <c r="L707" s="12" t="n">
        <v>1071.2</v>
      </c>
      <c r="M707" s="12" t="n">
        <v>749.84</v>
      </c>
      <c r="N707" s="12" t="n">
        <v>321.36</v>
      </c>
      <c r="O707" t="inlineStr">
        <is>
          <t>UPI</t>
        </is>
      </c>
      <c r="P707" t="inlineStr">
        <is>
          <t>Diya Patel</t>
        </is>
      </c>
    </row>
    <row r="708">
      <c r="A708" t="inlineStr">
        <is>
          <t>ORD-2508-0707</t>
        </is>
      </c>
      <c r="B708" s="11" t="n">
        <v>45870</v>
      </c>
      <c r="C708" t="inlineStr">
        <is>
          <t>East</t>
        </is>
      </c>
      <c r="D708" t="inlineStr">
        <is>
          <t>Patna</t>
        </is>
      </c>
      <c r="E708" t="inlineStr">
        <is>
          <t>Consumer</t>
        </is>
      </c>
      <c r="F708" t="inlineStr">
        <is>
          <t>Online</t>
        </is>
      </c>
      <c r="G708" t="inlineStr">
        <is>
          <t>Furniture</t>
        </is>
      </c>
      <c r="H708" t="inlineStr">
        <is>
          <t>Desk</t>
        </is>
      </c>
      <c r="I708" t="n">
        <v>6</v>
      </c>
      <c r="J708" s="12" t="n">
        <v>12207.19</v>
      </c>
      <c r="K708" s="13" t="n">
        <v>0.2</v>
      </c>
      <c r="L708" s="12" t="n">
        <v>58594.51</v>
      </c>
      <c r="M708" s="12" t="n">
        <v>55664.79</v>
      </c>
      <c r="N708" s="12" t="n">
        <v>2929.72</v>
      </c>
      <c r="O708" t="inlineStr">
        <is>
          <t>Credit Card</t>
        </is>
      </c>
      <c r="P708" t="inlineStr">
        <is>
          <t>Meera Joshi</t>
        </is>
      </c>
    </row>
    <row r="709">
      <c r="A709" t="inlineStr">
        <is>
          <t>ORD-2502-0708</t>
        </is>
      </c>
      <c r="B709" s="11" t="n">
        <v>45703</v>
      </c>
      <c r="C709" t="inlineStr">
        <is>
          <t>West</t>
        </is>
      </c>
      <c r="D709" t="inlineStr">
        <is>
          <t>Pune</t>
        </is>
      </c>
      <c r="E709" t="inlineStr">
        <is>
          <t>Corporate</t>
        </is>
      </c>
      <c r="F709" t="inlineStr">
        <is>
          <t>Partner</t>
        </is>
      </c>
      <c r="G709" t="inlineStr">
        <is>
          <t>Technology</t>
        </is>
      </c>
      <c r="H709" t="inlineStr">
        <is>
          <t>Headphones</t>
        </is>
      </c>
      <c r="I709" t="n">
        <v>4</v>
      </c>
      <c r="J709" s="12" t="n">
        <v>2165.16</v>
      </c>
      <c r="K709" s="13" t="n">
        <v>0</v>
      </c>
      <c r="L709" s="12" t="n">
        <v>8660.639999999999</v>
      </c>
      <c r="M709" s="12" t="n">
        <v>6755.3</v>
      </c>
      <c r="N709" s="12" t="n">
        <v>1905.34</v>
      </c>
      <c r="O709" t="inlineStr">
        <is>
          <t>Net Banking</t>
        </is>
      </c>
      <c r="P709" t="inlineStr">
        <is>
          <t>Kabir Singh</t>
        </is>
      </c>
    </row>
    <row r="710">
      <c r="A710" t="inlineStr">
        <is>
          <t>ORD-2502-0709</t>
        </is>
      </c>
      <c r="B710" s="11" t="n">
        <v>45703</v>
      </c>
      <c r="C710" t="inlineStr">
        <is>
          <t>East</t>
        </is>
      </c>
      <c r="D710" t="inlineStr">
        <is>
          <t>Patna</t>
        </is>
      </c>
      <c r="E710" t="inlineStr">
        <is>
          <t>Corporate</t>
        </is>
      </c>
      <c r="F710" t="inlineStr">
        <is>
          <t>Partner</t>
        </is>
      </c>
      <c r="G710" t="inlineStr">
        <is>
          <t>Office Supplies</t>
        </is>
      </c>
      <c r="H710" t="inlineStr">
        <is>
          <t>Notebook Pack</t>
        </is>
      </c>
      <c r="I710" t="n">
        <v>1</v>
      </c>
      <c r="J710" s="12" t="n">
        <v>346.37</v>
      </c>
      <c r="K710" s="13" t="n">
        <v>0.1</v>
      </c>
      <c r="L710" s="12" t="n">
        <v>311.73</v>
      </c>
      <c r="M710" s="12" t="n">
        <v>235.53</v>
      </c>
      <c r="N710" s="12" t="n">
        <v>76.2</v>
      </c>
      <c r="O710" t="inlineStr">
        <is>
          <t>Debit Card</t>
        </is>
      </c>
      <c r="P710" t="inlineStr">
        <is>
          <t>Diya Patel</t>
        </is>
      </c>
    </row>
    <row r="711">
      <c r="A711" t="inlineStr">
        <is>
          <t>ORD-2504-0710</t>
        </is>
      </c>
      <c r="B711" s="11" t="n">
        <v>45772</v>
      </c>
      <c r="C711" t="inlineStr">
        <is>
          <t>South</t>
        </is>
      </c>
      <c r="D711" t="inlineStr">
        <is>
          <t>Chennai</t>
        </is>
      </c>
      <c r="E711" t="inlineStr">
        <is>
          <t>Corporate</t>
        </is>
      </c>
      <c r="F711" t="inlineStr">
        <is>
          <t>Online</t>
        </is>
      </c>
      <c r="G711" t="inlineStr">
        <is>
          <t>Office Supplies</t>
        </is>
      </c>
      <c r="H711" t="inlineStr">
        <is>
          <t>Stapler</t>
        </is>
      </c>
      <c r="I711" t="n">
        <v>5</v>
      </c>
      <c r="J711" s="12" t="n">
        <v>270.25</v>
      </c>
      <c r="K711" s="13" t="n">
        <v>0</v>
      </c>
      <c r="L711" s="12" t="n">
        <v>1351.25</v>
      </c>
      <c r="M711" s="12" t="n">
        <v>945.87</v>
      </c>
      <c r="N711" s="12" t="n">
        <v>405.38</v>
      </c>
      <c r="O711" t="inlineStr">
        <is>
          <t>Debit Card</t>
        </is>
      </c>
      <c r="P711" t="inlineStr">
        <is>
          <t>Meera Joshi</t>
        </is>
      </c>
    </row>
    <row r="712">
      <c r="A712" t="inlineStr">
        <is>
          <t>ORD-2511-0711</t>
        </is>
      </c>
      <c r="B712" s="11" t="n">
        <v>45965</v>
      </c>
      <c r="C712" t="inlineStr">
        <is>
          <t>South</t>
        </is>
      </c>
      <c r="D712" t="inlineStr">
        <is>
          <t>Hyderabad</t>
        </is>
      </c>
      <c r="E712" t="inlineStr">
        <is>
          <t>Consumer</t>
        </is>
      </c>
      <c r="F712" t="inlineStr">
        <is>
          <t>Online</t>
        </is>
      </c>
      <c r="G712" t="inlineStr">
        <is>
          <t>Office Supplies</t>
        </is>
      </c>
      <c r="H712" t="inlineStr">
        <is>
          <t>Paper Ream</t>
        </is>
      </c>
      <c r="I712" t="n">
        <v>4</v>
      </c>
      <c r="J712" s="12" t="n">
        <v>413.85</v>
      </c>
      <c r="K712" s="13" t="n">
        <v>0.05</v>
      </c>
      <c r="L712" s="12" t="n">
        <v>1572.63</v>
      </c>
      <c r="M712" s="12" t="n">
        <v>1274.66</v>
      </c>
      <c r="N712" s="12" t="n">
        <v>297.97</v>
      </c>
      <c r="O712" t="inlineStr">
        <is>
          <t>Net Banking</t>
        </is>
      </c>
      <c r="P712" t="inlineStr">
        <is>
          <t>Rohan Verma</t>
        </is>
      </c>
    </row>
    <row r="713">
      <c r="A713" t="inlineStr">
        <is>
          <t>ORD-2505-0712</t>
        </is>
      </c>
      <c r="B713" s="11" t="n">
        <v>45778</v>
      </c>
      <c r="C713" t="inlineStr">
        <is>
          <t>Central</t>
        </is>
      </c>
      <c r="D713" t="inlineStr">
        <is>
          <t>Nagpur</t>
        </is>
      </c>
      <c r="E713" t="inlineStr">
        <is>
          <t>Consumer</t>
        </is>
      </c>
      <c r="F713" t="inlineStr">
        <is>
          <t>Retail Store</t>
        </is>
      </c>
      <c r="G713" t="inlineStr">
        <is>
          <t>Technology</t>
        </is>
      </c>
      <c r="H713" t="inlineStr">
        <is>
          <t>Printer</t>
        </is>
      </c>
      <c r="I713" t="n">
        <v>2</v>
      </c>
      <c r="J713" s="12" t="n">
        <v>9436.41</v>
      </c>
      <c r="K713" s="13" t="n">
        <v>0.1</v>
      </c>
      <c r="L713" s="12" t="n">
        <v>16985.54</v>
      </c>
      <c r="M713" s="12" t="n">
        <v>15853.17</v>
      </c>
      <c r="N713" s="12" t="n">
        <v>1132.37</v>
      </c>
      <c r="O713" t="inlineStr">
        <is>
          <t>UPI</t>
        </is>
      </c>
      <c r="P713" t="inlineStr">
        <is>
          <t>Sara Khan</t>
        </is>
      </c>
    </row>
    <row r="714">
      <c r="A714" t="inlineStr">
        <is>
          <t>ORD-2512-0713</t>
        </is>
      </c>
      <c r="B714" s="11" t="n">
        <v>46012</v>
      </c>
      <c r="C714" t="inlineStr">
        <is>
          <t>West</t>
        </is>
      </c>
      <c r="D714" t="inlineStr">
        <is>
          <t>Pune</t>
        </is>
      </c>
      <c r="E714" t="inlineStr">
        <is>
          <t>Consumer</t>
        </is>
      </c>
      <c r="F714" t="inlineStr">
        <is>
          <t>Online</t>
        </is>
      </c>
      <c r="G714" t="inlineStr">
        <is>
          <t>Office Supplies</t>
        </is>
      </c>
      <c r="H714" t="inlineStr">
        <is>
          <t>Paper Ream</t>
        </is>
      </c>
      <c r="I714" t="n">
        <v>2</v>
      </c>
      <c r="J714" s="12" t="n">
        <v>426.53</v>
      </c>
      <c r="K714" s="13" t="n">
        <v>0.05</v>
      </c>
      <c r="L714" s="12" t="n">
        <v>810.41</v>
      </c>
      <c r="M714" s="12" t="n">
        <v>656.86</v>
      </c>
      <c r="N714" s="12" t="n">
        <v>153.55</v>
      </c>
      <c r="O714" t="inlineStr">
        <is>
          <t>Cash</t>
        </is>
      </c>
      <c r="P714" t="inlineStr">
        <is>
          <t>Aarav Sharma</t>
        </is>
      </c>
    </row>
    <row r="715">
      <c r="A715" t="inlineStr">
        <is>
          <t>ORD-2501-0714</t>
        </is>
      </c>
      <c r="B715" s="11" t="n">
        <v>45684</v>
      </c>
      <c r="C715" t="inlineStr">
        <is>
          <t>East</t>
        </is>
      </c>
      <c r="D715" t="inlineStr">
        <is>
          <t>Patna</t>
        </is>
      </c>
      <c r="E715" t="inlineStr">
        <is>
          <t>Small Business</t>
        </is>
      </c>
      <c r="F715" t="inlineStr">
        <is>
          <t>Partner</t>
        </is>
      </c>
      <c r="G715" t="inlineStr">
        <is>
          <t>Furniture</t>
        </is>
      </c>
      <c r="H715" t="inlineStr">
        <is>
          <t>Bookshelf</t>
        </is>
      </c>
      <c r="I715" t="n">
        <v>6</v>
      </c>
      <c r="J715" s="12" t="n">
        <v>5565.52</v>
      </c>
      <c r="K715" s="13" t="n">
        <v>0.2</v>
      </c>
      <c r="L715" s="12" t="n">
        <v>26714.5</v>
      </c>
      <c r="M715" s="12" t="n">
        <v>24710.91</v>
      </c>
      <c r="N715" s="12" t="n">
        <v>2003.59</v>
      </c>
      <c r="O715" t="inlineStr">
        <is>
          <t>Credit Card</t>
        </is>
      </c>
      <c r="P715" t="inlineStr">
        <is>
          <t>Aarav Sharma</t>
        </is>
      </c>
    </row>
    <row r="716">
      <c r="A716" t="inlineStr">
        <is>
          <t>ORD-2505-0715</t>
        </is>
      </c>
      <c r="B716" s="11" t="n">
        <v>45787</v>
      </c>
      <c r="C716" t="inlineStr">
        <is>
          <t>Central</t>
        </is>
      </c>
      <c r="D716" t="inlineStr">
        <is>
          <t>Nagpur</t>
        </is>
      </c>
      <c r="E716" t="inlineStr">
        <is>
          <t>Small Business</t>
        </is>
      </c>
      <c r="F716" t="inlineStr">
        <is>
          <t>Online</t>
        </is>
      </c>
      <c r="G716" t="inlineStr">
        <is>
          <t>Technology</t>
        </is>
      </c>
      <c r="H716" t="inlineStr">
        <is>
          <t>Headphones</t>
        </is>
      </c>
      <c r="I716" t="n">
        <v>10</v>
      </c>
      <c r="J716" s="12" t="n">
        <v>2070.55</v>
      </c>
      <c r="K716" s="13" t="n">
        <v>0.1</v>
      </c>
      <c r="L716" s="12" t="n">
        <v>18634.95</v>
      </c>
      <c r="M716" s="12" t="n">
        <v>16150.29</v>
      </c>
      <c r="N716" s="12" t="n">
        <v>2484.66</v>
      </c>
      <c r="O716" t="inlineStr">
        <is>
          <t>Cash</t>
        </is>
      </c>
      <c r="P716" t="inlineStr">
        <is>
          <t>Kabir Singh</t>
        </is>
      </c>
    </row>
    <row r="717">
      <c r="A717" t="inlineStr">
        <is>
          <t>ORD-2505-0716</t>
        </is>
      </c>
      <c r="B717" s="11" t="n">
        <v>45791</v>
      </c>
      <c r="C717" t="inlineStr">
        <is>
          <t>South</t>
        </is>
      </c>
      <c r="D717" t="inlineStr">
        <is>
          <t>Kochi</t>
        </is>
      </c>
      <c r="E717" t="inlineStr">
        <is>
          <t>Small Business</t>
        </is>
      </c>
      <c r="F717" t="inlineStr">
        <is>
          <t>Retail Store</t>
        </is>
      </c>
      <c r="G717" t="inlineStr">
        <is>
          <t>Furniture</t>
        </is>
      </c>
      <c r="H717" t="inlineStr">
        <is>
          <t>Office Chair</t>
        </is>
      </c>
      <c r="I717" t="n">
        <v>6</v>
      </c>
      <c r="J717" s="12" t="n">
        <v>6601.24</v>
      </c>
      <c r="K717" s="13" t="n">
        <v>0</v>
      </c>
      <c r="L717" s="12" t="n">
        <v>39607.44</v>
      </c>
      <c r="M717" s="12" t="n">
        <v>28517.36</v>
      </c>
      <c r="N717" s="12" t="n">
        <v>11090.08</v>
      </c>
      <c r="O717" t="inlineStr">
        <is>
          <t>UPI</t>
        </is>
      </c>
      <c r="P717" t="inlineStr">
        <is>
          <t>Rohan Verma</t>
        </is>
      </c>
    </row>
    <row r="718">
      <c r="A718" t="inlineStr">
        <is>
          <t>ORD-2503-0717</t>
        </is>
      </c>
      <c r="B718" s="11" t="n">
        <v>45717</v>
      </c>
      <c r="C718" t="inlineStr">
        <is>
          <t>East</t>
        </is>
      </c>
      <c r="D718" t="inlineStr">
        <is>
          <t>Kolkata</t>
        </is>
      </c>
      <c r="E718" t="inlineStr">
        <is>
          <t>Corporate</t>
        </is>
      </c>
      <c r="F718" t="inlineStr">
        <is>
          <t>Retail Store</t>
        </is>
      </c>
      <c r="G718" t="inlineStr">
        <is>
          <t>Technology</t>
        </is>
      </c>
      <c r="H718" t="inlineStr">
        <is>
          <t>Keyboard</t>
        </is>
      </c>
      <c r="I718" t="n">
        <v>3</v>
      </c>
      <c r="J718" s="12" t="n">
        <v>1350.94</v>
      </c>
      <c r="K718" s="13" t="n">
        <v>0.2</v>
      </c>
      <c r="L718" s="12" t="n">
        <v>3242.26</v>
      </c>
      <c r="M718" s="12" t="n">
        <v>3039.62</v>
      </c>
      <c r="N718" s="12" t="n">
        <v>202.64</v>
      </c>
      <c r="O718" t="inlineStr">
        <is>
          <t>Net Banking</t>
        </is>
      </c>
      <c r="P718" t="inlineStr">
        <is>
          <t>Rohan Verma</t>
        </is>
      </c>
    </row>
    <row r="719">
      <c r="A719" t="inlineStr">
        <is>
          <t>ORD-2511-0718</t>
        </is>
      </c>
      <c r="B719" s="11" t="n">
        <v>45971</v>
      </c>
      <c r="C719" t="inlineStr">
        <is>
          <t>East</t>
        </is>
      </c>
      <c r="D719" t="inlineStr">
        <is>
          <t>Bhubaneswar</t>
        </is>
      </c>
      <c r="E719" t="inlineStr">
        <is>
          <t>Consumer</t>
        </is>
      </c>
      <c r="F719" t="inlineStr">
        <is>
          <t>Partner</t>
        </is>
      </c>
      <c r="G719" t="inlineStr">
        <is>
          <t>Furniture</t>
        </is>
      </c>
      <c r="H719" t="inlineStr">
        <is>
          <t>Desk</t>
        </is>
      </c>
      <c r="I719" t="n">
        <v>6</v>
      </c>
      <c r="J719" s="12" t="n">
        <v>12410</v>
      </c>
      <c r="K719" s="13" t="n">
        <v>0.05</v>
      </c>
      <c r="L719" s="12" t="n">
        <v>70737</v>
      </c>
      <c r="M719" s="12" t="n">
        <v>56589.6</v>
      </c>
      <c r="N719" s="12" t="n">
        <v>14147.4</v>
      </c>
      <c r="O719" t="inlineStr">
        <is>
          <t>Debit Card</t>
        </is>
      </c>
      <c r="P719" t="inlineStr">
        <is>
          <t>Aarav Sharma</t>
        </is>
      </c>
    </row>
    <row r="720">
      <c r="A720" t="inlineStr">
        <is>
          <t>ORD-2504-0719</t>
        </is>
      </c>
      <c r="B720" s="11" t="n">
        <v>45754</v>
      </c>
      <c r="C720" t="inlineStr">
        <is>
          <t>South</t>
        </is>
      </c>
      <c r="D720" t="inlineStr">
        <is>
          <t>Bengaluru</t>
        </is>
      </c>
      <c r="E720" t="inlineStr">
        <is>
          <t>Corporate</t>
        </is>
      </c>
      <c r="F720" t="inlineStr">
        <is>
          <t>Retail Store</t>
        </is>
      </c>
      <c r="G720" t="inlineStr">
        <is>
          <t>Technology</t>
        </is>
      </c>
      <c r="H720" t="inlineStr">
        <is>
          <t>Printer</t>
        </is>
      </c>
      <c r="I720" t="n">
        <v>1</v>
      </c>
      <c r="J720" s="12" t="n">
        <v>8988.6</v>
      </c>
      <c r="K720" s="13" t="n">
        <v>0.05</v>
      </c>
      <c r="L720" s="12" t="n">
        <v>8539.17</v>
      </c>
      <c r="M720" s="12" t="n">
        <v>7550.42</v>
      </c>
      <c r="N720" s="12" t="n">
        <v>988.75</v>
      </c>
      <c r="O720" t="inlineStr">
        <is>
          <t>Credit Card</t>
        </is>
      </c>
      <c r="P720" t="inlineStr">
        <is>
          <t>Anaya Rao</t>
        </is>
      </c>
    </row>
    <row r="721">
      <c r="A721" t="inlineStr">
        <is>
          <t>ORD-2501-0720</t>
        </is>
      </c>
      <c r="B721" s="11" t="n">
        <v>45678</v>
      </c>
      <c r="C721" t="inlineStr">
        <is>
          <t>West</t>
        </is>
      </c>
      <c r="D721" t="inlineStr">
        <is>
          <t>Ahmedabad</t>
        </is>
      </c>
      <c r="E721" t="inlineStr">
        <is>
          <t>Small Business</t>
        </is>
      </c>
      <c r="F721" t="inlineStr">
        <is>
          <t>Online</t>
        </is>
      </c>
      <c r="G721" t="inlineStr">
        <is>
          <t>Office Supplies</t>
        </is>
      </c>
      <c r="H721" t="inlineStr">
        <is>
          <t>Paper Ream</t>
        </is>
      </c>
      <c r="I721" t="n">
        <v>3</v>
      </c>
      <c r="J721" s="12" t="n">
        <v>393.96</v>
      </c>
      <c r="K721" s="13" t="n">
        <v>0.05</v>
      </c>
      <c r="L721" s="12" t="n">
        <v>1122.79</v>
      </c>
      <c r="M721" s="12" t="n">
        <v>910.05</v>
      </c>
      <c r="N721" s="12" t="n">
        <v>212.74</v>
      </c>
      <c r="O721" t="inlineStr">
        <is>
          <t>Credit Card</t>
        </is>
      </c>
      <c r="P721" t="inlineStr">
        <is>
          <t>Sara Khan</t>
        </is>
      </c>
    </row>
    <row r="722">
      <c r="A722" t="inlineStr">
        <is>
          <t>ORD-2502-0721</t>
        </is>
      </c>
      <c r="B722" s="11" t="n">
        <v>45705</v>
      </c>
      <c r="C722" t="inlineStr">
        <is>
          <t>South</t>
        </is>
      </c>
      <c r="D722" t="inlineStr">
        <is>
          <t>Hyderabad</t>
        </is>
      </c>
      <c r="E722" t="inlineStr">
        <is>
          <t>Small Business</t>
        </is>
      </c>
      <c r="F722" t="inlineStr">
        <is>
          <t>Partner</t>
        </is>
      </c>
      <c r="G722" t="inlineStr">
        <is>
          <t>Technology</t>
        </is>
      </c>
      <c r="H722" t="inlineStr">
        <is>
          <t>Keyboard</t>
        </is>
      </c>
      <c r="I722" t="n">
        <v>5</v>
      </c>
      <c r="J722" s="12" t="n">
        <v>1472.26</v>
      </c>
      <c r="K722" s="13" t="n">
        <v>0.1</v>
      </c>
      <c r="L722" s="12" t="n">
        <v>6625.17</v>
      </c>
      <c r="M722" s="12" t="n">
        <v>5520.98</v>
      </c>
      <c r="N722" s="12" t="n">
        <v>1104.19</v>
      </c>
      <c r="O722" t="inlineStr">
        <is>
          <t>Cash</t>
        </is>
      </c>
      <c r="P722" t="inlineStr">
        <is>
          <t>Meera Joshi</t>
        </is>
      </c>
    </row>
    <row r="723">
      <c r="A723" t="inlineStr">
        <is>
          <t>ORD-2510-0722</t>
        </is>
      </c>
      <c r="B723" s="11" t="n">
        <v>45956</v>
      </c>
      <c r="C723" t="inlineStr">
        <is>
          <t>North</t>
        </is>
      </c>
      <c r="D723" t="inlineStr">
        <is>
          <t>Jaipur</t>
        </is>
      </c>
      <c r="E723" t="inlineStr">
        <is>
          <t>Consumer</t>
        </is>
      </c>
      <c r="F723" t="inlineStr">
        <is>
          <t>Retail Store</t>
        </is>
      </c>
      <c r="G723" t="inlineStr">
        <is>
          <t>Furniture</t>
        </is>
      </c>
      <c r="H723" t="inlineStr">
        <is>
          <t>Desk</t>
        </is>
      </c>
      <c r="I723" t="n">
        <v>6</v>
      </c>
      <c r="J723" s="12" t="n">
        <v>11496.52</v>
      </c>
      <c r="K723" s="13" t="n">
        <v>0</v>
      </c>
      <c r="L723" s="12" t="n">
        <v>68979.12</v>
      </c>
      <c r="M723" s="12" t="n">
        <v>52424.13</v>
      </c>
      <c r="N723" s="12" t="n">
        <v>16554.99</v>
      </c>
      <c r="O723" t="inlineStr">
        <is>
          <t>Credit Card</t>
        </is>
      </c>
      <c r="P723" t="inlineStr">
        <is>
          <t>Rohan Verma</t>
        </is>
      </c>
    </row>
    <row r="724">
      <c r="A724" t="inlineStr">
        <is>
          <t>ORD-2512-0723</t>
        </is>
      </c>
      <c r="B724" s="11" t="n">
        <v>46006</v>
      </c>
      <c r="C724" t="inlineStr">
        <is>
          <t>North</t>
        </is>
      </c>
      <c r="D724" t="inlineStr">
        <is>
          <t>Lucknow</t>
        </is>
      </c>
      <c r="E724" t="inlineStr">
        <is>
          <t>Consumer</t>
        </is>
      </c>
      <c r="F724" t="inlineStr">
        <is>
          <t>Online</t>
        </is>
      </c>
      <c r="G724" t="inlineStr">
        <is>
          <t>Furniture</t>
        </is>
      </c>
      <c r="H724" t="inlineStr">
        <is>
          <t>Office Chair</t>
        </is>
      </c>
      <c r="I724" t="n">
        <v>3</v>
      </c>
      <c r="J724" s="12" t="n">
        <v>7166.63</v>
      </c>
      <c r="K724" s="13" t="n">
        <v>0.2</v>
      </c>
      <c r="L724" s="12" t="n">
        <v>17199.91</v>
      </c>
      <c r="M724" s="12" t="n">
        <v>15479.92</v>
      </c>
      <c r="N724" s="12" t="n">
        <v>1719.99</v>
      </c>
      <c r="O724" t="inlineStr">
        <is>
          <t>Credit Card</t>
        </is>
      </c>
      <c r="P724" t="inlineStr">
        <is>
          <t>Anaya Rao</t>
        </is>
      </c>
    </row>
    <row r="725">
      <c r="A725" t="inlineStr">
        <is>
          <t>ORD-2512-0724</t>
        </is>
      </c>
      <c r="B725" s="11" t="n">
        <v>46020</v>
      </c>
      <c r="C725" t="inlineStr">
        <is>
          <t>West</t>
        </is>
      </c>
      <c r="D725" t="inlineStr">
        <is>
          <t>Surat</t>
        </is>
      </c>
      <c r="E725" t="inlineStr">
        <is>
          <t>Consumer</t>
        </is>
      </c>
      <c r="F725" t="inlineStr">
        <is>
          <t>Partner</t>
        </is>
      </c>
      <c r="G725" t="inlineStr">
        <is>
          <t>Office Supplies</t>
        </is>
      </c>
      <c r="H725" t="inlineStr">
        <is>
          <t>Pens Box</t>
        </is>
      </c>
      <c r="I725" t="n">
        <v>8</v>
      </c>
      <c r="J725" s="12" t="n">
        <v>165.77</v>
      </c>
      <c r="K725" s="13" t="n">
        <v>0.1</v>
      </c>
      <c r="L725" s="12" t="n">
        <v>1193.54</v>
      </c>
      <c r="M725" s="12" t="n">
        <v>862</v>
      </c>
      <c r="N725" s="12" t="n">
        <v>331.54</v>
      </c>
      <c r="O725" t="inlineStr">
        <is>
          <t>Cash</t>
        </is>
      </c>
      <c r="P725" t="inlineStr">
        <is>
          <t>Anaya Rao</t>
        </is>
      </c>
    </row>
    <row r="726">
      <c r="A726" t="inlineStr">
        <is>
          <t>ORD-2506-0725</t>
        </is>
      </c>
      <c r="B726" s="11" t="n">
        <v>45824</v>
      </c>
      <c r="C726" t="inlineStr">
        <is>
          <t>Central</t>
        </is>
      </c>
      <c r="D726" t="inlineStr">
        <is>
          <t>Indore</t>
        </is>
      </c>
      <c r="E726" t="inlineStr">
        <is>
          <t>Consumer</t>
        </is>
      </c>
      <c r="F726" t="inlineStr">
        <is>
          <t>Partner</t>
        </is>
      </c>
      <c r="G726" t="inlineStr">
        <is>
          <t>Technology</t>
        </is>
      </c>
      <c r="H726" t="inlineStr">
        <is>
          <t>Printer</t>
        </is>
      </c>
      <c r="I726" t="n">
        <v>5</v>
      </c>
      <c r="J726" s="12" t="n">
        <v>9170.09</v>
      </c>
      <c r="K726" s="13" t="n">
        <v>0.15</v>
      </c>
      <c r="L726" s="12" t="n">
        <v>38972.88</v>
      </c>
      <c r="M726" s="12" t="n">
        <v>38514.38</v>
      </c>
      <c r="N726" s="12" t="n">
        <v>458.5</v>
      </c>
      <c r="O726" t="inlineStr">
        <is>
          <t>Credit Card</t>
        </is>
      </c>
      <c r="P726" t="inlineStr">
        <is>
          <t>Vivaan Gupta</t>
        </is>
      </c>
    </row>
    <row r="727">
      <c r="A727" t="inlineStr">
        <is>
          <t>ORD-2502-0726</t>
        </is>
      </c>
      <c r="B727" s="11" t="n">
        <v>45705</v>
      </c>
      <c r="C727" t="inlineStr">
        <is>
          <t>West</t>
        </is>
      </c>
      <c r="D727" t="inlineStr">
        <is>
          <t>Ahmedabad</t>
        </is>
      </c>
      <c r="E727" t="inlineStr">
        <is>
          <t>Consumer</t>
        </is>
      </c>
      <c r="F727" t="inlineStr">
        <is>
          <t>Online</t>
        </is>
      </c>
      <c r="G727" t="inlineStr">
        <is>
          <t>Technology</t>
        </is>
      </c>
      <c r="H727" t="inlineStr">
        <is>
          <t>Keyboard</t>
        </is>
      </c>
      <c r="I727" t="n">
        <v>2</v>
      </c>
      <c r="J727" s="12" t="n">
        <v>1377.36</v>
      </c>
      <c r="K727" s="13" t="n">
        <v>0.1</v>
      </c>
      <c r="L727" s="12" t="n">
        <v>2479.25</v>
      </c>
      <c r="M727" s="12" t="n">
        <v>2066.04</v>
      </c>
      <c r="N727" s="12" t="n">
        <v>413.21</v>
      </c>
      <c r="O727" t="inlineStr">
        <is>
          <t>UPI</t>
        </is>
      </c>
      <c r="P727" t="inlineStr">
        <is>
          <t>Vivaan Gupta</t>
        </is>
      </c>
    </row>
    <row r="728">
      <c r="A728" t="inlineStr">
        <is>
          <t>ORD-2507-0727</t>
        </is>
      </c>
      <c r="B728" s="11" t="n">
        <v>45864</v>
      </c>
      <c r="C728" t="inlineStr">
        <is>
          <t>East</t>
        </is>
      </c>
      <c r="D728" t="inlineStr">
        <is>
          <t>Patna</t>
        </is>
      </c>
      <c r="E728" t="inlineStr">
        <is>
          <t>Corporate</t>
        </is>
      </c>
      <c r="F728" t="inlineStr">
        <is>
          <t>Partner</t>
        </is>
      </c>
      <c r="G728" t="inlineStr">
        <is>
          <t>Technology</t>
        </is>
      </c>
      <c r="H728" t="inlineStr">
        <is>
          <t>Monitor</t>
        </is>
      </c>
      <c r="I728" t="n">
        <v>2</v>
      </c>
      <c r="J728" s="12" t="n">
        <v>12971.78</v>
      </c>
      <c r="K728" s="13" t="n">
        <v>0.15</v>
      </c>
      <c r="L728" s="12" t="n">
        <v>22052.03</v>
      </c>
      <c r="M728" s="12" t="n">
        <v>21273.72</v>
      </c>
      <c r="N728" s="12" t="n">
        <v>778.3099999999999</v>
      </c>
      <c r="O728" t="inlineStr">
        <is>
          <t>Cash</t>
        </is>
      </c>
      <c r="P728" t="inlineStr">
        <is>
          <t>Kabir Singh</t>
        </is>
      </c>
    </row>
    <row r="729">
      <c r="A729" t="inlineStr">
        <is>
          <t>ORD-2507-0728</t>
        </is>
      </c>
      <c r="B729" s="11" t="n">
        <v>45841</v>
      </c>
      <c r="C729" t="inlineStr">
        <is>
          <t>North</t>
        </is>
      </c>
      <c r="D729" t="inlineStr">
        <is>
          <t>Chandigarh</t>
        </is>
      </c>
      <c r="E729" t="inlineStr">
        <is>
          <t>Corporate</t>
        </is>
      </c>
      <c r="F729" t="inlineStr">
        <is>
          <t>Partner</t>
        </is>
      </c>
      <c r="G729" t="inlineStr">
        <is>
          <t>Furniture</t>
        </is>
      </c>
      <c r="H729" t="inlineStr">
        <is>
          <t>Storage Cabinet</t>
        </is>
      </c>
      <c r="I729" t="n">
        <v>1</v>
      </c>
      <c r="J729" s="12" t="n">
        <v>8740.639999999999</v>
      </c>
      <c r="K729" s="13" t="n">
        <v>0.05</v>
      </c>
      <c r="L729" s="12" t="n">
        <v>8303.610000000001</v>
      </c>
      <c r="M729" s="12" t="n">
        <v>6992.51</v>
      </c>
      <c r="N729" s="12" t="n">
        <v>1311.1</v>
      </c>
      <c r="O729" t="inlineStr">
        <is>
          <t>Cash</t>
        </is>
      </c>
      <c r="P729" t="inlineStr">
        <is>
          <t>Vivaan Gupta</t>
        </is>
      </c>
    </row>
    <row r="730">
      <c r="A730" t="inlineStr">
        <is>
          <t>ORD-2502-0729</t>
        </is>
      </c>
      <c r="B730" s="11" t="n">
        <v>45704</v>
      </c>
      <c r="C730" t="inlineStr">
        <is>
          <t>West</t>
        </is>
      </c>
      <c r="D730" t="inlineStr">
        <is>
          <t>Ahmedabad</t>
        </is>
      </c>
      <c r="E730" t="inlineStr">
        <is>
          <t>Small Business</t>
        </is>
      </c>
      <c r="F730" t="inlineStr">
        <is>
          <t>Retail Store</t>
        </is>
      </c>
      <c r="G730" t="inlineStr">
        <is>
          <t>Office Supplies</t>
        </is>
      </c>
      <c r="H730" t="inlineStr">
        <is>
          <t>Notebook Pack</t>
        </is>
      </c>
      <c r="I730" t="n">
        <v>1</v>
      </c>
      <c r="J730" s="12" t="n">
        <v>327.21</v>
      </c>
      <c r="K730" s="13" t="n">
        <v>0.1</v>
      </c>
      <c r="L730" s="12" t="n">
        <v>294.49</v>
      </c>
      <c r="M730" s="12" t="n">
        <v>222.5</v>
      </c>
      <c r="N730" s="12" t="n">
        <v>71.98999999999999</v>
      </c>
      <c r="O730" t="inlineStr">
        <is>
          <t>Debit Card</t>
        </is>
      </c>
      <c r="P730" t="inlineStr">
        <is>
          <t>Meera Joshi</t>
        </is>
      </c>
    </row>
    <row r="731">
      <c r="A731" t="inlineStr">
        <is>
          <t>ORD-2511-0730</t>
        </is>
      </c>
      <c r="B731" s="11" t="n">
        <v>45989</v>
      </c>
      <c r="C731" t="inlineStr">
        <is>
          <t>South</t>
        </is>
      </c>
      <c r="D731" t="inlineStr">
        <is>
          <t>Kochi</t>
        </is>
      </c>
      <c r="E731" t="inlineStr">
        <is>
          <t>Corporate</t>
        </is>
      </c>
      <c r="F731" t="inlineStr">
        <is>
          <t>Online</t>
        </is>
      </c>
      <c r="G731" t="inlineStr">
        <is>
          <t>Furniture</t>
        </is>
      </c>
      <c r="H731" t="inlineStr">
        <is>
          <t>Storage Cabinet</t>
        </is>
      </c>
      <c r="I731" t="n">
        <v>3</v>
      </c>
      <c r="J731" s="12" t="n">
        <v>8601.959999999999</v>
      </c>
      <c r="K731" s="13" t="n">
        <v>0.1</v>
      </c>
      <c r="L731" s="12" t="n">
        <v>23225.29</v>
      </c>
      <c r="M731" s="12" t="n">
        <v>20644.7</v>
      </c>
      <c r="N731" s="12" t="n">
        <v>2580.59</v>
      </c>
      <c r="O731" t="inlineStr">
        <is>
          <t>Debit Card</t>
        </is>
      </c>
      <c r="P731" t="inlineStr">
        <is>
          <t>Rohan Verma</t>
        </is>
      </c>
    </row>
    <row r="732">
      <c r="A732" t="inlineStr">
        <is>
          <t>ORD-2503-0731</t>
        </is>
      </c>
      <c r="B732" s="11" t="n">
        <v>45734</v>
      </c>
      <c r="C732" t="inlineStr">
        <is>
          <t>South</t>
        </is>
      </c>
      <c r="D732" t="inlineStr">
        <is>
          <t>Hyderabad</t>
        </is>
      </c>
      <c r="E732" t="inlineStr">
        <is>
          <t>Small Business</t>
        </is>
      </c>
      <c r="F732" t="inlineStr">
        <is>
          <t>Online</t>
        </is>
      </c>
      <c r="G732" t="inlineStr">
        <is>
          <t>Office Supplies</t>
        </is>
      </c>
      <c r="H732" t="inlineStr">
        <is>
          <t>Stapler</t>
        </is>
      </c>
      <c r="I732" t="n">
        <v>2</v>
      </c>
      <c r="J732" s="12" t="n">
        <v>262.85</v>
      </c>
      <c r="K732" s="13" t="n">
        <v>0.05</v>
      </c>
      <c r="L732" s="12" t="n">
        <v>499.42</v>
      </c>
      <c r="M732" s="12" t="n">
        <v>367.99</v>
      </c>
      <c r="N732" s="12" t="n">
        <v>131.43</v>
      </c>
      <c r="O732" t="inlineStr">
        <is>
          <t>Credit Card</t>
        </is>
      </c>
      <c r="P732" t="inlineStr">
        <is>
          <t>Diya Patel</t>
        </is>
      </c>
    </row>
    <row r="733">
      <c r="A733" t="inlineStr">
        <is>
          <t>ORD-2509-0732</t>
        </is>
      </c>
      <c r="B733" s="11" t="n">
        <v>45919</v>
      </c>
      <c r="C733" t="inlineStr">
        <is>
          <t>West</t>
        </is>
      </c>
      <c r="D733" t="inlineStr">
        <is>
          <t>Surat</t>
        </is>
      </c>
      <c r="E733" t="inlineStr">
        <is>
          <t>Corporate</t>
        </is>
      </c>
      <c r="F733" t="inlineStr">
        <is>
          <t>Retail Store</t>
        </is>
      </c>
      <c r="G733" t="inlineStr">
        <is>
          <t>Technology</t>
        </is>
      </c>
      <c r="H733" t="inlineStr">
        <is>
          <t>Monitor</t>
        </is>
      </c>
      <c r="I733" t="n">
        <v>3</v>
      </c>
      <c r="J733" s="12" t="n">
        <v>13125.65</v>
      </c>
      <c r="K733" s="13" t="n">
        <v>0.1</v>
      </c>
      <c r="L733" s="12" t="n">
        <v>35439.25</v>
      </c>
      <c r="M733" s="12" t="n">
        <v>32289.1</v>
      </c>
      <c r="N733" s="12" t="n">
        <v>3150.15</v>
      </c>
      <c r="O733" t="inlineStr">
        <is>
          <t>Cash</t>
        </is>
      </c>
      <c r="P733" t="inlineStr">
        <is>
          <t>Diya Patel</t>
        </is>
      </c>
    </row>
    <row r="734">
      <c r="A734" t="inlineStr">
        <is>
          <t>ORD-2509-0733</t>
        </is>
      </c>
      <c r="B734" s="11" t="n">
        <v>45915</v>
      </c>
      <c r="C734" t="inlineStr">
        <is>
          <t>North</t>
        </is>
      </c>
      <c r="D734" t="inlineStr">
        <is>
          <t>Delhi</t>
        </is>
      </c>
      <c r="E734" t="inlineStr">
        <is>
          <t>Corporate</t>
        </is>
      </c>
      <c r="F734" t="inlineStr">
        <is>
          <t>Online</t>
        </is>
      </c>
      <c r="G734" t="inlineStr">
        <is>
          <t>Office Supplies</t>
        </is>
      </c>
      <c r="H734" t="inlineStr">
        <is>
          <t>Paper Ream</t>
        </is>
      </c>
      <c r="I734" t="n">
        <v>4</v>
      </c>
      <c r="J734" s="12" t="n">
        <v>398.64</v>
      </c>
      <c r="K734" s="13" t="n">
        <v>0</v>
      </c>
      <c r="L734" s="12" t="n">
        <v>1594.56</v>
      </c>
      <c r="M734" s="12" t="n">
        <v>1227.81</v>
      </c>
      <c r="N734" s="12" t="n">
        <v>366.75</v>
      </c>
      <c r="O734" t="inlineStr">
        <is>
          <t>Credit Card</t>
        </is>
      </c>
      <c r="P734" t="inlineStr">
        <is>
          <t>Vivaan Gupta</t>
        </is>
      </c>
    </row>
    <row r="735">
      <c r="A735" t="inlineStr">
        <is>
          <t>ORD-2512-0734</t>
        </is>
      </c>
      <c r="B735" s="11" t="n">
        <v>46018</v>
      </c>
      <c r="C735" t="inlineStr">
        <is>
          <t>East</t>
        </is>
      </c>
      <c r="D735" t="inlineStr">
        <is>
          <t>Bhubaneswar</t>
        </is>
      </c>
      <c r="E735" t="inlineStr">
        <is>
          <t>Corporate</t>
        </is>
      </c>
      <c r="F735" t="inlineStr">
        <is>
          <t>Retail Store</t>
        </is>
      </c>
      <c r="G735" t="inlineStr">
        <is>
          <t>Office Supplies</t>
        </is>
      </c>
      <c r="H735" t="inlineStr">
        <is>
          <t>Notebook Pack</t>
        </is>
      </c>
      <c r="I735" t="n">
        <v>4</v>
      </c>
      <c r="J735" s="12" t="n">
        <v>347.2</v>
      </c>
      <c r="K735" s="13" t="n">
        <v>0.1</v>
      </c>
      <c r="L735" s="12" t="n">
        <v>1249.92</v>
      </c>
      <c r="M735" s="12" t="n">
        <v>944.38</v>
      </c>
      <c r="N735" s="12" t="n">
        <v>305.54</v>
      </c>
      <c r="O735" t="inlineStr">
        <is>
          <t>UPI</t>
        </is>
      </c>
      <c r="P735" t="inlineStr">
        <is>
          <t>Meera Joshi</t>
        </is>
      </c>
    </row>
    <row r="736">
      <c r="A736" t="inlineStr">
        <is>
          <t>ORD-2504-0735</t>
        </is>
      </c>
      <c r="B736" s="11" t="n">
        <v>45752</v>
      </c>
      <c r="C736" t="inlineStr">
        <is>
          <t>North</t>
        </is>
      </c>
      <c r="D736" t="inlineStr">
        <is>
          <t>Chandigarh</t>
        </is>
      </c>
      <c r="E736" t="inlineStr">
        <is>
          <t>Corporate</t>
        </is>
      </c>
      <c r="F736" t="inlineStr">
        <is>
          <t>Online</t>
        </is>
      </c>
      <c r="G736" t="inlineStr">
        <is>
          <t>Office Supplies</t>
        </is>
      </c>
      <c r="H736" t="inlineStr">
        <is>
          <t>Stapler</t>
        </is>
      </c>
      <c r="I736" t="n">
        <v>4</v>
      </c>
      <c r="J736" s="12" t="n">
        <v>239.95</v>
      </c>
      <c r="K736" s="13" t="n">
        <v>0.05</v>
      </c>
      <c r="L736" s="12" t="n">
        <v>911.8099999999999</v>
      </c>
      <c r="M736" s="12" t="n">
        <v>671.86</v>
      </c>
      <c r="N736" s="12" t="n">
        <v>239.95</v>
      </c>
      <c r="O736" t="inlineStr">
        <is>
          <t>Credit Card</t>
        </is>
      </c>
      <c r="P736" t="inlineStr">
        <is>
          <t>Kabir Singh</t>
        </is>
      </c>
    </row>
    <row r="737">
      <c r="A737" t="inlineStr">
        <is>
          <t>ORD-2512-0736</t>
        </is>
      </c>
      <c r="B737" s="11" t="n">
        <v>45993</v>
      </c>
      <c r="C737" t="inlineStr">
        <is>
          <t>West</t>
        </is>
      </c>
      <c r="D737" t="inlineStr">
        <is>
          <t>Surat</t>
        </is>
      </c>
      <c r="E737" t="inlineStr">
        <is>
          <t>Small Business</t>
        </is>
      </c>
      <c r="F737" t="inlineStr">
        <is>
          <t>Retail Store</t>
        </is>
      </c>
      <c r="G737" t="inlineStr">
        <is>
          <t>Office Supplies</t>
        </is>
      </c>
      <c r="H737" t="inlineStr">
        <is>
          <t>Paper Ream</t>
        </is>
      </c>
      <c r="I737" t="n">
        <v>2</v>
      </c>
      <c r="J737" s="12" t="n">
        <v>436.41</v>
      </c>
      <c r="K737" s="13" t="n">
        <v>0.1</v>
      </c>
      <c r="L737" s="12" t="n">
        <v>785.54</v>
      </c>
      <c r="M737" s="12" t="n">
        <v>672.0700000000001</v>
      </c>
      <c r="N737" s="12" t="n">
        <v>113.47</v>
      </c>
      <c r="O737" t="inlineStr">
        <is>
          <t>Net Banking</t>
        </is>
      </c>
      <c r="P737" t="inlineStr">
        <is>
          <t>Sara Khan</t>
        </is>
      </c>
    </row>
    <row r="738">
      <c r="A738" t="inlineStr">
        <is>
          <t>ORD-2512-0737</t>
        </is>
      </c>
      <c r="B738" s="11" t="n">
        <v>46011</v>
      </c>
      <c r="C738" t="inlineStr">
        <is>
          <t>West</t>
        </is>
      </c>
      <c r="D738" t="inlineStr">
        <is>
          <t>Ahmedabad</t>
        </is>
      </c>
      <c r="E738" t="inlineStr">
        <is>
          <t>Consumer</t>
        </is>
      </c>
      <c r="F738" t="inlineStr">
        <is>
          <t>Partner</t>
        </is>
      </c>
      <c r="G738" t="inlineStr">
        <is>
          <t>Technology</t>
        </is>
      </c>
      <c r="H738" t="inlineStr">
        <is>
          <t>Monitor</t>
        </is>
      </c>
      <c r="I738" t="n">
        <v>1</v>
      </c>
      <c r="J738" s="12" t="n">
        <v>11723.83</v>
      </c>
      <c r="K738" s="13" t="n">
        <v>0</v>
      </c>
      <c r="L738" s="12" t="n">
        <v>11723.83</v>
      </c>
      <c r="M738" s="12" t="n">
        <v>9613.540000000001</v>
      </c>
      <c r="N738" s="12" t="n">
        <v>2110.29</v>
      </c>
      <c r="O738" t="inlineStr">
        <is>
          <t>UPI</t>
        </is>
      </c>
      <c r="P738" t="inlineStr">
        <is>
          <t>Aarav Sharma</t>
        </is>
      </c>
    </row>
    <row r="739">
      <c r="A739" t="inlineStr">
        <is>
          <t>ORD-2504-0738</t>
        </is>
      </c>
      <c r="B739" s="11" t="n">
        <v>45765</v>
      </c>
      <c r="C739" t="inlineStr">
        <is>
          <t>West</t>
        </is>
      </c>
      <c r="D739" t="inlineStr">
        <is>
          <t>Pune</t>
        </is>
      </c>
      <c r="E739" t="inlineStr">
        <is>
          <t>Small Business</t>
        </is>
      </c>
      <c r="F739" t="inlineStr">
        <is>
          <t>Online</t>
        </is>
      </c>
      <c r="G739" t="inlineStr">
        <is>
          <t>Office Supplies</t>
        </is>
      </c>
      <c r="H739" t="inlineStr">
        <is>
          <t>Pens Box</t>
        </is>
      </c>
      <c r="I739" t="n">
        <v>2</v>
      </c>
      <c r="J739" s="12" t="n">
        <v>190.32</v>
      </c>
      <c r="K739" s="13" t="n">
        <v>0.15</v>
      </c>
      <c r="L739" s="12" t="n">
        <v>323.54</v>
      </c>
      <c r="M739" s="12" t="n">
        <v>247.42</v>
      </c>
      <c r="N739" s="12" t="n">
        <v>76.12</v>
      </c>
      <c r="O739" t="inlineStr">
        <is>
          <t>Credit Card</t>
        </is>
      </c>
      <c r="P739" t="inlineStr">
        <is>
          <t>Rohan Verma</t>
        </is>
      </c>
    </row>
    <row r="740">
      <c r="A740" t="inlineStr">
        <is>
          <t>ORD-2508-0739</t>
        </is>
      </c>
      <c r="B740" s="11" t="n">
        <v>45895</v>
      </c>
      <c r="C740" t="inlineStr">
        <is>
          <t>South</t>
        </is>
      </c>
      <c r="D740" t="inlineStr">
        <is>
          <t>Kochi</t>
        </is>
      </c>
      <c r="E740" t="inlineStr">
        <is>
          <t>Small Business</t>
        </is>
      </c>
      <c r="F740" t="inlineStr">
        <is>
          <t>Retail Store</t>
        </is>
      </c>
      <c r="G740" t="inlineStr">
        <is>
          <t>Furniture</t>
        </is>
      </c>
      <c r="H740" t="inlineStr">
        <is>
          <t>Desk</t>
        </is>
      </c>
      <c r="I740" t="n">
        <v>1</v>
      </c>
      <c r="J740" s="12" t="n">
        <v>10860.46</v>
      </c>
      <c r="K740" s="13" t="n">
        <v>0</v>
      </c>
      <c r="L740" s="12" t="n">
        <v>10860.46</v>
      </c>
      <c r="M740" s="12" t="n">
        <v>8253.950000000001</v>
      </c>
      <c r="N740" s="12" t="n">
        <v>2606.51</v>
      </c>
      <c r="O740" t="inlineStr">
        <is>
          <t>Debit Card</t>
        </is>
      </c>
      <c r="P740" t="inlineStr">
        <is>
          <t>Anaya Rao</t>
        </is>
      </c>
    </row>
    <row r="741">
      <c r="A741" t="inlineStr">
        <is>
          <t>ORD-2501-0740</t>
        </is>
      </c>
      <c r="B741" s="11" t="n">
        <v>45668</v>
      </c>
      <c r="C741" t="inlineStr">
        <is>
          <t>West</t>
        </is>
      </c>
      <c r="D741" t="inlineStr">
        <is>
          <t>Pune</t>
        </is>
      </c>
      <c r="E741" t="inlineStr">
        <is>
          <t>Corporate</t>
        </is>
      </c>
      <c r="F741" t="inlineStr">
        <is>
          <t>Online</t>
        </is>
      </c>
      <c r="G741" t="inlineStr">
        <is>
          <t>Technology</t>
        </is>
      </c>
      <c r="H741" t="inlineStr">
        <is>
          <t>Printer</t>
        </is>
      </c>
      <c r="I741" t="n">
        <v>2</v>
      </c>
      <c r="J741" s="12" t="n">
        <v>9335.43</v>
      </c>
      <c r="K741" s="13" t="n">
        <v>0.15</v>
      </c>
      <c r="L741" s="12" t="n">
        <v>15870.23</v>
      </c>
      <c r="M741" s="12" t="n">
        <v>15683.52</v>
      </c>
      <c r="N741" s="12" t="n">
        <v>186.71</v>
      </c>
      <c r="O741" t="inlineStr">
        <is>
          <t>Credit Card</t>
        </is>
      </c>
      <c r="P741" t="inlineStr">
        <is>
          <t>Vivaan Gupta</t>
        </is>
      </c>
    </row>
    <row r="742">
      <c r="A742" t="inlineStr">
        <is>
          <t>ORD-2508-0741</t>
        </is>
      </c>
      <c r="B742" s="11" t="n">
        <v>45870</v>
      </c>
      <c r="C742" t="inlineStr">
        <is>
          <t>West</t>
        </is>
      </c>
      <c r="D742" t="inlineStr">
        <is>
          <t>Ahmedabad</t>
        </is>
      </c>
      <c r="E742" t="inlineStr">
        <is>
          <t>Small Business</t>
        </is>
      </c>
      <c r="F742" t="inlineStr">
        <is>
          <t>Partner</t>
        </is>
      </c>
      <c r="G742" t="inlineStr">
        <is>
          <t>Technology</t>
        </is>
      </c>
      <c r="H742" t="inlineStr">
        <is>
          <t>Laptop</t>
        </is>
      </c>
      <c r="I742" t="n">
        <v>3</v>
      </c>
      <c r="J742" s="12" t="n">
        <v>42611.78</v>
      </c>
      <c r="K742" s="13" t="n">
        <v>0.05</v>
      </c>
      <c r="L742" s="12" t="n">
        <v>121443.57</v>
      </c>
      <c r="M742" s="12" t="n">
        <v>112495.1</v>
      </c>
      <c r="N742" s="12" t="n">
        <v>8948.469999999999</v>
      </c>
      <c r="O742" t="inlineStr">
        <is>
          <t>Debit Card</t>
        </is>
      </c>
      <c r="P742" t="inlineStr">
        <is>
          <t>Meera Joshi</t>
        </is>
      </c>
    </row>
    <row r="743">
      <c r="A743" t="inlineStr">
        <is>
          <t>ORD-2502-0742</t>
        </is>
      </c>
      <c r="B743" s="11" t="n">
        <v>45689</v>
      </c>
      <c r="C743" t="inlineStr">
        <is>
          <t>Central</t>
        </is>
      </c>
      <c r="D743" t="inlineStr">
        <is>
          <t>Bhopal</t>
        </is>
      </c>
      <c r="E743" t="inlineStr">
        <is>
          <t>Small Business</t>
        </is>
      </c>
      <c r="F743" t="inlineStr">
        <is>
          <t>Retail Store</t>
        </is>
      </c>
      <c r="G743" t="inlineStr">
        <is>
          <t>Furniture</t>
        </is>
      </c>
      <c r="H743" t="inlineStr">
        <is>
          <t>Desk</t>
        </is>
      </c>
      <c r="I743" t="n">
        <v>3</v>
      </c>
      <c r="J743" s="12" t="n">
        <v>11072.84</v>
      </c>
      <c r="K743" s="13" t="n">
        <v>0.1</v>
      </c>
      <c r="L743" s="12" t="n">
        <v>29896.67</v>
      </c>
      <c r="M743" s="12" t="n">
        <v>25246.08</v>
      </c>
      <c r="N743" s="12" t="n">
        <v>4650.59</v>
      </c>
      <c r="O743" t="inlineStr">
        <is>
          <t>Debit Card</t>
        </is>
      </c>
      <c r="P743" t="inlineStr">
        <is>
          <t>Diya Patel</t>
        </is>
      </c>
    </row>
    <row r="744">
      <c r="A744" t="inlineStr">
        <is>
          <t>ORD-2509-0743</t>
        </is>
      </c>
      <c r="B744" s="11" t="n">
        <v>45911</v>
      </c>
      <c r="C744" t="inlineStr">
        <is>
          <t>Central</t>
        </is>
      </c>
      <c r="D744" t="inlineStr">
        <is>
          <t>Raipur</t>
        </is>
      </c>
      <c r="E744" t="inlineStr">
        <is>
          <t>Consumer</t>
        </is>
      </c>
      <c r="F744" t="inlineStr">
        <is>
          <t>Retail Store</t>
        </is>
      </c>
      <c r="G744" t="inlineStr">
        <is>
          <t>Furniture</t>
        </is>
      </c>
      <c r="H744" t="inlineStr">
        <is>
          <t>Bookshelf</t>
        </is>
      </c>
      <c r="I744" t="n">
        <v>4</v>
      </c>
      <c r="J744" s="12" t="n">
        <v>5023.62</v>
      </c>
      <c r="K744" s="13" t="n">
        <v>0</v>
      </c>
      <c r="L744" s="12" t="n">
        <v>20094.48</v>
      </c>
      <c r="M744" s="12" t="n">
        <v>14869.92</v>
      </c>
      <c r="N744" s="12" t="n">
        <v>5224.56</v>
      </c>
      <c r="O744" t="inlineStr">
        <is>
          <t>Net Banking</t>
        </is>
      </c>
      <c r="P744" t="inlineStr">
        <is>
          <t>Anaya Rao</t>
        </is>
      </c>
    </row>
    <row r="745">
      <c r="A745" t="inlineStr">
        <is>
          <t>ORD-2504-0744</t>
        </is>
      </c>
      <c r="B745" s="11" t="n">
        <v>45776</v>
      </c>
      <c r="C745" t="inlineStr">
        <is>
          <t>Central</t>
        </is>
      </c>
      <c r="D745" t="inlineStr">
        <is>
          <t>Indore</t>
        </is>
      </c>
      <c r="E745" t="inlineStr">
        <is>
          <t>Small Business</t>
        </is>
      </c>
      <c r="F745" t="inlineStr">
        <is>
          <t>Partner</t>
        </is>
      </c>
      <c r="G745" t="inlineStr">
        <is>
          <t>Office Supplies</t>
        </is>
      </c>
      <c r="H745" t="inlineStr">
        <is>
          <t>Notebook Pack</t>
        </is>
      </c>
      <c r="I745" t="n">
        <v>6</v>
      </c>
      <c r="J745" s="12" t="n">
        <v>355.72</v>
      </c>
      <c r="K745" s="13" t="n">
        <v>0.05</v>
      </c>
      <c r="L745" s="12" t="n">
        <v>2027.6</v>
      </c>
      <c r="M745" s="12" t="n">
        <v>1451.34</v>
      </c>
      <c r="N745" s="12" t="n">
        <v>576.26</v>
      </c>
      <c r="O745" t="inlineStr">
        <is>
          <t>Debit Card</t>
        </is>
      </c>
      <c r="P745" t="inlineStr">
        <is>
          <t>Kabir Singh</t>
        </is>
      </c>
    </row>
    <row r="746">
      <c r="A746" t="inlineStr">
        <is>
          <t>ORD-2505-0745</t>
        </is>
      </c>
      <c r="B746" s="11" t="n">
        <v>45808</v>
      </c>
      <c r="C746" t="inlineStr">
        <is>
          <t>West</t>
        </is>
      </c>
      <c r="D746" t="inlineStr">
        <is>
          <t>Surat</t>
        </is>
      </c>
      <c r="E746" t="inlineStr">
        <is>
          <t>Corporate</t>
        </is>
      </c>
      <c r="F746" t="inlineStr">
        <is>
          <t>Online</t>
        </is>
      </c>
      <c r="G746" t="inlineStr">
        <is>
          <t>Office Supplies</t>
        </is>
      </c>
      <c r="H746" t="inlineStr">
        <is>
          <t>Stapler</t>
        </is>
      </c>
      <c r="I746" t="n">
        <v>8</v>
      </c>
      <c r="J746" s="12" t="n">
        <v>254.19</v>
      </c>
      <c r="K746" s="13" t="n">
        <v>0.1</v>
      </c>
      <c r="L746" s="12" t="n">
        <v>1830.17</v>
      </c>
      <c r="M746" s="12" t="n">
        <v>1423.46</v>
      </c>
      <c r="N746" s="12" t="n">
        <v>406.71</v>
      </c>
      <c r="O746" t="inlineStr">
        <is>
          <t>Cash</t>
        </is>
      </c>
      <c r="P746" t="inlineStr">
        <is>
          <t>Meera Joshi</t>
        </is>
      </c>
    </row>
    <row r="747">
      <c r="A747" t="inlineStr">
        <is>
          <t>ORD-2505-0746</t>
        </is>
      </c>
      <c r="B747" s="11" t="n">
        <v>45802</v>
      </c>
      <c r="C747" t="inlineStr">
        <is>
          <t>North</t>
        </is>
      </c>
      <c r="D747" t="inlineStr">
        <is>
          <t>Lucknow</t>
        </is>
      </c>
      <c r="E747" t="inlineStr">
        <is>
          <t>Corporate</t>
        </is>
      </c>
      <c r="F747" t="inlineStr">
        <is>
          <t>Retail Store</t>
        </is>
      </c>
      <c r="G747" t="inlineStr">
        <is>
          <t>Technology</t>
        </is>
      </c>
      <c r="H747" t="inlineStr">
        <is>
          <t>Keyboard</t>
        </is>
      </c>
      <c r="I747" t="n">
        <v>1</v>
      </c>
      <c r="J747" s="12" t="n">
        <v>1398.25</v>
      </c>
      <c r="K747" s="13" t="n">
        <v>0</v>
      </c>
      <c r="L747" s="12" t="n">
        <v>1398.25</v>
      </c>
      <c r="M747" s="12" t="n">
        <v>1048.69</v>
      </c>
      <c r="N747" s="12" t="n">
        <v>349.56</v>
      </c>
      <c r="O747" t="inlineStr">
        <is>
          <t>Net Banking</t>
        </is>
      </c>
      <c r="P747" t="inlineStr">
        <is>
          <t>Meera Joshi</t>
        </is>
      </c>
    </row>
    <row r="748">
      <c r="A748" t="inlineStr">
        <is>
          <t>ORD-2504-0747</t>
        </is>
      </c>
      <c r="B748" s="11" t="n">
        <v>45765</v>
      </c>
      <c r="C748" t="inlineStr">
        <is>
          <t>Central</t>
        </is>
      </c>
      <c r="D748" t="inlineStr">
        <is>
          <t>Bhopal</t>
        </is>
      </c>
      <c r="E748" t="inlineStr">
        <is>
          <t>Consumer</t>
        </is>
      </c>
      <c r="F748" t="inlineStr">
        <is>
          <t>Partner</t>
        </is>
      </c>
      <c r="G748" t="inlineStr">
        <is>
          <t>Technology</t>
        </is>
      </c>
      <c r="H748" t="inlineStr">
        <is>
          <t>Laptop</t>
        </is>
      </c>
      <c r="I748" t="n">
        <v>2</v>
      </c>
      <c r="J748" s="12" t="n">
        <v>43188.96</v>
      </c>
      <c r="K748" s="13" t="n">
        <v>0</v>
      </c>
      <c r="L748" s="12" t="n">
        <v>86377.92</v>
      </c>
      <c r="M748" s="12" t="n">
        <v>76012.57000000001</v>
      </c>
      <c r="N748" s="12" t="n">
        <v>10365.35</v>
      </c>
      <c r="O748" t="inlineStr">
        <is>
          <t>Credit Card</t>
        </is>
      </c>
      <c r="P748" t="inlineStr">
        <is>
          <t>Diya Patel</t>
        </is>
      </c>
    </row>
    <row r="749">
      <c r="A749" t="inlineStr">
        <is>
          <t>ORD-2506-0748</t>
        </is>
      </c>
      <c r="B749" s="11" t="n">
        <v>45830</v>
      </c>
      <c r="C749" t="inlineStr">
        <is>
          <t>West</t>
        </is>
      </c>
      <c r="D749" t="inlineStr">
        <is>
          <t>Mumbai</t>
        </is>
      </c>
      <c r="E749" t="inlineStr">
        <is>
          <t>Corporate</t>
        </is>
      </c>
      <c r="F749" t="inlineStr">
        <is>
          <t>Retail Store</t>
        </is>
      </c>
      <c r="G749" t="inlineStr">
        <is>
          <t>Office Supplies</t>
        </is>
      </c>
      <c r="H749" t="inlineStr">
        <is>
          <t>Notebook Pack</t>
        </is>
      </c>
      <c r="I749" t="n">
        <v>2</v>
      </c>
      <c r="J749" s="12" t="n">
        <v>349.24</v>
      </c>
      <c r="K749" s="13" t="n">
        <v>0.1</v>
      </c>
      <c r="L749" s="12" t="n">
        <v>628.63</v>
      </c>
      <c r="M749" s="12" t="n">
        <v>474.97</v>
      </c>
      <c r="N749" s="12" t="n">
        <v>153.66</v>
      </c>
      <c r="O749" t="inlineStr">
        <is>
          <t>Credit Card</t>
        </is>
      </c>
      <c r="P749" t="inlineStr">
        <is>
          <t>Rohan Verma</t>
        </is>
      </c>
    </row>
    <row r="750">
      <c r="A750" t="inlineStr">
        <is>
          <t>ORD-2503-0749</t>
        </is>
      </c>
      <c r="B750" s="11" t="n">
        <v>45735</v>
      </c>
      <c r="C750" t="inlineStr">
        <is>
          <t>Central</t>
        </is>
      </c>
      <c r="D750" t="inlineStr">
        <is>
          <t>Bhopal</t>
        </is>
      </c>
      <c r="E750" t="inlineStr">
        <is>
          <t>Consumer</t>
        </is>
      </c>
      <c r="F750" t="inlineStr">
        <is>
          <t>Online</t>
        </is>
      </c>
      <c r="G750" t="inlineStr">
        <is>
          <t>Office Supplies</t>
        </is>
      </c>
      <c r="H750" t="inlineStr">
        <is>
          <t>Paper Ream</t>
        </is>
      </c>
      <c r="I750" t="n">
        <v>1</v>
      </c>
      <c r="J750" s="12" t="n">
        <v>440.09</v>
      </c>
      <c r="K750" s="13" t="n">
        <v>0.2</v>
      </c>
      <c r="L750" s="12" t="n">
        <v>352.07</v>
      </c>
      <c r="M750" s="12" t="n">
        <v>338.87</v>
      </c>
      <c r="N750" s="12" t="n">
        <v>13.2</v>
      </c>
      <c r="O750" t="inlineStr">
        <is>
          <t>Cash</t>
        </is>
      </c>
      <c r="P750" t="inlineStr">
        <is>
          <t>Diya Patel</t>
        </is>
      </c>
    </row>
    <row r="751">
      <c r="A751" t="inlineStr">
        <is>
          <t>ORD-2510-0750</t>
        </is>
      </c>
      <c r="B751" s="11" t="n">
        <v>45945</v>
      </c>
      <c r="C751" t="inlineStr">
        <is>
          <t>North</t>
        </is>
      </c>
      <c r="D751" t="inlineStr">
        <is>
          <t>Delhi</t>
        </is>
      </c>
      <c r="E751" t="inlineStr">
        <is>
          <t>Consumer</t>
        </is>
      </c>
      <c r="F751" t="inlineStr">
        <is>
          <t>Partner</t>
        </is>
      </c>
      <c r="G751" t="inlineStr">
        <is>
          <t>Technology</t>
        </is>
      </c>
      <c r="H751" t="inlineStr">
        <is>
          <t>Keyboard</t>
        </is>
      </c>
      <c r="I751" t="n">
        <v>3</v>
      </c>
      <c r="J751" s="12" t="n">
        <v>1492.06</v>
      </c>
      <c r="K751" s="13" t="n">
        <v>0.15</v>
      </c>
      <c r="L751" s="12" t="n">
        <v>3804.75</v>
      </c>
      <c r="M751" s="12" t="n">
        <v>3357.14</v>
      </c>
      <c r="N751" s="12" t="n">
        <v>447.61</v>
      </c>
      <c r="O751" t="inlineStr">
        <is>
          <t>Net Banking</t>
        </is>
      </c>
      <c r="P751" t="inlineStr">
        <is>
          <t>Anaya Rao</t>
        </is>
      </c>
    </row>
    <row r="752">
      <c r="A752" t="inlineStr">
        <is>
          <t>ORD-2509-0751</t>
        </is>
      </c>
      <c r="B752" s="11" t="n">
        <v>45917</v>
      </c>
      <c r="C752" t="inlineStr">
        <is>
          <t>West</t>
        </is>
      </c>
      <c r="D752" t="inlineStr">
        <is>
          <t>Mumbai</t>
        </is>
      </c>
      <c r="E752" t="inlineStr">
        <is>
          <t>Consumer</t>
        </is>
      </c>
      <c r="F752" t="inlineStr">
        <is>
          <t>Retail Store</t>
        </is>
      </c>
      <c r="G752" t="inlineStr">
        <is>
          <t>Technology</t>
        </is>
      </c>
      <c r="H752" t="inlineStr">
        <is>
          <t>Keyboard</t>
        </is>
      </c>
      <c r="I752" t="n">
        <v>4</v>
      </c>
      <c r="J752" s="12" t="n">
        <v>1318.86</v>
      </c>
      <c r="K752" s="13" t="n">
        <v>0.05</v>
      </c>
      <c r="L752" s="12" t="n">
        <v>5011.67</v>
      </c>
      <c r="M752" s="12" t="n">
        <v>3956.58</v>
      </c>
      <c r="N752" s="12" t="n">
        <v>1055.09</v>
      </c>
      <c r="O752" t="inlineStr">
        <is>
          <t>Debit Card</t>
        </is>
      </c>
      <c r="P752" t="inlineStr">
        <is>
          <t>Aarav Sharma</t>
        </is>
      </c>
    </row>
    <row r="753">
      <c r="A753" t="inlineStr">
        <is>
          <t>ORD-2505-0752</t>
        </is>
      </c>
      <c r="B753" s="11" t="n">
        <v>45783</v>
      </c>
      <c r="C753" t="inlineStr">
        <is>
          <t>West</t>
        </is>
      </c>
      <c r="D753" t="inlineStr">
        <is>
          <t>Ahmedabad</t>
        </is>
      </c>
      <c r="E753" t="inlineStr">
        <is>
          <t>Corporate</t>
        </is>
      </c>
      <c r="F753" t="inlineStr">
        <is>
          <t>Retail Store</t>
        </is>
      </c>
      <c r="G753" t="inlineStr">
        <is>
          <t>Technology</t>
        </is>
      </c>
      <c r="H753" t="inlineStr">
        <is>
          <t>Headphones</t>
        </is>
      </c>
      <c r="I753" t="n">
        <v>3</v>
      </c>
      <c r="J753" s="12" t="n">
        <v>2155.1</v>
      </c>
      <c r="K753" s="13" t="n">
        <v>0</v>
      </c>
      <c r="L753" s="12" t="n">
        <v>6465.3</v>
      </c>
      <c r="M753" s="12" t="n">
        <v>5042.93</v>
      </c>
      <c r="N753" s="12" t="n">
        <v>1422.37</v>
      </c>
      <c r="O753" t="inlineStr">
        <is>
          <t>UPI</t>
        </is>
      </c>
      <c r="P753" t="inlineStr">
        <is>
          <t>Kabir Singh</t>
        </is>
      </c>
    </row>
    <row r="754">
      <c r="A754" t="inlineStr">
        <is>
          <t>ORD-2509-0753</t>
        </is>
      </c>
      <c r="B754" s="11" t="n">
        <v>45929</v>
      </c>
      <c r="C754" t="inlineStr">
        <is>
          <t>West</t>
        </is>
      </c>
      <c r="D754" t="inlineStr">
        <is>
          <t>Pune</t>
        </is>
      </c>
      <c r="E754" t="inlineStr">
        <is>
          <t>Corporate</t>
        </is>
      </c>
      <c r="F754" t="inlineStr">
        <is>
          <t>Partner</t>
        </is>
      </c>
      <c r="G754" t="inlineStr">
        <is>
          <t>Technology</t>
        </is>
      </c>
      <c r="H754" t="inlineStr">
        <is>
          <t>Keyboard</t>
        </is>
      </c>
      <c r="I754" t="n">
        <v>5</v>
      </c>
      <c r="J754" s="12" t="n">
        <v>1379.69</v>
      </c>
      <c r="K754" s="13" t="n">
        <v>0.05</v>
      </c>
      <c r="L754" s="12" t="n">
        <v>6553.53</v>
      </c>
      <c r="M754" s="12" t="n">
        <v>5173.84</v>
      </c>
      <c r="N754" s="12" t="n">
        <v>1379.69</v>
      </c>
      <c r="O754" t="inlineStr">
        <is>
          <t>Net Banking</t>
        </is>
      </c>
      <c r="P754" t="inlineStr">
        <is>
          <t>Aarav Sharma</t>
        </is>
      </c>
    </row>
    <row r="755">
      <c r="A755" t="inlineStr">
        <is>
          <t>ORD-2508-0754</t>
        </is>
      </c>
      <c r="B755" s="11" t="n">
        <v>45884</v>
      </c>
      <c r="C755" t="inlineStr">
        <is>
          <t>South</t>
        </is>
      </c>
      <c r="D755" t="inlineStr">
        <is>
          <t>Bengaluru</t>
        </is>
      </c>
      <c r="E755" t="inlineStr">
        <is>
          <t>Corporate</t>
        </is>
      </c>
      <c r="F755" t="inlineStr">
        <is>
          <t>Retail Store</t>
        </is>
      </c>
      <c r="G755" t="inlineStr">
        <is>
          <t>Office Supplies</t>
        </is>
      </c>
      <c r="H755" t="inlineStr">
        <is>
          <t>Paper Ream</t>
        </is>
      </c>
      <c r="I755" t="n">
        <v>5</v>
      </c>
      <c r="J755" s="12" t="n">
        <v>392.1</v>
      </c>
      <c r="K755" s="13" t="n">
        <v>0.2</v>
      </c>
      <c r="L755" s="12" t="n">
        <v>1568.4</v>
      </c>
      <c r="M755" s="12" t="n">
        <v>1509.59</v>
      </c>
      <c r="N755" s="12" t="n">
        <v>58.81</v>
      </c>
      <c r="O755" t="inlineStr">
        <is>
          <t>UPI</t>
        </is>
      </c>
      <c r="P755" t="inlineStr">
        <is>
          <t>Vivaan Gupta</t>
        </is>
      </c>
    </row>
    <row r="756">
      <c r="A756" t="inlineStr">
        <is>
          <t>ORD-2502-0755</t>
        </is>
      </c>
      <c r="B756" s="11" t="n">
        <v>45689</v>
      </c>
      <c r="C756" t="inlineStr">
        <is>
          <t>West</t>
        </is>
      </c>
      <c r="D756" t="inlineStr">
        <is>
          <t>Mumbai</t>
        </is>
      </c>
      <c r="E756" t="inlineStr">
        <is>
          <t>Small Business</t>
        </is>
      </c>
      <c r="F756" t="inlineStr">
        <is>
          <t>Partner</t>
        </is>
      </c>
      <c r="G756" t="inlineStr">
        <is>
          <t>Office Supplies</t>
        </is>
      </c>
      <c r="H756" t="inlineStr">
        <is>
          <t>Pens Box</t>
        </is>
      </c>
      <c r="I756" t="n">
        <v>6</v>
      </c>
      <c r="J756" s="12" t="n">
        <v>182.15</v>
      </c>
      <c r="K756" s="13" t="n">
        <v>0</v>
      </c>
      <c r="L756" s="12" t="n">
        <v>1092.9</v>
      </c>
      <c r="M756" s="12" t="n">
        <v>710.39</v>
      </c>
      <c r="N756" s="12" t="n">
        <v>382.51</v>
      </c>
      <c r="O756" t="inlineStr">
        <is>
          <t>Cash</t>
        </is>
      </c>
      <c r="P756" t="inlineStr">
        <is>
          <t>Rohan Verma</t>
        </is>
      </c>
    </row>
    <row r="757">
      <c r="A757" t="inlineStr">
        <is>
          <t>ORD-2508-0756</t>
        </is>
      </c>
      <c r="B757" s="11" t="n">
        <v>45872</v>
      </c>
      <c r="C757" t="inlineStr">
        <is>
          <t>West</t>
        </is>
      </c>
      <c r="D757" t="inlineStr">
        <is>
          <t>Ahmedabad</t>
        </is>
      </c>
      <c r="E757" t="inlineStr">
        <is>
          <t>Corporate</t>
        </is>
      </c>
      <c r="F757" t="inlineStr">
        <is>
          <t>Partner</t>
        </is>
      </c>
      <c r="G757" t="inlineStr">
        <is>
          <t>Office Supplies</t>
        </is>
      </c>
      <c r="H757" t="inlineStr">
        <is>
          <t>Paper Ream</t>
        </is>
      </c>
      <c r="I757" t="n">
        <v>4</v>
      </c>
      <c r="J757" s="12" t="n">
        <v>386.93</v>
      </c>
      <c r="K757" s="13" t="n">
        <v>0.15</v>
      </c>
      <c r="L757" s="12" t="n">
        <v>1315.56</v>
      </c>
      <c r="M757" s="12" t="n">
        <v>1191.74</v>
      </c>
      <c r="N757" s="12" t="n">
        <v>123.82</v>
      </c>
      <c r="O757" t="inlineStr">
        <is>
          <t>Cash</t>
        </is>
      </c>
      <c r="P757" t="inlineStr">
        <is>
          <t>Kabir Singh</t>
        </is>
      </c>
    </row>
    <row r="758">
      <c r="A758" t="inlineStr">
        <is>
          <t>ORD-2512-0757</t>
        </is>
      </c>
      <c r="B758" s="11" t="n">
        <v>46016</v>
      </c>
      <c r="C758" t="inlineStr">
        <is>
          <t>West</t>
        </is>
      </c>
      <c r="D758" t="inlineStr">
        <is>
          <t>Surat</t>
        </is>
      </c>
      <c r="E758" t="inlineStr">
        <is>
          <t>Small Business</t>
        </is>
      </c>
      <c r="F758" t="inlineStr">
        <is>
          <t>Retail Store</t>
        </is>
      </c>
      <c r="G758" t="inlineStr">
        <is>
          <t>Office Supplies</t>
        </is>
      </c>
      <c r="H758" t="inlineStr">
        <is>
          <t>Pens Box</t>
        </is>
      </c>
      <c r="I758" t="n">
        <v>2</v>
      </c>
      <c r="J758" s="12" t="n">
        <v>188.3</v>
      </c>
      <c r="K758" s="13" t="n">
        <v>0.1</v>
      </c>
      <c r="L758" s="12" t="n">
        <v>338.94</v>
      </c>
      <c r="M758" s="12" t="n">
        <v>244.79</v>
      </c>
      <c r="N758" s="12" t="n">
        <v>94.15000000000001</v>
      </c>
      <c r="O758" t="inlineStr">
        <is>
          <t>Net Banking</t>
        </is>
      </c>
      <c r="P758" t="inlineStr">
        <is>
          <t>Vivaan Gupta</t>
        </is>
      </c>
    </row>
    <row r="759">
      <c r="A759" t="inlineStr">
        <is>
          <t>ORD-2504-0758</t>
        </is>
      </c>
      <c r="B759" s="11" t="n">
        <v>45759</v>
      </c>
      <c r="C759" t="inlineStr">
        <is>
          <t>East</t>
        </is>
      </c>
      <c r="D759" t="inlineStr">
        <is>
          <t>Kolkata</t>
        </is>
      </c>
      <c r="E759" t="inlineStr">
        <is>
          <t>Consumer</t>
        </is>
      </c>
      <c r="F759" t="inlineStr">
        <is>
          <t>Partner</t>
        </is>
      </c>
      <c r="G759" t="inlineStr">
        <is>
          <t>Technology</t>
        </is>
      </c>
      <c r="H759" t="inlineStr">
        <is>
          <t>Laptop</t>
        </is>
      </c>
      <c r="I759" t="n">
        <v>3</v>
      </c>
      <c r="J759" s="12" t="n">
        <v>43470.88</v>
      </c>
      <c r="K759" s="13" t="n">
        <v>0.05</v>
      </c>
      <c r="L759" s="12" t="n">
        <v>123892.01</v>
      </c>
      <c r="M759" s="12" t="n">
        <v>114763.12</v>
      </c>
      <c r="N759" s="12" t="n">
        <v>9128.889999999999</v>
      </c>
      <c r="O759" t="inlineStr">
        <is>
          <t>Cash</t>
        </is>
      </c>
      <c r="P759" t="inlineStr">
        <is>
          <t>Rohan Verma</t>
        </is>
      </c>
    </row>
    <row r="760">
      <c r="A760" t="inlineStr">
        <is>
          <t>ORD-2504-0759</t>
        </is>
      </c>
      <c r="B760" s="11" t="n">
        <v>45767</v>
      </c>
      <c r="C760" t="inlineStr">
        <is>
          <t>North</t>
        </is>
      </c>
      <c r="D760" t="inlineStr">
        <is>
          <t>Chandigarh</t>
        </is>
      </c>
      <c r="E760" t="inlineStr">
        <is>
          <t>Small Business</t>
        </is>
      </c>
      <c r="F760" t="inlineStr">
        <is>
          <t>Partner</t>
        </is>
      </c>
      <c r="G760" t="inlineStr">
        <is>
          <t>Furniture</t>
        </is>
      </c>
      <c r="H760" t="inlineStr">
        <is>
          <t>Storage Cabinet</t>
        </is>
      </c>
      <c r="I760" t="n">
        <v>2</v>
      </c>
      <c r="J760" s="12" t="n">
        <v>8221.35</v>
      </c>
      <c r="K760" s="13" t="n">
        <v>0.1</v>
      </c>
      <c r="L760" s="12" t="n">
        <v>14798.43</v>
      </c>
      <c r="M760" s="12" t="n">
        <v>13154.16</v>
      </c>
      <c r="N760" s="12" t="n">
        <v>1644.27</v>
      </c>
      <c r="O760" t="inlineStr">
        <is>
          <t>Net Banking</t>
        </is>
      </c>
      <c r="P760" t="inlineStr">
        <is>
          <t>Meera Joshi</t>
        </is>
      </c>
    </row>
    <row r="761">
      <c r="A761" t="inlineStr">
        <is>
          <t>ORD-2506-0760</t>
        </is>
      </c>
      <c r="B761" s="11" t="n">
        <v>45813</v>
      </c>
      <c r="C761" t="inlineStr">
        <is>
          <t>West</t>
        </is>
      </c>
      <c r="D761" t="inlineStr">
        <is>
          <t>Mumbai</t>
        </is>
      </c>
      <c r="E761" t="inlineStr">
        <is>
          <t>Corporate</t>
        </is>
      </c>
      <c r="F761" t="inlineStr">
        <is>
          <t>Online</t>
        </is>
      </c>
      <c r="G761" t="inlineStr">
        <is>
          <t>Office Supplies</t>
        </is>
      </c>
      <c r="H761" t="inlineStr">
        <is>
          <t>Paper Ream</t>
        </is>
      </c>
      <c r="I761" t="n">
        <v>1</v>
      </c>
      <c r="J761" s="12" t="n">
        <v>428.53</v>
      </c>
      <c r="K761" s="13" t="n">
        <v>0.05</v>
      </c>
      <c r="L761" s="12" t="n">
        <v>407.1</v>
      </c>
      <c r="M761" s="12" t="n">
        <v>329.97</v>
      </c>
      <c r="N761" s="12" t="n">
        <v>77.13</v>
      </c>
      <c r="O761" t="inlineStr">
        <is>
          <t>Credit Card</t>
        </is>
      </c>
      <c r="P761" t="inlineStr">
        <is>
          <t>Diya Patel</t>
        </is>
      </c>
    </row>
    <row r="762">
      <c r="A762" t="inlineStr">
        <is>
          <t>ORD-2508-0761</t>
        </is>
      </c>
      <c r="B762" s="11" t="n">
        <v>45887</v>
      </c>
      <c r="C762" t="inlineStr">
        <is>
          <t>East</t>
        </is>
      </c>
      <c r="D762" t="inlineStr">
        <is>
          <t>Kolkata</t>
        </is>
      </c>
      <c r="E762" t="inlineStr">
        <is>
          <t>Small Business</t>
        </is>
      </c>
      <c r="F762" t="inlineStr">
        <is>
          <t>Partner</t>
        </is>
      </c>
      <c r="G762" t="inlineStr">
        <is>
          <t>Furniture</t>
        </is>
      </c>
      <c r="H762" t="inlineStr">
        <is>
          <t>Bookshelf</t>
        </is>
      </c>
      <c r="I762" t="n">
        <v>2</v>
      </c>
      <c r="J762" s="12" t="n">
        <v>5404.47</v>
      </c>
      <c r="K762" s="13" t="n">
        <v>0</v>
      </c>
      <c r="L762" s="12" t="n">
        <v>10808.94</v>
      </c>
      <c r="M762" s="12" t="n">
        <v>7998.62</v>
      </c>
      <c r="N762" s="12" t="n">
        <v>2810.32</v>
      </c>
      <c r="O762" t="inlineStr">
        <is>
          <t>Cash</t>
        </is>
      </c>
      <c r="P762" t="inlineStr">
        <is>
          <t>Meera Joshi</t>
        </is>
      </c>
    </row>
    <row r="763">
      <c r="A763" t="inlineStr">
        <is>
          <t>ORD-2506-0762</t>
        </is>
      </c>
      <c r="B763" s="11" t="n">
        <v>45837</v>
      </c>
      <c r="C763" t="inlineStr">
        <is>
          <t>East</t>
        </is>
      </c>
      <c r="D763" t="inlineStr">
        <is>
          <t>Bhubaneswar</t>
        </is>
      </c>
      <c r="E763" t="inlineStr">
        <is>
          <t>Small Business</t>
        </is>
      </c>
      <c r="F763" t="inlineStr">
        <is>
          <t>Retail Store</t>
        </is>
      </c>
      <c r="G763" t="inlineStr">
        <is>
          <t>Office Supplies</t>
        </is>
      </c>
      <c r="H763" t="inlineStr">
        <is>
          <t>Pens Box</t>
        </is>
      </c>
      <c r="I763" t="n">
        <v>5</v>
      </c>
      <c r="J763" s="12" t="n">
        <v>184.97</v>
      </c>
      <c r="K763" s="13" t="n">
        <v>0.1</v>
      </c>
      <c r="L763" s="12" t="n">
        <v>832.37</v>
      </c>
      <c r="M763" s="12" t="n">
        <v>601.15</v>
      </c>
      <c r="N763" s="12" t="n">
        <v>231.22</v>
      </c>
      <c r="O763" t="inlineStr">
        <is>
          <t>Cash</t>
        </is>
      </c>
      <c r="P763" t="inlineStr">
        <is>
          <t>Meera Joshi</t>
        </is>
      </c>
    </row>
    <row r="764">
      <c r="A764" t="inlineStr">
        <is>
          <t>ORD-2502-0763</t>
        </is>
      </c>
      <c r="B764" s="11" t="n">
        <v>45711</v>
      </c>
      <c r="C764" t="inlineStr">
        <is>
          <t>East</t>
        </is>
      </c>
      <c r="D764" t="inlineStr">
        <is>
          <t>Patna</t>
        </is>
      </c>
      <c r="E764" t="inlineStr">
        <is>
          <t>Corporate</t>
        </is>
      </c>
      <c r="F764" t="inlineStr">
        <is>
          <t>Retail Store</t>
        </is>
      </c>
      <c r="G764" t="inlineStr">
        <is>
          <t>Office Supplies</t>
        </is>
      </c>
      <c r="H764" t="inlineStr">
        <is>
          <t>Stapler</t>
        </is>
      </c>
      <c r="I764" t="n">
        <v>4</v>
      </c>
      <c r="J764" s="12" t="n">
        <v>245.3</v>
      </c>
      <c r="K764" s="13" t="n">
        <v>0.05</v>
      </c>
      <c r="L764" s="12" t="n">
        <v>932.14</v>
      </c>
      <c r="M764" s="12" t="n">
        <v>686.84</v>
      </c>
      <c r="N764" s="12" t="n">
        <v>245.3</v>
      </c>
      <c r="O764" t="inlineStr">
        <is>
          <t>Credit Card</t>
        </is>
      </c>
      <c r="P764" t="inlineStr">
        <is>
          <t>Diya Patel</t>
        </is>
      </c>
    </row>
    <row r="765">
      <c r="A765" t="inlineStr">
        <is>
          <t>ORD-2502-0764</t>
        </is>
      </c>
      <c r="B765" s="11" t="n">
        <v>45689</v>
      </c>
      <c r="C765" t="inlineStr">
        <is>
          <t>West</t>
        </is>
      </c>
      <c r="D765" t="inlineStr">
        <is>
          <t>Pune</t>
        </is>
      </c>
      <c r="E765" t="inlineStr">
        <is>
          <t>Corporate</t>
        </is>
      </c>
      <c r="F765" t="inlineStr">
        <is>
          <t>Partner</t>
        </is>
      </c>
      <c r="G765" t="inlineStr">
        <is>
          <t>Furniture</t>
        </is>
      </c>
      <c r="H765" t="inlineStr">
        <is>
          <t>Bookshelf</t>
        </is>
      </c>
      <c r="I765" t="n">
        <v>2</v>
      </c>
      <c r="J765" s="12" t="n">
        <v>5347.12</v>
      </c>
      <c r="K765" s="13" t="n">
        <v>0</v>
      </c>
      <c r="L765" s="12" t="n">
        <v>10694.24</v>
      </c>
      <c r="M765" s="12" t="n">
        <v>7913.74</v>
      </c>
      <c r="N765" s="12" t="n">
        <v>2780.5</v>
      </c>
      <c r="O765" t="inlineStr">
        <is>
          <t>Cash</t>
        </is>
      </c>
      <c r="P765" t="inlineStr">
        <is>
          <t>Vivaan Gupta</t>
        </is>
      </c>
    </row>
    <row r="766">
      <c r="A766" t="inlineStr">
        <is>
          <t>ORD-2505-0765</t>
        </is>
      </c>
      <c r="B766" s="11" t="n">
        <v>45793</v>
      </c>
      <c r="C766" t="inlineStr">
        <is>
          <t>Central</t>
        </is>
      </c>
      <c r="D766" t="inlineStr">
        <is>
          <t>Nagpur</t>
        </is>
      </c>
      <c r="E766" t="inlineStr">
        <is>
          <t>Corporate</t>
        </is>
      </c>
      <c r="F766" t="inlineStr">
        <is>
          <t>Partner</t>
        </is>
      </c>
      <c r="G766" t="inlineStr">
        <is>
          <t>Office Supplies</t>
        </is>
      </c>
      <c r="H766" t="inlineStr">
        <is>
          <t>Pens Box</t>
        </is>
      </c>
      <c r="I766" t="n">
        <v>2</v>
      </c>
      <c r="J766" s="12" t="n">
        <v>192.41</v>
      </c>
      <c r="K766" s="13" t="n">
        <v>0.05</v>
      </c>
      <c r="L766" s="12" t="n">
        <v>365.58</v>
      </c>
      <c r="M766" s="12" t="n">
        <v>250.13</v>
      </c>
      <c r="N766" s="12" t="n">
        <v>115.45</v>
      </c>
      <c r="O766" t="inlineStr">
        <is>
          <t>Debit Card</t>
        </is>
      </c>
      <c r="P766" t="inlineStr">
        <is>
          <t>Kabir Singh</t>
        </is>
      </c>
    </row>
    <row r="767">
      <c r="A767" t="inlineStr">
        <is>
          <t>ORD-2503-0766</t>
        </is>
      </c>
      <c r="B767" s="11" t="n">
        <v>45731</v>
      </c>
      <c r="C767" t="inlineStr">
        <is>
          <t>Central</t>
        </is>
      </c>
      <c r="D767" t="inlineStr">
        <is>
          <t>Indore</t>
        </is>
      </c>
      <c r="E767" t="inlineStr">
        <is>
          <t>Small Business</t>
        </is>
      </c>
      <c r="F767" t="inlineStr">
        <is>
          <t>Online</t>
        </is>
      </c>
      <c r="G767" t="inlineStr">
        <is>
          <t>Furniture</t>
        </is>
      </c>
      <c r="H767" t="inlineStr">
        <is>
          <t>Bookshelf</t>
        </is>
      </c>
      <c r="I767" t="n">
        <v>4</v>
      </c>
      <c r="J767" s="12" t="n">
        <v>5370.16</v>
      </c>
      <c r="K767" s="13" t="n">
        <v>0</v>
      </c>
      <c r="L767" s="12" t="n">
        <v>21480.64</v>
      </c>
      <c r="M767" s="12" t="n">
        <v>15895.67</v>
      </c>
      <c r="N767" s="12" t="n">
        <v>5584.97</v>
      </c>
      <c r="O767" t="inlineStr">
        <is>
          <t>UPI</t>
        </is>
      </c>
      <c r="P767" t="inlineStr">
        <is>
          <t>Anaya Rao</t>
        </is>
      </c>
    </row>
    <row r="768">
      <c r="A768" t="inlineStr">
        <is>
          <t>ORD-2508-0767</t>
        </is>
      </c>
      <c r="B768" s="11" t="n">
        <v>45900</v>
      </c>
      <c r="C768" t="inlineStr">
        <is>
          <t>North</t>
        </is>
      </c>
      <c r="D768" t="inlineStr">
        <is>
          <t>Jaipur</t>
        </is>
      </c>
      <c r="E768" t="inlineStr">
        <is>
          <t>Corporate</t>
        </is>
      </c>
      <c r="F768" t="inlineStr">
        <is>
          <t>Online</t>
        </is>
      </c>
      <c r="G768" t="inlineStr">
        <is>
          <t>Furniture</t>
        </is>
      </c>
      <c r="H768" t="inlineStr">
        <is>
          <t>Storage Cabinet</t>
        </is>
      </c>
      <c r="I768" t="n">
        <v>2</v>
      </c>
      <c r="J768" s="12" t="n">
        <v>9044.68</v>
      </c>
      <c r="K768" s="13" t="n">
        <v>0.2</v>
      </c>
      <c r="L768" s="12" t="n">
        <v>14471.49</v>
      </c>
      <c r="M768" s="12" t="n">
        <v>14471.49</v>
      </c>
      <c r="N768" s="12" t="n">
        <v>0</v>
      </c>
      <c r="O768" t="inlineStr">
        <is>
          <t>Credit Card</t>
        </is>
      </c>
      <c r="P768" t="inlineStr">
        <is>
          <t>Sara Khan</t>
        </is>
      </c>
    </row>
    <row r="769">
      <c r="A769" t="inlineStr">
        <is>
          <t>ORD-2510-0768</t>
        </is>
      </c>
      <c r="B769" s="11" t="n">
        <v>45950</v>
      </c>
      <c r="C769" t="inlineStr">
        <is>
          <t>East</t>
        </is>
      </c>
      <c r="D769" t="inlineStr">
        <is>
          <t>Kolkata</t>
        </is>
      </c>
      <c r="E769" t="inlineStr">
        <is>
          <t>Corporate</t>
        </is>
      </c>
      <c r="F769" t="inlineStr">
        <is>
          <t>Retail Store</t>
        </is>
      </c>
      <c r="G769" t="inlineStr">
        <is>
          <t>Furniture</t>
        </is>
      </c>
      <c r="H769" t="inlineStr">
        <is>
          <t>Storage Cabinet</t>
        </is>
      </c>
      <c r="I769" t="n">
        <v>1</v>
      </c>
      <c r="J769" s="12" t="n">
        <v>9599.209999999999</v>
      </c>
      <c r="K769" s="13" t="n">
        <v>0.05</v>
      </c>
      <c r="L769" s="12" t="n">
        <v>9119.25</v>
      </c>
      <c r="M769" s="12" t="n">
        <v>7679.37</v>
      </c>
      <c r="N769" s="12" t="n">
        <v>1439.88</v>
      </c>
      <c r="O769" t="inlineStr">
        <is>
          <t>Debit Card</t>
        </is>
      </c>
      <c r="P769" t="inlineStr">
        <is>
          <t>Aarav Sharma</t>
        </is>
      </c>
    </row>
    <row r="770">
      <c r="A770" t="inlineStr">
        <is>
          <t>ORD-2503-0769</t>
        </is>
      </c>
      <c r="B770" s="11" t="n">
        <v>45731</v>
      </c>
      <c r="C770" t="inlineStr">
        <is>
          <t>South</t>
        </is>
      </c>
      <c r="D770" t="inlineStr">
        <is>
          <t>Kochi</t>
        </is>
      </c>
      <c r="E770" t="inlineStr">
        <is>
          <t>Consumer</t>
        </is>
      </c>
      <c r="F770" t="inlineStr">
        <is>
          <t>Partner</t>
        </is>
      </c>
      <c r="G770" t="inlineStr">
        <is>
          <t>Technology</t>
        </is>
      </c>
      <c r="H770" t="inlineStr">
        <is>
          <t>Laptop</t>
        </is>
      </c>
      <c r="I770" t="n">
        <v>8</v>
      </c>
      <c r="J770" s="12" t="n">
        <v>40545</v>
      </c>
      <c r="K770" s="13" t="n">
        <v>0.05</v>
      </c>
      <c r="L770" s="12" t="n">
        <v>308142</v>
      </c>
      <c r="M770" s="12" t="n">
        <v>285436.8</v>
      </c>
      <c r="N770" s="12" t="n">
        <v>22705.2</v>
      </c>
      <c r="O770" t="inlineStr">
        <is>
          <t>Debit Card</t>
        </is>
      </c>
      <c r="P770" t="inlineStr">
        <is>
          <t>Aarav Sharma</t>
        </is>
      </c>
    </row>
    <row r="771">
      <c r="A771" t="inlineStr">
        <is>
          <t>ORD-2503-0770</t>
        </is>
      </c>
      <c r="B771" s="11" t="n">
        <v>45720</v>
      </c>
      <c r="C771" t="inlineStr">
        <is>
          <t>Central</t>
        </is>
      </c>
      <c r="D771" t="inlineStr">
        <is>
          <t>Raipur</t>
        </is>
      </c>
      <c r="E771" t="inlineStr">
        <is>
          <t>Small Business</t>
        </is>
      </c>
      <c r="F771" t="inlineStr">
        <is>
          <t>Retail Store</t>
        </is>
      </c>
      <c r="G771" t="inlineStr">
        <is>
          <t>Technology</t>
        </is>
      </c>
      <c r="H771" t="inlineStr">
        <is>
          <t>Monitor</t>
        </is>
      </c>
      <c r="I771" t="n">
        <v>6</v>
      </c>
      <c r="J771" s="12" t="n">
        <v>12646.12</v>
      </c>
      <c r="K771" s="13" t="n">
        <v>0.05</v>
      </c>
      <c r="L771" s="12" t="n">
        <v>72082.88</v>
      </c>
      <c r="M771" s="12" t="n">
        <v>62218.91</v>
      </c>
      <c r="N771" s="12" t="n">
        <v>9863.969999999999</v>
      </c>
      <c r="O771" t="inlineStr">
        <is>
          <t>Net Banking</t>
        </is>
      </c>
      <c r="P771" t="inlineStr">
        <is>
          <t>Vivaan Gupta</t>
        </is>
      </c>
    </row>
    <row r="772">
      <c r="A772" t="inlineStr">
        <is>
          <t>ORD-2509-0771</t>
        </is>
      </c>
      <c r="B772" s="11" t="n">
        <v>45901</v>
      </c>
      <c r="C772" t="inlineStr">
        <is>
          <t>Central</t>
        </is>
      </c>
      <c r="D772" t="inlineStr">
        <is>
          <t>Indore</t>
        </is>
      </c>
      <c r="E772" t="inlineStr">
        <is>
          <t>Small Business</t>
        </is>
      </c>
      <c r="F772" t="inlineStr">
        <is>
          <t>Retail Store</t>
        </is>
      </c>
      <c r="G772" t="inlineStr">
        <is>
          <t>Office Supplies</t>
        </is>
      </c>
      <c r="H772" t="inlineStr">
        <is>
          <t>File Folder</t>
        </is>
      </c>
      <c r="I772" t="n">
        <v>1</v>
      </c>
      <c r="J772" s="12" t="n">
        <v>93.77</v>
      </c>
      <c r="K772" s="13" t="n">
        <v>0.1</v>
      </c>
      <c r="L772" s="12" t="n">
        <v>84.39</v>
      </c>
      <c r="M772" s="12" t="n">
        <v>58.14</v>
      </c>
      <c r="N772" s="12" t="n">
        <v>26.25</v>
      </c>
      <c r="O772" t="inlineStr">
        <is>
          <t>UPI</t>
        </is>
      </c>
      <c r="P772" t="inlineStr">
        <is>
          <t>Sara Khan</t>
        </is>
      </c>
    </row>
    <row r="773">
      <c r="A773" t="inlineStr">
        <is>
          <t>ORD-2502-0772</t>
        </is>
      </c>
      <c r="B773" s="11" t="n">
        <v>45703</v>
      </c>
      <c r="C773" t="inlineStr">
        <is>
          <t>Central</t>
        </is>
      </c>
      <c r="D773" t="inlineStr">
        <is>
          <t>Nagpur</t>
        </is>
      </c>
      <c r="E773" t="inlineStr">
        <is>
          <t>Small Business</t>
        </is>
      </c>
      <c r="F773" t="inlineStr">
        <is>
          <t>Retail Store</t>
        </is>
      </c>
      <c r="G773" t="inlineStr">
        <is>
          <t>Furniture</t>
        </is>
      </c>
      <c r="H773" t="inlineStr">
        <is>
          <t>Desk</t>
        </is>
      </c>
      <c r="I773" t="n">
        <v>2</v>
      </c>
      <c r="J773" s="12" t="n">
        <v>11575.43</v>
      </c>
      <c r="K773" s="13" t="n">
        <v>0.05</v>
      </c>
      <c r="L773" s="12" t="n">
        <v>21993.32</v>
      </c>
      <c r="M773" s="12" t="n">
        <v>17594.65</v>
      </c>
      <c r="N773" s="12" t="n">
        <v>4398.67</v>
      </c>
      <c r="O773" t="inlineStr">
        <is>
          <t>Net Banking</t>
        </is>
      </c>
      <c r="P773" t="inlineStr">
        <is>
          <t>Diya Patel</t>
        </is>
      </c>
    </row>
    <row r="774">
      <c r="A774" t="inlineStr">
        <is>
          <t>ORD-2503-0773</t>
        </is>
      </c>
      <c r="B774" s="11" t="n">
        <v>45742</v>
      </c>
      <c r="C774" t="inlineStr">
        <is>
          <t>North</t>
        </is>
      </c>
      <c r="D774" t="inlineStr">
        <is>
          <t>Chandigarh</t>
        </is>
      </c>
      <c r="E774" t="inlineStr">
        <is>
          <t>Small Business</t>
        </is>
      </c>
      <c r="F774" t="inlineStr">
        <is>
          <t>Partner</t>
        </is>
      </c>
      <c r="G774" t="inlineStr">
        <is>
          <t>Furniture</t>
        </is>
      </c>
      <c r="H774" t="inlineStr">
        <is>
          <t>Storage Cabinet</t>
        </is>
      </c>
      <c r="I774" t="n">
        <v>4</v>
      </c>
      <c r="J774" s="12" t="n">
        <v>8309.26</v>
      </c>
      <c r="K774" s="13" t="n">
        <v>0.1</v>
      </c>
      <c r="L774" s="12" t="n">
        <v>29913.34</v>
      </c>
      <c r="M774" s="12" t="n">
        <v>26589.63</v>
      </c>
      <c r="N774" s="12" t="n">
        <v>3323.71</v>
      </c>
      <c r="O774" t="inlineStr">
        <is>
          <t>Cash</t>
        </is>
      </c>
      <c r="P774" t="inlineStr">
        <is>
          <t>Aarav Sharma</t>
        </is>
      </c>
    </row>
    <row r="775">
      <c r="A775" t="inlineStr">
        <is>
          <t>ORD-2510-0774</t>
        </is>
      </c>
      <c r="B775" s="11" t="n">
        <v>45949</v>
      </c>
      <c r="C775" t="inlineStr">
        <is>
          <t>Central</t>
        </is>
      </c>
      <c r="D775" t="inlineStr">
        <is>
          <t>Indore</t>
        </is>
      </c>
      <c r="E775" t="inlineStr">
        <is>
          <t>Small Business</t>
        </is>
      </c>
      <c r="F775" t="inlineStr">
        <is>
          <t>Online</t>
        </is>
      </c>
      <c r="G775" t="inlineStr">
        <is>
          <t>Office Supplies</t>
        </is>
      </c>
      <c r="H775" t="inlineStr">
        <is>
          <t>File Folder</t>
        </is>
      </c>
      <c r="I775" t="n">
        <v>3</v>
      </c>
      <c r="J775" s="12" t="n">
        <v>84.53</v>
      </c>
      <c r="K775" s="13" t="n">
        <v>0.15</v>
      </c>
      <c r="L775" s="12" t="n">
        <v>215.55</v>
      </c>
      <c r="M775" s="12" t="n">
        <v>157.23</v>
      </c>
      <c r="N775" s="12" t="n">
        <v>58.32</v>
      </c>
      <c r="O775" t="inlineStr">
        <is>
          <t>Credit Card</t>
        </is>
      </c>
      <c r="P775" t="inlineStr">
        <is>
          <t>Rohan Verma</t>
        </is>
      </c>
    </row>
    <row r="776">
      <c r="A776" t="inlineStr">
        <is>
          <t>ORD-2504-0775</t>
        </is>
      </c>
      <c r="B776" s="11" t="n">
        <v>45763</v>
      </c>
      <c r="C776" t="inlineStr">
        <is>
          <t>South</t>
        </is>
      </c>
      <c r="D776" t="inlineStr">
        <is>
          <t>Kochi</t>
        </is>
      </c>
      <c r="E776" t="inlineStr">
        <is>
          <t>Consumer</t>
        </is>
      </c>
      <c r="F776" t="inlineStr">
        <is>
          <t>Retail Store</t>
        </is>
      </c>
      <c r="G776" t="inlineStr">
        <is>
          <t>Technology</t>
        </is>
      </c>
      <c r="H776" t="inlineStr">
        <is>
          <t>Monitor</t>
        </is>
      </c>
      <c r="I776" t="n">
        <v>5</v>
      </c>
      <c r="J776" s="12" t="n">
        <v>12303.6</v>
      </c>
      <c r="K776" s="13" t="n">
        <v>0.1</v>
      </c>
      <c r="L776" s="12" t="n">
        <v>55366.2</v>
      </c>
      <c r="M776" s="12" t="n">
        <v>50444.76</v>
      </c>
      <c r="N776" s="12" t="n">
        <v>4921.44</v>
      </c>
      <c r="O776" t="inlineStr">
        <is>
          <t>Credit Card</t>
        </is>
      </c>
      <c r="P776" t="inlineStr">
        <is>
          <t>Sara Khan</t>
        </is>
      </c>
    </row>
    <row r="777">
      <c r="A777" t="inlineStr">
        <is>
          <t>ORD-2508-0776</t>
        </is>
      </c>
      <c r="B777" s="11" t="n">
        <v>45881</v>
      </c>
      <c r="C777" t="inlineStr">
        <is>
          <t>South</t>
        </is>
      </c>
      <c r="D777" t="inlineStr">
        <is>
          <t>Kochi</t>
        </is>
      </c>
      <c r="E777" t="inlineStr">
        <is>
          <t>Consumer</t>
        </is>
      </c>
      <c r="F777" t="inlineStr">
        <is>
          <t>Online</t>
        </is>
      </c>
      <c r="G777" t="inlineStr">
        <is>
          <t>Technology</t>
        </is>
      </c>
      <c r="H777" t="inlineStr">
        <is>
          <t>Laptop</t>
        </is>
      </c>
      <c r="I777" t="n">
        <v>5</v>
      </c>
      <c r="J777" s="12" t="n">
        <v>40368.23</v>
      </c>
      <c r="K777" s="13" t="n">
        <v>0.05</v>
      </c>
      <c r="L777" s="12" t="n">
        <v>191749.09</v>
      </c>
      <c r="M777" s="12" t="n">
        <v>177620.21</v>
      </c>
      <c r="N777" s="12" t="n">
        <v>14128.88</v>
      </c>
      <c r="O777" t="inlineStr">
        <is>
          <t>Cash</t>
        </is>
      </c>
      <c r="P777" t="inlineStr">
        <is>
          <t>Kabir Singh</t>
        </is>
      </c>
    </row>
    <row r="778">
      <c r="A778" t="inlineStr">
        <is>
          <t>ORD-2505-0777</t>
        </is>
      </c>
      <c r="B778" s="11" t="n">
        <v>45804</v>
      </c>
      <c r="C778" t="inlineStr">
        <is>
          <t>South</t>
        </is>
      </c>
      <c r="D778" t="inlineStr">
        <is>
          <t>Chennai</t>
        </is>
      </c>
      <c r="E778" t="inlineStr">
        <is>
          <t>Small Business</t>
        </is>
      </c>
      <c r="F778" t="inlineStr">
        <is>
          <t>Online</t>
        </is>
      </c>
      <c r="G778" t="inlineStr">
        <is>
          <t>Technology</t>
        </is>
      </c>
      <c r="H778" t="inlineStr">
        <is>
          <t>Headphones</t>
        </is>
      </c>
      <c r="I778" t="n">
        <v>4</v>
      </c>
      <c r="J778" s="12" t="n">
        <v>2359.16</v>
      </c>
      <c r="K778" s="13" t="n">
        <v>0</v>
      </c>
      <c r="L778" s="12" t="n">
        <v>9436.639999999999</v>
      </c>
      <c r="M778" s="12" t="n">
        <v>7360.58</v>
      </c>
      <c r="N778" s="12" t="n">
        <v>2076.06</v>
      </c>
      <c r="O778" t="inlineStr">
        <is>
          <t>Credit Card</t>
        </is>
      </c>
      <c r="P778" t="inlineStr">
        <is>
          <t>Sara Khan</t>
        </is>
      </c>
    </row>
    <row r="779">
      <c r="A779" t="inlineStr">
        <is>
          <t>ORD-2504-0778</t>
        </is>
      </c>
      <c r="B779" s="11" t="n">
        <v>45750</v>
      </c>
      <c r="C779" t="inlineStr">
        <is>
          <t>North</t>
        </is>
      </c>
      <c r="D779" t="inlineStr">
        <is>
          <t>Delhi</t>
        </is>
      </c>
      <c r="E779" t="inlineStr">
        <is>
          <t>Corporate</t>
        </is>
      </c>
      <c r="F779" t="inlineStr">
        <is>
          <t>Retail Store</t>
        </is>
      </c>
      <c r="G779" t="inlineStr">
        <is>
          <t>Technology</t>
        </is>
      </c>
      <c r="H779" t="inlineStr">
        <is>
          <t>Headphones</t>
        </is>
      </c>
      <c r="I779" t="n">
        <v>2</v>
      </c>
      <c r="J779" s="12" t="n">
        <v>2169.31</v>
      </c>
      <c r="K779" s="13" t="n">
        <v>0.05</v>
      </c>
      <c r="L779" s="12" t="n">
        <v>4121.69</v>
      </c>
      <c r="M779" s="12" t="n">
        <v>3384.12</v>
      </c>
      <c r="N779" s="12" t="n">
        <v>737.5700000000001</v>
      </c>
      <c r="O779" t="inlineStr">
        <is>
          <t>Debit Card</t>
        </is>
      </c>
      <c r="P779" t="inlineStr">
        <is>
          <t>Diya Patel</t>
        </is>
      </c>
    </row>
    <row r="780">
      <c r="A780" t="inlineStr">
        <is>
          <t>ORD-2501-0779</t>
        </is>
      </c>
      <c r="B780" s="11" t="n">
        <v>45684</v>
      </c>
      <c r="C780" t="inlineStr">
        <is>
          <t>South</t>
        </is>
      </c>
      <c r="D780" t="inlineStr">
        <is>
          <t>Chennai</t>
        </is>
      </c>
      <c r="E780" t="inlineStr">
        <is>
          <t>Small Business</t>
        </is>
      </c>
      <c r="F780" t="inlineStr">
        <is>
          <t>Retail Store</t>
        </is>
      </c>
      <c r="G780" t="inlineStr">
        <is>
          <t>Office Supplies</t>
        </is>
      </c>
      <c r="H780" t="inlineStr">
        <is>
          <t>File Folder</t>
        </is>
      </c>
      <c r="I780" t="n">
        <v>3</v>
      </c>
      <c r="J780" s="12" t="n">
        <v>90.12</v>
      </c>
      <c r="K780" s="13" t="n">
        <v>0</v>
      </c>
      <c r="L780" s="12" t="n">
        <v>270.36</v>
      </c>
      <c r="M780" s="12" t="n">
        <v>167.62</v>
      </c>
      <c r="N780" s="12" t="n">
        <v>102.74</v>
      </c>
      <c r="O780" t="inlineStr">
        <is>
          <t>Credit Card</t>
        </is>
      </c>
      <c r="P780" t="inlineStr">
        <is>
          <t>Rohan Verma</t>
        </is>
      </c>
    </row>
    <row r="781">
      <c r="A781" t="inlineStr">
        <is>
          <t>ORD-2502-0780</t>
        </is>
      </c>
      <c r="B781" s="11" t="n">
        <v>45689</v>
      </c>
      <c r="C781" t="inlineStr">
        <is>
          <t>East</t>
        </is>
      </c>
      <c r="D781" t="inlineStr">
        <is>
          <t>Guwahati</t>
        </is>
      </c>
      <c r="E781" t="inlineStr">
        <is>
          <t>Consumer</t>
        </is>
      </c>
      <c r="F781" t="inlineStr">
        <is>
          <t>Online</t>
        </is>
      </c>
      <c r="G781" t="inlineStr">
        <is>
          <t>Furniture</t>
        </is>
      </c>
      <c r="H781" t="inlineStr">
        <is>
          <t>Storage Cabinet</t>
        </is>
      </c>
      <c r="I781" t="n">
        <v>2</v>
      </c>
      <c r="J781" s="12" t="n">
        <v>8768.27</v>
      </c>
      <c r="K781" s="13" t="n">
        <v>0.05</v>
      </c>
      <c r="L781" s="12" t="n">
        <v>16659.71</v>
      </c>
      <c r="M781" s="12" t="n">
        <v>14029.23</v>
      </c>
      <c r="N781" s="12" t="n">
        <v>2630.48</v>
      </c>
      <c r="O781" t="inlineStr">
        <is>
          <t>Net Banking</t>
        </is>
      </c>
      <c r="P781" t="inlineStr">
        <is>
          <t>Diya Patel</t>
        </is>
      </c>
    </row>
    <row r="782">
      <c r="A782" t="inlineStr">
        <is>
          <t>ORD-2505-0781</t>
        </is>
      </c>
      <c r="B782" s="11" t="n">
        <v>45784</v>
      </c>
      <c r="C782" t="inlineStr">
        <is>
          <t>Central</t>
        </is>
      </c>
      <c r="D782" t="inlineStr">
        <is>
          <t>Indore</t>
        </is>
      </c>
      <c r="E782" t="inlineStr">
        <is>
          <t>Small Business</t>
        </is>
      </c>
      <c r="F782" t="inlineStr">
        <is>
          <t>Online</t>
        </is>
      </c>
      <c r="G782" t="inlineStr">
        <is>
          <t>Technology</t>
        </is>
      </c>
      <c r="H782" t="inlineStr">
        <is>
          <t>Headphones</t>
        </is>
      </c>
      <c r="I782" t="n">
        <v>3</v>
      </c>
      <c r="J782" s="12" t="n">
        <v>2321.89</v>
      </c>
      <c r="K782" s="13" t="n">
        <v>0.05</v>
      </c>
      <c r="L782" s="12" t="n">
        <v>6617.39</v>
      </c>
      <c r="M782" s="12" t="n">
        <v>5433.22</v>
      </c>
      <c r="N782" s="12" t="n">
        <v>1184.17</v>
      </c>
      <c r="O782" t="inlineStr">
        <is>
          <t>UPI</t>
        </is>
      </c>
      <c r="P782" t="inlineStr">
        <is>
          <t>Sara Khan</t>
        </is>
      </c>
    </row>
    <row r="783">
      <c r="A783" t="inlineStr">
        <is>
          <t>ORD-2510-0782</t>
        </is>
      </c>
      <c r="B783" s="11" t="n">
        <v>45934</v>
      </c>
      <c r="C783" t="inlineStr">
        <is>
          <t>South</t>
        </is>
      </c>
      <c r="D783" t="inlineStr">
        <is>
          <t>Chennai</t>
        </is>
      </c>
      <c r="E783" t="inlineStr">
        <is>
          <t>Consumer</t>
        </is>
      </c>
      <c r="F783" t="inlineStr">
        <is>
          <t>Online</t>
        </is>
      </c>
      <c r="G783" t="inlineStr">
        <is>
          <t>Furniture</t>
        </is>
      </c>
      <c r="H783" t="inlineStr">
        <is>
          <t>Storage Cabinet</t>
        </is>
      </c>
      <c r="I783" t="n">
        <v>8</v>
      </c>
      <c r="J783" s="12" t="n">
        <v>8978.540000000001</v>
      </c>
      <c r="K783" s="13" t="n">
        <v>0.2</v>
      </c>
      <c r="L783" s="12" t="n">
        <v>57462.66</v>
      </c>
      <c r="M783" s="12" t="n">
        <v>57462.66</v>
      </c>
      <c r="N783" s="12" t="n">
        <v>0</v>
      </c>
      <c r="O783" t="inlineStr">
        <is>
          <t>Debit Card</t>
        </is>
      </c>
      <c r="P783" t="inlineStr">
        <is>
          <t>Rohan Verma</t>
        </is>
      </c>
    </row>
    <row r="784">
      <c r="A784" t="inlineStr">
        <is>
          <t>ORD-2512-0783</t>
        </is>
      </c>
      <c r="B784" s="11" t="n">
        <v>45992</v>
      </c>
      <c r="C784" t="inlineStr">
        <is>
          <t>South</t>
        </is>
      </c>
      <c r="D784" t="inlineStr">
        <is>
          <t>Bengaluru</t>
        </is>
      </c>
      <c r="E784" t="inlineStr">
        <is>
          <t>Small Business</t>
        </is>
      </c>
      <c r="F784" t="inlineStr">
        <is>
          <t>Retail Store</t>
        </is>
      </c>
      <c r="G784" t="inlineStr">
        <is>
          <t>Technology</t>
        </is>
      </c>
      <c r="H784" t="inlineStr">
        <is>
          <t>Laptop</t>
        </is>
      </c>
      <c r="I784" t="n">
        <v>8</v>
      </c>
      <c r="J784" s="12" t="n">
        <v>42657.67</v>
      </c>
      <c r="K784" s="13" t="n">
        <v>0.05</v>
      </c>
      <c r="L784" s="12" t="n">
        <v>324198.29</v>
      </c>
      <c r="M784" s="12" t="n">
        <v>300310</v>
      </c>
      <c r="N784" s="12" t="n">
        <v>23888.29</v>
      </c>
      <c r="O784" t="inlineStr">
        <is>
          <t>Net Banking</t>
        </is>
      </c>
      <c r="P784" t="inlineStr">
        <is>
          <t>Meera Joshi</t>
        </is>
      </c>
    </row>
    <row r="785">
      <c r="A785" t="inlineStr">
        <is>
          <t>ORD-2510-0784</t>
        </is>
      </c>
      <c r="B785" s="11" t="n">
        <v>45957</v>
      </c>
      <c r="C785" t="inlineStr">
        <is>
          <t>Central</t>
        </is>
      </c>
      <c r="D785" t="inlineStr">
        <is>
          <t>Raipur</t>
        </is>
      </c>
      <c r="E785" t="inlineStr">
        <is>
          <t>Consumer</t>
        </is>
      </c>
      <c r="F785" t="inlineStr">
        <is>
          <t>Retail Store</t>
        </is>
      </c>
      <c r="G785" t="inlineStr">
        <is>
          <t>Technology</t>
        </is>
      </c>
      <c r="H785" t="inlineStr">
        <is>
          <t>Laptop</t>
        </is>
      </c>
      <c r="I785" t="n">
        <v>1</v>
      </c>
      <c r="J785" s="12" t="n">
        <v>39109.96</v>
      </c>
      <c r="K785" s="13" t="n">
        <v>0.1</v>
      </c>
      <c r="L785" s="12" t="n">
        <v>35198.96</v>
      </c>
      <c r="M785" s="12" t="n">
        <v>34416.76</v>
      </c>
      <c r="N785" s="12" t="n">
        <v>782.2</v>
      </c>
      <c r="O785" t="inlineStr">
        <is>
          <t>Credit Card</t>
        </is>
      </c>
      <c r="P785" t="inlineStr">
        <is>
          <t>Kabir Singh</t>
        </is>
      </c>
    </row>
    <row r="786">
      <c r="A786" t="inlineStr">
        <is>
          <t>ORD-2510-0785</t>
        </is>
      </c>
      <c r="B786" s="11" t="n">
        <v>45942</v>
      </c>
      <c r="C786" t="inlineStr">
        <is>
          <t>East</t>
        </is>
      </c>
      <c r="D786" t="inlineStr">
        <is>
          <t>Guwahati</t>
        </is>
      </c>
      <c r="E786" t="inlineStr">
        <is>
          <t>Small Business</t>
        </is>
      </c>
      <c r="F786" t="inlineStr">
        <is>
          <t>Retail Store</t>
        </is>
      </c>
      <c r="G786" t="inlineStr">
        <is>
          <t>Technology</t>
        </is>
      </c>
      <c r="H786" t="inlineStr">
        <is>
          <t>Printer</t>
        </is>
      </c>
      <c r="I786" t="n">
        <v>3</v>
      </c>
      <c r="J786" s="12" t="n">
        <v>9223.82</v>
      </c>
      <c r="K786" s="13" t="n">
        <v>0.2</v>
      </c>
      <c r="L786" s="12" t="n">
        <v>22137.17</v>
      </c>
      <c r="M786" s="12" t="n">
        <v>23244.03</v>
      </c>
      <c r="N786" s="12" t="n">
        <v>-1106.86</v>
      </c>
      <c r="O786" t="inlineStr">
        <is>
          <t>Net Banking</t>
        </is>
      </c>
      <c r="P786" t="inlineStr">
        <is>
          <t>Anaya Rao</t>
        </is>
      </c>
    </row>
    <row r="787">
      <c r="A787" t="inlineStr">
        <is>
          <t>ORD-2505-0786</t>
        </is>
      </c>
      <c r="B787" s="11" t="n">
        <v>45797</v>
      </c>
      <c r="C787" t="inlineStr">
        <is>
          <t>South</t>
        </is>
      </c>
      <c r="D787" t="inlineStr">
        <is>
          <t>Hyderabad</t>
        </is>
      </c>
      <c r="E787" t="inlineStr">
        <is>
          <t>Small Business</t>
        </is>
      </c>
      <c r="F787" t="inlineStr">
        <is>
          <t>Online</t>
        </is>
      </c>
      <c r="G787" t="inlineStr">
        <is>
          <t>Furniture</t>
        </is>
      </c>
      <c r="H787" t="inlineStr">
        <is>
          <t>Office Chair</t>
        </is>
      </c>
      <c r="I787" t="n">
        <v>2</v>
      </c>
      <c r="J787" s="12" t="n">
        <v>6613.36</v>
      </c>
      <c r="K787" s="13" t="n">
        <v>0.2</v>
      </c>
      <c r="L787" s="12" t="n">
        <v>10581.38</v>
      </c>
      <c r="M787" s="12" t="n">
        <v>9523.24</v>
      </c>
      <c r="N787" s="12" t="n">
        <v>1058.14</v>
      </c>
      <c r="O787" t="inlineStr">
        <is>
          <t>Credit Card</t>
        </is>
      </c>
      <c r="P787" t="inlineStr">
        <is>
          <t>Anaya Rao</t>
        </is>
      </c>
    </row>
    <row r="788">
      <c r="A788" t="inlineStr">
        <is>
          <t>ORD-2501-0787</t>
        </is>
      </c>
      <c r="B788" s="11" t="n">
        <v>45660</v>
      </c>
      <c r="C788" t="inlineStr">
        <is>
          <t>North</t>
        </is>
      </c>
      <c r="D788" t="inlineStr">
        <is>
          <t>Jaipur</t>
        </is>
      </c>
      <c r="E788" t="inlineStr">
        <is>
          <t>Corporate</t>
        </is>
      </c>
      <c r="F788" t="inlineStr">
        <is>
          <t>Partner</t>
        </is>
      </c>
      <c r="G788" t="inlineStr">
        <is>
          <t>Furniture</t>
        </is>
      </c>
      <c r="H788" t="inlineStr">
        <is>
          <t>Desk</t>
        </is>
      </c>
      <c r="I788" t="n">
        <v>3</v>
      </c>
      <c r="J788" s="12" t="n">
        <v>11479.72</v>
      </c>
      <c r="K788" s="13" t="n">
        <v>0.1</v>
      </c>
      <c r="L788" s="12" t="n">
        <v>30995.24</v>
      </c>
      <c r="M788" s="12" t="n">
        <v>26173.76</v>
      </c>
      <c r="N788" s="12" t="n">
        <v>4821.48</v>
      </c>
      <c r="O788" t="inlineStr">
        <is>
          <t>Credit Card</t>
        </is>
      </c>
      <c r="P788" t="inlineStr">
        <is>
          <t>Diya Patel</t>
        </is>
      </c>
    </row>
    <row r="789">
      <c r="A789" t="inlineStr">
        <is>
          <t>ORD-2510-0788</t>
        </is>
      </c>
      <c r="B789" s="11" t="n">
        <v>45933</v>
      </c>
      <c r="C789" t="inlineStr">
        <is>
          <t>North</t>
        </is>
      </c>
      <c r="D789" t="inlineStr">
        <is>
          <t>Lucknow</t>
        </is>
      </c>
      <c r="E789" t="inlineStr">
        <is>
          <t>Small Business</t>
        </is>
      </c>
      <c r="F789" t="inlineStr">
        <is>
          <t>Retail Store</t>
        </is>
      </c>
      <c r="G789" t="inlineStr">
        <is>
          <t>Office Supplies</t>
        </is>
      </c>
      <c r="H789" t="inlineStr">
        <is>
          <t>Pens Box</t>
        </is>
      </c>
      <c r="I789" t="n">
        <v>1</v>
      </c>
      <c r="J789" s="12" t="n">
        <v>176.44</v>
      </c>
      <c r="K789" s="13" t="n">
        <v>0.2</v>
      </c>
      <c r="L789" s="12" t="n">
        <v>141.15</v>
      </c>
      <c r="M789" s="12" t="n">
        <v>114.69</v>
      </c>
      <c r="N789" s="12" t="n">
        <v>26.46</v>
      </c>
      <c r="O789" t="inlineStr">
        <is>
          <t>Debit Card</t>
        </is>
      </c>
      <c r="P789" t="inlineStr">
        <is>
          <t>Kabir Singh</t>
        </is>
      </c>
    </row>
    <row r="790">
      <c r="A790" t="inlineStr">
        <is>
          <t>ORD-2512-0789</t>
        </is>
      </c>
      <c r="B790" s="11" t="n">
        <v>46014</v>
      </c>
      <c r="C790" t="inlineStr">
        <is>
          <t>North</t>
        </is>
      </c>
      <c r="D790" t="inlineStr">
        <is>
          <t>Delhi</t>
        </is>
      </c>
      <c r="E790" t="inlineStr">
        <is>
          <t>Small Business</t>
        </is>
      </c>
      <c r="F790" t="inlineStr">
        <is>
          <t>Online</t>
        </is>
      </c>
      <c r="G790" t="inlineStr">
        <is>
          <t>Furniture</t>
        </is>
      </c>
      <c r="H790" t="inlineStr">
        <is>
          <t>Bookshelf</t>
        </is>
      </c>
      <c r="I790" t="n">
        <v>2</v>
      </c>
      <c r="J790" s="12" t="n">
        <v>4791.79</v>
      </c>
      <c r="K790" s="13" t="n">
        <v>0</v>
      </c>
      <c r="L790" s="12" t="n">
        <v>9583.58</v>
      </c>
      <c r="M790" s="12" t="n">
        <v>7091.85</v>
      </c>
      <c r="N790" s="12" t="n">
        <v>2491.73</v>
      </c>
      <c r="O790" t="inlineStr">
        <is>
          <t>Net Banking</t>
        </is>
      </c>
      <c r="P790" t="inlineStr">
        <is>
          <t>Sara Khan</t>
        </is>
      </c>
    </row>
    <row r="791">
      <c r="A791" t="inlineStr">
        <is>
          <t>ORD-2504-0790</t>
        </is>
      </c>
      <c r="B791" s="11" t="n">
        <v>45756</v>
      </c>
      <c r="C791" t="inlineStr">
        <is>
          <t>North</t>
        </is>
      </c>
      <c r="D791" t="inlineStr">
        <is>
          <t>Chandigarh</t>
        </is>
      </c>
      <c r="E791" t="inlineStr">
        <is>
          <t>Corporate</t>
        </is>
      </c>
      <c r="F791" t="inlineStr">
        <is>
          <t>Online</t>
        </is>
      </c>
      <c r="G791" t="inlineStr">
        <is>
          <t>Office Supplies</t>
        </is>
      </c>
      <c r="H791" t="inlineStr">
        <is>
          <t>File Folder</t>
        </is>
      </c>
      <c r="I791" t="n">
        <v>4</v>
      </c>
      <c r="J791" s="12" t="n">
        <v>89.91</v>
      </c>
      <c r="K791" s="13" t="n">
        <v>0</v>
      </c>
      <c r="L791" s="12" t="n">
        <v>359.64</v>
      </c>
      <c r="M791" s="12" t="n">
        <v>222.98</v>
      </c>
      <c r="N791" s="12" t="n">
        <v>136.66</v>
      </c>
      <c r="O791" t="inlineStr">
        <is>
          <t>Net Banking</t>
        </is>
      </c>
      <c r="P791" t="inlineStr">
        <is>
          <t>Anaya Rao</t>
        </is>
      </c>
    </row>
    <row r="792">
      <c r="A792" t="inlineStr">
        <is>
          <t>ORD-2512-0791</t>
        </is>
      </c>
      <c r="B792" s="11" t="n">
        <v>46018</v>
      </c>
      <c r="C792" t="inlineStr">
        <is>
          <t>Central</t>
        </is>
      </c>
      <c r="D792" t="inlineStr">
        <is>
          <t>Indore</t>
        </is>
      </c>
      <c r="E792" t="inlineStr">
        <is>
          <t>Corporate</t>
        </is>
      </c>
      <c r="F792" t="inlineStr">
        <is>
          <t>Partner</t>
        </is>
      </c>
      <c r="G792" t="inlineStr">
        <is>
          <t>Technology</t>
        </is>
      </c>
      <c r="H792" t="inlineStr">
        <is>
          <t>Laptop</t>
        </is>
      </c>
      <c r="I792" t="n">
        <v>1</v>
      </c>
      <c r="J792" s="12" t="n">
        <v>41301.7</v>
      </c>
      <c r="K792" s="13" t="n">
        <v>0.15</v>
      </c>
      <c r="L792" s="12" t="n">
        <v>35106.44</v>
      </c>
      <c r="M792" s="12" t="n">
        <v>36345.5</v>
      </c>
      <c r="N792" s="12" t="n">
        <v>-1239.06</v>
      </c>
      <c r="O792" t="inlineStr">
        <is>
          <t>Cash</t>
        </is>
      </c>
      <c r="P792" t="inlineStr">
        <is>
          <t>Anaya Rao</t>
        </is>
      </c>
    </row>
    <row r="793">
      <c r="A793" t="inlineStr">
        <is>
          <t>ORD-2503-0792</t>
        </is>
      </c>
      <c r="B793" s="11" t="n">
        <v>45745</v>
      </c>
      <c r="C793" t="inlineStr">
        <is>
          <t>Central</t>
        </is>
      </c>
      <c r="D793" t="inlineStr">
        <is>
          <t>Indore</t>
        </is>
      </c>
      <c r="E793" t="inlineStr">
        <is>
          <t>Consumer</t>
        </is>
      </c>
      <c r="F793" t="inlineStr">
        <is>
          <t>Online</t>
        </is>
      </c>
      <c r="G793" t="inlineStr">
        <is>
          <t>Office Supplies</t>
        </is>
      </c>
      <c r="H793" t="inlineStr">
        <is>
          <t>Pens Box</t>
        </is>
      </c>
      <c r="I793" t="n">
        <v>4</v>
      </c>
      <c r="J793" s="12" t="n">
        <v>182.97</v>
      </c>
      <c r="K793" s="13" t="n">
        <v>0.1</v>
      </c>
      <c r="L793" s="12" t="n">
        <v>658.6900000000001</v>
      </c>
      <c r="M793" s="12" t="n">
        <v>475.72</v>
      </c>
      <c r="N793" s="12" t="n">
        <v>182.97</v>
      </c>
      <c r="O793" t="inlineStr">
        <is>
          <t>Cash</t>
        </is>
      </c>
      <c r="P793" t="inlineStr">
        <is>
          <t>Kabir Singh</t>
        </is>
      </c>
    </row>
    <row r="794">
      <c r="A794" t="inlineStr">
        <is>
          <t>ORD-2502-0793</t>
        </is>
      </c>
      <c r="B794" s="11" t="n">
        <v>45691</v>
      </c>
      <c r="C794" t="inlineStr">
        <is>
          <t>South</t>
        </is>
      </c>
      <c r="D794" t="inlineStr">
        <is>
          <t>Hyderabad</t>
        </is>
      </c>
      <c r="E794" t="inlineStr">
        <is>
          <t>Corporate</t>
        </is>
      </c>
      <c r="F794" t="inlineStr">
        <is>
          <t>Online</t>
        </is>
      </c>
      <c r="G794" t="inlineStr">
        <is>
          <t>Office Supplies</t>
        </is>
      </c>
      <c r="H794" t="inlineStr">
        <is>
          <t>Notebook Pack</t>
        </is>
      </c>
      <c r="I794" t="n">
        <v>5</v>
      </c>
      <c r="J794" s="12" t="n">
        <v>362.82</v>
      </c>
      <c r="K794" s="13" t="n">
        <v>0.15</v>
      </c>
      <c r="L794" s="12" t="n">
        <v>1541.98</v>
      </c>
      <c r="M794" s="12" t="n">
        <v>1233.59</v>
      </c>
      <c r="N794" s="12" t="n">
        <v>308.39</v>
      </c>
      <c r="O794" t="inlineStr">
        <is>
          <t>Credit Card</t>
        </is>
      </c>
      <c r="P794" t="inlineStr">
        <is>
          <t>Rohan Verma</t>
        </is>
      </c>
    </row>
    <row r="795">
      <c r="A795" t="inlineStr">
        <is>
          <t>ORD-2512-0794</t>
        </is>
      </c>
      <c r="B795" s="11" t="n">
        <v>46006</v>
      </c>
      <c r="C795" t="inlineStr">
        <is>
          <t>Central</t>
        </is>
      </c>
      <c r="D795" t="inlineStr">
        <is>
          <t>Nagpur</t>
        </is>
      </c>
      <c r="E795" t="inlineStr">
        <is>
          <t>Consumer</t>
        </is>
      </c>
      <c r="F795" t="inlineStr">
        <is>
          <t>Retail Store</t>
        </is>
      </c>
      <c r="G795" t="inlineStr">
        <is>
          <t>Technology</t>
        </is>
      </c>
      <c r="H795" t="inlineStr">
        <is>
          <t>Laptop</t>
        </is>
      </c>
      <c r="I795" t="n">
        <v>8</v>
      </c>
      <c r="J795" s="12" t="n">
        <v>44977.46</v>
      </c>
      <c r="K795" s="13" t="n">
        <v>0.1</v>
      </c>
      <c r="L795" s="12" t="n">
        <v>323837.71</v>
      </c>
      <c r="M795" s="12" t="n">
        <v>316641.32</v>
      </c>
      <c r="N795" s="12" t="n">
        <v>7196.39</v>
      </c>
      <c r="O795" t="inlineStr">
        <is>
          <t>Debit Card</t>
        </is>
      </c>
      <c r="P795" t="inlineStr">
        <is>
          <t>Vivaan Gupta</t>
        </is>
      </c>
    </row>
    <row r="796">
      <c r="A796" t="inlineStr">
        <is>
          <t>ORD-2505-0795</t>
        </is>
      </c>
      <c r="B796" s="11" t="n">
        <v>45798</v>
      </c>
      <c r="C796" t="inlineStr">
        <is>
          <t>North</t>
        </is>
      </c>
      <c r="D796" t="inlineStr">
        <is>
          <t>Lucknow</t>
        </is>
      </c>
      <c r="E796" t="inlineStr">
        <is>
          <t>Consumer</t>
        </is>
      </c>
      <c r="F796" t="inlineStr">
        <is>
          <t>Online</t>
        </is>
      </c>
      <c r="G796" t="inlineStr">
        <is>
          <t>Furniture</t>
        </is>
      </c>
      <c r="H796" t="inlineStr">
        <is>
          <t>Bookshelf</t>
        </is>
      </c>
      <c r="I796" t="n">
        <v>2</v>
      </c>
      <c r="J796" s="12" t="n">
        <v>5519.32</v>
      </c>
      <c r="K796" s="13" t="n">
        <v>0.1</v>
      </c>
      <c r="L796" s="12" t="n">
        <v>9934.780000000001</v>
      </c>
      <c r="M796" s="12" t="n">
        <v>8168.59</v>
      </c>
      <c r="N796" s="12" t="n">
        <v>1766.19</v>
      </c>
      <c r="O796" t="inlineStr">
        <is>
          <t>Net Banking</t>
        </is>
      </c>
      <c r="P796" t="inlineStr">
        <is>
          <t>Vivaan Gupta</t>
        </is>
      </c>
    </row>
    <row r="797">
      <c r="A797" t="inlineStr">
        <is>
          <t>ORD-2509-0796</t>
        </is>
      </c>
      <c r="B797" s="11" t="n">
        <v>45930</v>
      </c>
      <c r="C797" t="inlineStr">
        <is>
          <t>West</t>
        </is>
      </c>
      <c r="D797" t="inlineStr">
        <is>
          <t>Ahmedabad</t>
        </is>
      </c>
      <c r="E797" t="inlineStr">
        <is>
          <t>Consumer</t>
        </is>
      </c>
      <c r="F797" t="inlineStr">
        <is>
          <t>Partner</t>
        </is>
      </c>
      <c r="G797" t="inlineStr">
        <is>
          <t>Technology</t>
        </is>
      </c>
      <c r="H797" t="inlineStr">
        <is>
          <t>Laptop</t>
        </is>
      </c>
      <c r="I797" t="n">
        <v>2</v>
      </c>
      <c r="J797" s="12" t="n">
        <v>44554.26</v>
      </c>
      <c r="K797" s="13" t="n">
        <v>0.05</v>
      </c>
      <c r="L797" s="12" t="n">
        <v>84653.09</v>
      </c>
      <c r="M797" s="12" t="n">
        <v>78415.5</v>
      </c>
      <c r="N797" s="12" t="n">
        <v>6237.59</v>
      </c>
      <c r="O797" t="inlineStr">
        <is>
          <t>UPI</t>
        </is>
      </c>
      <c r="P797" t="inlineStr">
        <is>
          <t>Vivaan Gupta</t>
        </is>
      </c>
    </row>
    <row r="798">
      <c r="A798" t="inlineStr">
        <is>
          <t>ORD-2502-0797</t>
        </is>
      </c>
      <c r="B798" s="11" t="n">
        <v>45696</v>
      </c>
      <c r="C798" t="inlineStr">
        <is>
          <t>South</t>
        </is>
      </c>
      <c r="D798" t="inlineStr">
        <is>
          <t>Chennai</t>
        </is>
      </c>
      <c r="E798" t="inlineStr">
        <is>
          <t>Consumer</t>
        </is>
      </c>
      <c r="F798" t="inlineStr">
        <is>
          <t>Retail Store</t>
        </is>
      </c>
      <c r="G798" t="inlineStr">
        <is>
          <t>Technology</t>
        </is>
      </c>
      <c r="H798" t="inlineStr">
        <is>
          <t>Keyboard</t>
        </is>
      </c>
      <c r="I798" t="n">
        <v>2</v>
      </c>
      <c r="J798" s="12" t="n">
        <v>1428.07</v>
      </c>
      <c r="K798" s="13" t="n">
        <v>0</v>
      </c>
      <c r="L798" s="12" t="n">
        <v>2856.14</v>
      </c>
      <c r="M798" s="12" t="n">
        <v>2142.11</v>
      </c>
      <c r="N798" s="12" t="n">
        <v>714.03</v>
      </c>
      <c r="O798" t="inlineStr">
        <is>
          <t>Debit Card</t>
        </is>
      </c>
      <c r="P798" t="inlineStr">
        <is>
          <t>Aarav Sharma</t>
        </is>
      </c>
    </row>
    <row r="799">
      <c r="A799" t="inlineStr">
        <is>
          <t>ORD-2510-0798</t>
        </is>
      </c>
      <c r="B799" s="11" t="n">
        <v>45961</v>
      </c>
      <c r="C799" t="inlineStr">
        <is>
          <t>East</t>
        </is>
      </c>
      <c r="D799" t="inlineStr">
        <is>
          <t>Bhubaneswar</t>
        </is>
      </c>
      <c r="E799" t="inlineStr">
        <is>
          <t>Consumer</t>
        </is>
      </c>
      <c r="F799" t="inlineStr">
        <is>
          <t>Retail Store</t>
        </is>
      </c>
      <c r="G799" t="inlineStr">
        <is>
          <t>Technology</t>
        </is>
      </c>
      <c r="H799" t="inlineStr">
        <is>
          <t>Printer</t>
        </is>
      </c>
      <c r="I799" t="n">
        <v>1</v>
      </c>
      <c r="J799" s="12" t="n">
        <v>9258.02</v>
      </c>
      <c r="K799" s="13" t="n">
        <v>0</v>
      </c>
      <c r="L799" s="12" t="n">
        <v>9258.02</v>
      </c>
      <c r="M799" s="12" t="n">
        <v>7776.74</v>
      </c>
      <c r="N799" s="12" t="n">
        <v>1481.28</v>
      </c>
      <c r="O799" t="inlineStr">
        <is>
          <t>Cash</t>
        </is>
      </c>
      <c r="P799" t="inlineStr">
        <is>
          <t>Meera Joshi</t>
        </is>
      </c>
    </row>
    <row r="800">
      <c r="A800" t="inlineStr">
        <is>
          <t>ORD-2502-0799</t>
        </is>
      </c>
      <c r="B800" s="11" t="n">
        <v>45695</v>
      </c>
      <c r="C800" t="inlineStr">
        <is>
          <t>Central</t>
        </is>
      </c>
      <c r="D800" t="inlineStr">
        <is>
          <t>Nagpur</t>
        </is>
      </c>
      <c r="E800" t="inlineStr">
        <is>
          <t>Consumer</t>
        </is>
      </c>
      <c r="F800" t="inlineStr">
        <is>
          <t>Online</t>
        </is>
      </c>
      <c r="G800" t="inlineStr">
        <is>
          <t>Office Supplies</t>
        </is>
      </c>
      <c r="H800" t="inlineStr">
        <is>
          <t>File Folder</t>
        </is>
      </c>
      <c r="I800" t="n">
        <v>1</v>
      </c>
      <c r="J800" s="12" t="n">
        <v>84.59999999999999</v>
      </c>
      <c r="K800" s="13" t="n">
        <v>0.05</v>
      </c>
      <c r="L800" s="12" t="n">
        <v>80.37</v>
      </c>
      <c r="M800" s="12" t="n">
        <v>52.45</v>
      </c>
      <c r="N800" s="12" t="n">
        <v>27.92</v>
      </c>
      <c r="O800" t="inlineStr">
        <is>
          <t>Debit Card</t>
        </is>
      </c>
      <c r="P800" t="inlineStr">
        <is>
          <t>Sara Khan</t>
        </is>
      </c>
    </row>
    <row r="801">
      <c r="A801" t="inlineStr">
        <is>
          <t>ORD-2512-0800</t>
        </is>
      </c>
      <c r="B801" s="11" t="n">
        <v>46013</v>
      </c>
      <c r="C801" t="inlineStr">
        <is>
          <t>North</t>
        </is>
      </c>
      <c r="D801" t="inlineStr">
        <is>
          <t>Jaipur</t>
        </is>
      </c>
      <c r="E801" t="inlineStr">
        <is>
          <t>Small Business</t>
        </is>
      </c>
      <c r="F801" t="inlineStr">
        <is>
          <t>Retail Store</t>
        </is>
      </c>
      <c r="G801" t="inlineStr">
        <is>
          <t>Technology</t>
        </is>
      </c>
      <c r="H801" t="inlineStr">
        <is>
          <t>Laptop</t>
        </is>
      </c>
      <c r="I801" t="n">
        <v>6</v>
      </c>
      <c r="J801" s="12" t="n">
        <v>40665.89</v>
      </c>
      <c r="K801" s="13" t="n">
        <v>0.05</v>
      </c>
      <c r="L801" s="12" t="n">
        <v>231795.57</v>
      </c>
      <c r="M801" s="12" t="n">
        <v>214715.9</v>
      </c>
      <c r="N801" s="12" t="n">
        <v>17079.67</v>
      </c>
      <c r="O801" t="inlineStr">
        <is>
          <t>Credit Card</t>
        </is>
      </c>
      <c r="P801" t="inlineStr">
        <is>
          <t>Diya Patel</t>
        </is>
      </c>
    </row>
    <row r="802">
      <c r="A802" t="inlineStr">
        <is>
          <t>ORD-2512-0801</t>
        </is>
      </c>
      <c r="B802" s="11" t="n">
        <v>46004</v>
      </c>
      <c r="C802" t="inlineStr">
        <is>
          <t>North</t>
        </is>
      </c>
      <c r="D802" t="inlineStr">
        <is>
          <t>Delhi</t>
        </is>
      </c>
      <c r="E802" t="inlineStr">
        <is>
          <t>Corporate</t>
        </is>
      </c>
      <c r="F802" t="inlineStr">
        <is>
          <t>Online</t>
        </is>
      </c>
      <c r="G802" t="inlineStr">
        <is>
          <t>Technology</t>
        </is>
      </c>
      <c r="H802" t="inlineStr">
        <is>
          <t>Headphones</t>
        </is>
      </c>
      <c r="I802" t="n">
        <v>5</v>
      </c>
      <c r="J802" s="12" t="n">
        <v>2241.29</v>
      </c>
      <c r="K802" s="13" t="n">
        <v>0.05</v>
      </c>
      <c r="L802" s="12" t="n">
        <v>10646.13</v>
      </c>
      <c r="M802" s="12" t="n">
        <v>8741.030000000001</v>
      </c>
      <c r="N802" s="12" t="n">
        <v>1905.1</v>
      </c>
      <c r="O802" t="inlineStr">
        <is>
          <t>Cash</t>
        </is>
      </c>
      <c r="P802" t="inlineStr">
        <is>
          <t>Aarav Sharma</t>
        </is>
      </c>
    </row>
    <row r="803">
      <c r="A803" t="inlineStr">
        <is>
          <t>ORD-2508-0802</t>
        </is>
      </c>
      <c r="B803" s="11" t="n">
        <v>45890</v>
      </c>
      <c r="C803" t="inlineStr">
        <is>
          <t>West</t>
        </is>
      </c>
      <c r="D803" t="inlineStr">
        <is>
          <t>Surat</t>
        </is>
      </c>
      <c r="E803" t="inlineStr">
        <is>
          <t>Small Business</t>
        </is>
      </c>
      <c r="F803" t="inlineStr">
        <is>
          <t>Partner</t>
        </is>
      </c>
      <c r="G803" t="inlineStr">
        <is>
          <t>Office Supplies</t>
        </is>
      </c>
      <c r="H803" t="inlineStr">
        <is>
          <t>File Folder</t>
        </is>
      </c>
      <c r="I803" t="n">
        <v>2</v>
      </c>
      <c r="J803" s="12" t="n">
        <v>84.26000000000001</v>
      </c>
      <c r="K803" s="13" t="n">
        <v>0.1</v>
      </c>
      <c r="L803" s="12" t="n">
        <v>151.67</v>
      </c>
      <c r="M803" s="12" t="n">
        <v>104.48</v>
      </c>
      <c r="N803" s="12" t="n">
        <v>47.19</v>
      </c>
      <c r="O803" t="inlineStr">
        <is>
          <t>Credit Card</t>
        </is>
      </c>
      <c r="P803" t="inlineStr">
        <is>
          <t>Anaya Rao</t>
        </is>
      </c>
    </row>
    <row r="804">
      <c r="A804" t="inlineStr">
        <is>
          <t>ORD-2509-0803</t>
        </is>
      </c>
      <c r="B804" s="11" t="n">
        <v>45922</v>
      </c>
      <c r="C804" t="inlineStr">
        <is>
          <t>East</t>
        </is>
      </c>
      <c r="D804" t="inlineStr">
        <is>
          <t>Patna</t>
        </is>
      </c>
      <c r="E804" t="inlineStr">
        <is>
          <t>Consumer</t>
        </is>
      </c>
      <c r="F804" t="inlineStr">
        <is>
          <t>Partner</t>
        </is>
      </c>
      <c r="G804" t="inlineStr">
        <is>
          <t>Technology</t>
        </is>
      </c>
      <c r="H804" t="inlineStr">
        <is>
          <t>Monitor</t>
        </is>
      </c>
      <c r="I804" t="n">
        <v>1</v>
      </c>
      <c r="J804" s="12" t="n">
        <v>11635.09</v>
      </c>
      <c r="K804" s="13" t="n">
        <v>0.1</v>
      </c>
      <c r="L804" s="12" t="n">
        <v>10471.58</v>
      </c>
      <c r="M804" s="12" t="n">
        <v>9540.77</v>
      </c>
      <c r="N804" s="12" t="n">
        <v>930.8099999999999</v>
      </c>
      <c r="O804" t="inlineStr">
        <is>
          <t>UPI</t>
        </is>
      </c>
      <c r="P804" t="inlineStr">
        <is>
          <t>Rohan Verma</t>
        </is>
      </c>
    </row>
    <row r="805">
      <c r="A805" t="inlineStr">
        <is>
          <t>ORD-2507-0804</t>
        </is>
      </c>
      <c r="B805" s="11" t="n">
        <v>45839</v>
      </c>
      <c r="C805" t="inlineStr">
        <is>
          <t>West</t>
        </is>
      </c>
      <c r="D805" t="inlineStr">
        <is>
          <t>Surat</t>
        </is>
      </c>
      <c r="E805" t="inlineStr">
        <is>
          <t>Consumer</t>
        </is>
      </c>
      <c r="F805" t="inlineStr">
        <is>
          <t>Online</t>
        </is>
      </c>
      <c r="G805" t="inlineStr">
        <is>
          <t>Office Supplies</t>
        </is>
      </c>
      <c r="H805" t="inlineStr">
        <is>
          <t>Paper Ream</t>
        </is>
      </c>
      <c r="I805" t="n">
        <v>3</v>
      </c>
      <c r="J805" s="12" t="n">
        <v>395.65</v>
      </c>
      <c r="K805" s="13" t="n">
        <v>0</v>
      </c>
      <c r="L805" s="12" t="n">
        <v>1186.95</v>
      </c>
      <c r="M805" s="12" t="n">
        <v>913.95</v>
      </c>
      <c r="N805" s="12" t="n">
        <v>273</v>
      </c>
      <c r="O805" t="inlineStr">
        <is>
          <t>UPI</t>
        </is>
      </c>
      <c r="P805" t="inlineStr">
        <is>
          <t>Rohan Verma</t>
        </is>
      </c>
    </row>
    <row r="806">
      <c r="A806" t="inlineStr">
        <is>
          <t>ORD-2510-0805</t>
        </is>
      </c>
      <c r="B806" s="11" t="n">
        <v>45957</v>
      </c>
      <c r="C806" t="inlineStr">
        <is>
          <t>West</t>
        </is>
      </c>
      <c r="D806" t="inlineStr">
        <is>
          <t>Ahmedabad</t>
        </is>
      </c>
      <c r="E806" t="inlineStr">
        <is>
          <t>Corporate</t>
        </is>
      </c>
      <c r="F806" t="inlineStr">
        <is>
          <t>Retail Store</t>
        </is>
      </c>
      <c r="G806" t="inlineStr">
        <is>
          <t>Technology</t>
        </is>
      </c>
      <c r="H806" t="inlineStr">
        <is>
          <t>Headphones</t>
        </is>
      </c>
      <c r="I806" t="n">
        <v>3</v>
      </c>
      <c r="J806" s="12" t="n">
        <v>2075.26</v>
      </c>
      <c r="K806" s="13" t="n">
        <v>0.1</v>
      </c>
      <c r="L806" s="12" t="n">
        <v>5603.2</v>
      </c>
      <c r="M806" s="12" t="n">
        <v>4856.11</v>
      </c>
      <c r="N806" s="12" t="n">
        <v>747.09</v>
      </c>
      <c r="O806" t="inlineStr">
        <is>
          <t>Cash</t>
        </is>
      </c>
      <c r="P806" t="inlineStr">
        <is>
          <t>Sara Khan</t>
        </is>
      </c>
    </row>
    <row r="807">
      <c r="A807" t="inlineStr">
        <is>
          <t>ORD-2505-0806</t>
        </is>
      </c>
      <c r="B807" s="11" t="n">
        <v>45807</v>
      </c>
      <c r="C807" t="inlineStr">
        <is>
          <t>East</t>
        </is>
      </c>
      <c r="D807" t="inlineStr">
        <is>
          <t>Kolkata</t>
        </is>
      </c>
      <c r="E807" t="inlineStr">
        <is>
          <t>Small Business</t>
        </is>
      </c>
      <c r="F807" t="inlineStr">
        <is>
          <t>Partner</t>
        </is>
      </c>
      <c r="G807" t="inlineStr">
        <is>
          <t>Furniture</t>
        </is>
      </c>
      <c r="H807" t="inlineStr">
        <is>
          <t>Storage Cabinet</t>
        </is>
      </c>
      <c r="I807" t="n">
        <v>3</v>
      </c>
      <c r="J807" s="12" t="n">
        <v>8269.620000000001</v>
      </c>
      <c r="K807" s="13" t="n">
        <v>0.1</v>
      </c>
      <c r="L807" s="12" t="n">
        <v>22327.97</v>
      </c>
      <c r="M807" s="12" t="n">
        <v>19847.09</v>
      </c>
      <c r="N807" s="12" t="n">
        <v>2480.88</v>
      </c>
      <c r="O807" t="inlineStr">
        <is>
          <t>Credit Card</t>
        </is>
      </c>
      <c r="P807" t="inlineStr">
        <is>
          <t>Vivaan Gupta</t>
        </is>
      </c>
    </row>
    <row r="808">
      <c r="A808" t="inlineStr">
        <is>
          <t>ORD-2506-0807</t>
        </is>
      </c>
      <c r="B808" s="11" t="n">
        <v>45834</v>
      </c>
      <c r="C808" t="inlineStr">
        <is>
          <t>South</t>
        </is>
      </c>
      <c r="D808" t="inlineStr">
        <is>
          <t>Chennai</t>
        </is>
      </c>
      <c r="E808" t="inlineStr">
        <is>
          <t>Small Business</t>
        </is>
      </c>
      <c r="F808" t="inlineStr">
        <is>
          <t>Retail Store</t>
        </is>
      </c>
      <c r="G808" t="inlineStr">
        <is>
          <t>Office Supplies</t>
        </is>
      </c>
      <c r="H808" t="inlineStr">
        <is>
          <t>Pens Box</t>
        </is>
      </c>
      <c r="I808" t="n">
        <v>6</v>
      </c>
      <c r="J808" s="12" t="n">
        <v>175.44</v>
      </c>
      <c r="K808" s="13" t="n">
        <v>0.15</v>
      </c>
      <c r="L808" s="12" t="n">
        <v>894.74</v>
      </c>
      <c r="M808" s="12" t="n">
        <v>684.22</v>
      </c>
      <c r="N808" s="12" t="n">
        <v>210.52</v>
      </c>
      <c r="O808" t="inlineStr">
        <is>
          <t>Debit Card</t>
        </is>
      </c>
      <c r="P808" t="inlineStr">
        <is>
          <t>Sara Khan</t>
        </is>
      </c>
    </row>
    <row r="809">
      <c r="A809" t="inlineStr">
        <is>
          <t>ORD-2510-0808</t>
        </is>
      </c>
      <c r="B809" s="11" t="n">
        <v>45954</v>
      </c>
      <c r="C809" t="inlineStr">
        <is>
          <t>Central</t>
        </is>
      </c>
      <c r="D809" t="inlineStr">
        <is>
          <t>Raipur</t>
        </is>
      </c>
      <c r="E809" t="inlineStr">
        <is>
          <t>Consumer</t>
        </is>
      </c>
      <c r="F809" t="inlineStr">
        <is>
          <t>Retail Store</t>
        </is>
      </c>
      <c r="G809" t="inlineStr">
        <is>
          <t>Office Supplies</t>
        </is>
      </c>
      <c r="H809" t="inlineStr">
        <is>
          <t>Notebook Pack</t>
        </is>
      </c>
      <c r="I809" t="n">
        <v>2</v>
      </c>
      <c r="J809" s="12" t="n">
        <v>327.87</v>
      </c>
      <c r="K809" s="13" t="n">
        <v>0.05</v>
      </c>
      <c r="L809" s="12" t="n">
        <v>622.95</v>
      </c>
      <c r="M809" s="12" t="n">
        <v>445.9</v>
      </c>
      <c r="N809" s="12" t="n">
        <v>177.05</v>
      </c>
      <c r="O809" t="inlineStr">
        <is>
          <t>UPI</t>
        </is>
      </c>
      <c r="P809" t="inlineStr">
        <is>
          <t>Aarav Sharma</t>
        </is>
      </c>
    </row>
    <row r="810">
      <c r="A810" t="inlineStr">
        <is>
          <t>ORD-2511-0809</t>
        </is>
      </c>
      <c r="B810" s="11" t="n">
        <v>45985</v>
      </c>
      <c r="C810" t="inlineStr">
        <is>
          <t>South</t>
        </is>
      </c>
      <c r="D810" t="inlineStr">
        <is>
          <t>Chennai</t>
        </is>
      </c>
      <c r="E810" t="inlineStr">
        <is>
          <t>Corporate</t>
        </is>
      </c>
      <c r="F810" t="inlineStr">
        <is>
          <t>Partner</t>
        </is>
      </c>
      <c r="G810" t="inlineStr">
        <is>
          <t>Furniture</t>
        </is>
      </c>
      <c r="H810" t="inlineStr">
        <is>
          <t>Bookshelf</t>
        </is>
      </c>
      <c r="I810" t="n">
        <v>3</v>
      </c>
      <c r="J810" s="12" t="n">
        <v>5395.18</v>
      </c>
      <c r="K810" s="13" t="n">
        <v>0</v>
      </c>
      <c r="L810" s="12" t="n">
        <v>16185.54</v>
      </c>
      <c r="M810" s="12" t="n">
        <v>11977.3</v>
      </c>
      <c r="N810" s="12" t="n">
        <v>4208.24</v>
      </c>
      <c r="O810" t="inlineStr">
        <is>
          <t>Debit Card</t>
        </is>
      </c>
      <c r="P810" t="inlineStr">
        <is>
          <t>Meera Joshi</t>
        </is>
      </c>
    </row>
    <row r="811">
      <c r="A811" t="inlineStr">
        <is>
          <t>ORD-2507-0810</t>
        </is>
      </c>
      <c r="B811" s="11" t="n">
        <v>45862</v>
      </c>
      <c r="C811" t="inlineStr">
        <is>
          <t>South</t>
        </is>
      </c>
      <c r="D811" t="inlineStr">
        <is>
          <t>Bengaluru</t>
        </is>
      </c>
      <c r="E811" t="inlineStr">
        <is>
          <t>Consumer</t>
        </is>
      </c>
      <c r="F811" t="inlineStr">
        <is>
          <t>Retail Store</t>
        </is>
      </c>
      <c r="G811" t="inlineStr">
        <is>
          <t>Furniture</t>
        </is>
      </c>
      <c r="H811" t="inlineStr">
        <is>
          <t>Office Chair</t>
        </is>
      </c>
      <c r="I811" t="n">
        <v>1</v>
      </c>
      <c r="J811" s="12" t="n">
        <v>6859.5</v>
      </c>
      <c r="K811" s="13" t="n">
        <v>0.05</v>
      </c>
      <c r="L811" s="12" t="n">
        <v>6516.52</v>
      </c>
      <c r="M811" s="12" t="n">
        <v>4938.84</v>
      </c>
      <c r="N811" s="12" t="n">
        <v>1577.68</v>
      </c>
      <c r="O811" t="inlineStr">
        <is>
          <t>Debit Card</t>
        </is>
      </c>
      <c r="P811" t="inlineStr">
        <is>
          <t>Meera Joshi</t>
        </is>
      </c>
    </row>
    <row r="812">
      <c r="A812" t="inlineStr">
        <is>
          <t>ORD-2511-0811</t>
        </is>
      </c>
      <c r="B812" s="11" t="n">
        <v>45981</v>
      </c>
      <c r="C812" t="inlineStr">
        <is>
          <t>Central</t>
        </is>
      </c>
      <c r="D812" t="inlineStr">
        <is>
          <t>Raipur</t>
        </is>
      </c>
      <c r="E812" t="inlineStr">
        <is>
          <t>Consumer</t>
        </is>
      </c>
      <c r="F812" t="inlineStr">
        <is>
          <t>Retail Store</t>
        </is>
      </c>
      <c r="G812" t="inlineStr">
        <is>
          <t>Technology</t>
        </is>
      </c>
      <c r="H812" t="inlineStr">
        <is>
          <t>Laptop</t>
        </is>
      </c>
      <c r="I812" t="n">
        <v>10</v>
      </c>
      <c r="J812" s="12" t="n">
        <v>40549.16</v>
      </c>
      <c r="K812" s="13" t="n">
        <v>0</v>
      </c>
      <c r="L812" s="12" t="n">
        <v>405491.6</v>
      </c>
      <c r="M812" s="12" t="n">
        <v>356832.61</v>
      </c>
      <c r="N812" s="12" t="n">
        <v>48658.99</v>
      </c>
      <c r="O812" t="inlineStr">
        <is>
          <t>UPI</t>
        </is>
      </c>
      <c r="P812" t="inlineStr">
        <is>
          <t>Sara Khan</t>
        </is>
      </c>
    </row>
    <row r="813">
      <c r="A813" t="inlineStr">
        <is>
          <t>ORD-2510-0812</t>
        </is>
      </c>
      <c r="B813" s="11" t="n">
        <v>45941</v>
      </c>
      <c r="C813" t="inlineStr">
        <is>
          <t>South</t>
        </is>
      </c>
      <c r="D813" t="inlineStr">
        <is>
          <t>Chennai</t>
        </is>
      </c>
      <c r="E813" t="inlineStr">
        <is>
          <t>Consumer</t>
        </is>
      </c>
      <c r="F813" t="inlineStr">
        <is>
          <t>Partner</t>
        </is>
      </c>
      <c r="G813" t="inlineStr">
        <is>
          <t>Technology</t>
        </is>
      </c>
      <c r="H813" t="inlineStr">
        <is>
          <t>Printer</t>
        </is>
      </c>
      <c r="I813" t="n">
        <v>1</v>
      </c>
      <c r="J813" s="12" t="n">
        <v>10124.19</v>
      </c>
      <c r="K813" s="13" t="n">
        <v>0.15</v>
      </c>
      <c r="L813" s="12" t="n">
        <v>8605.559999999999</v>
      </c>
      <c r="M813" s="12" t="n">
        <v>8504.32</v>
      </c>
      <c r="N813" s="12" t="n">
        <v>101.24</v>
      </c>
      <c r="O813" t="inlineStr">
        <is>
          <t>UPI</t>
        </is>
      </c>
      <c r="P813" t="inlineStr">
        <is>
          <t>Vivaan Gupta</t>
        </is>
      </c>
    </row>
    <row r="814">
      <c r="A814" t="inlineStr">
        <is>
          <t>ORD-2512-0813</t>
        </is>
      </c>
      <c r="B814" s="11" t="n">
        <v>45993</v>
      </c>
      <c r="C814" t="inlineStr">
        <is>
          <t>North</t>
        </is>
      </c>
      <c r="D814" t="inlineStr">
        <is>
          <t>Chandigarh</t>
        </is>
      </c>
      <c r="E814" t="inlineStr">
        <is>
          <t>Small Business</t>
        </is>
      </c>
      <c r="F814" t="inlineStr">
        <is>
          <t>Online</t>
        </is>
      </c>
      <c r="G814" t="inlineStr">
        <is>
          <t>Technology</t>
        </is>
      </c>
      <c r="H814" t="inlineStr">
        <is>
          <t>Printer</t>
        </is>
      </c>
      <c r="I814" t="n">
        <v>2</v>
      </c>
      <c r="J814" s="12" t="n">
        <v>9970.42</v>
      </c>
      <c r="K814" s="13" t="n">
        <v>0</v>
      </c>
      <c r="L814" s="12" t="n">
        <v>19940.84</v>
      </c>
      <c r="M814" s="12" t="n">
        <v>16750.31</v>
      </c>
      <c r="N814" s="12" t="n">
        <v>3190.53</v>
      </c>
      <c r="O814" t="inlineStr">
        <is>
          <t>Cash</t>
        </is>
      </c>
      <c r="P814" t="inlineStr">
        <is>
          <t>Vivaan Gupta</t>
        </is>
      </c>
    </row>
    <row r="815">
      <c r="A815" t="inlineStr">
        <is>
          <t>ORD-2512-0814</t>
        </is>
      </c>
      <c r="B815" s="11" t="n">
        <v>46022</v>
      </c>
      <c r="C815" t="inlineStr">
        <is>
          <t>North</t>
        </is>
      </c>
      <c r="D815" t="inlineStr">
        <is>
          <t>Delhi</t>
        </is>
      </c>
      <c r="E815" t="inlineStr">
        <is>
          <t>Small Business</t>
        </is>
      </c>
      <c r="F815" t="inlineStr">
        <is>
          <t>Retail Store</t>
        </is>
      </c>
      <c r="G815" t="inlineStr">
        <is>
          <t>Technology</t>
        </is>
      </c>
      <c r="H815" t="inlineStr">
        <is>
          <t>Keyboard</t>
        </is>
      </c>
      <c r="I815" t="n">
        <v>6</v>
      </c>
      <c r="J815" s="12" t="n">
        <v>1330.48</v>
      </c>
      <c r="K815" s="13" t="n">
        <v>0</v>
      </c>
      <c r="L815" s="12" t="n">
        <v>7982.88</v>
      </c>
      <c r="M815" s="12" t="n">
        <v>5987.16</v>
      </c>
      <c r="N815" s="12" t="n">
        <v>1995.72</v>
      </c>
      <c r="O815" t="inlineStr">
        <is>
          <t>Net Banking</t>
        </is>
      </c>
      <c r="P815" t="inlineStr">
        <is>
          <t>Sara Khan</t>
        </is>
      </c>
    </row>
    <row r="816">
      <c r="A816" t="inlineStr">
        <is>
          <t>ORD-2511-0815</t>
        </is>
      </c>
      <c r="B816" s="11" t="n">
        <v>45964</v>
      </c>
      <c r="C816" t="inlineStr">
        <is>
          <t>West</t>
        </is>
      </c>
      <c r="D816" t="inlineStr">
        <is>
          <t>Pune</t>
        </is>
      </c>
      <c r="E816" t="inlineStr">
        <is>
          <t>Corporate</t>
        </is>
      </c>
      <c r="F816" t="inlineStr">
        <is>
          <t>Online</t>
        </is>
      </c>
      <c r="G816" t="inlineStr">
        <is>
          <t>Technology</t>
        </is>
      </c>
      <c r="H816" t="inlineStr">
        <is>
          <t>Laptop</t>
        </is>
      </c>
      <c r="I816" t="n">
        <v>4</v>
      </c>
      <c r="J816" s="12" t="n">
        <v>44381.81</v>
      </c>
      <c r="K816" s="13" t="n">
        <v>0.1</v>
      </c>
      <c r="L816" s="12" t="n">
        <v>159774.52</v>
      </c>
      <c r="M816" s="12" t="n">
        <v>156223.97</v>
      </c>
      <c r="N816" s="12" t="n">
        <v>3550.55</v>
      </c>
      <c r="O816" t="inlineStr">
        <is>
          <t>Net Banking</t>
        </is>
      </c>
      <c r="P816" t="inlineStr">
        <is>
          <t>Meera Joshi</t>
        </is>
      </c>
    </row>
    <row r="817">
      <c r="A817" t="inlineStr">
        <is>
          <t>ORD-2501-0816</t>
        </is>
      </c>
      <c r="B817" s="11" t="n">
        <v>45685</v>
      </c>
      <c r="C817" t="inlineStr">
        <is>
          <t>East</t>
        </is>
      </c>
      <c r="D817" t="inlineStr">
        <is>
          <t>Patna</t>
        </is>
      </c>
      <c r="E817" t="inlineStr">
        <is>
          <t>Small Business</t>
        </is>
      </c>
      <c r="F817" t="inlineStr">
        <is>
          <t>Online</t>
        </is>
      </c>
      <c r="G817" t="inlineStr">
        <is>
          <t>Office Supplies</t>
        </is>
      </c>
      <c r="H817" t="inlineStr">
        <is>
          <t>Stapler</t>
        </is>
      </c>
      <c r="I817" t="n">
        <v>3</v>
      </c>
      <c r="J817" s="12" t="n">
        <v>259.54</v>
      </c>
      <c r="K817" s="13" t="n">
        <v>0.1</v>
      </c>
      <c r="L817" s="12" t="n">
        <v>700.76</v>
      </c>
      <c r="M817" s="12" t="n">
        <v>545.03</v>
      </c>
      <c r="N817" s="12" t="n">
        <v>155.73</v>
      </c>
      <c r="O817" t="inlineStr">
        <is>
          <t>Debit Card</t>
        </is>
      </c>
      <c r="P817" t="inlineStr">
        <is>
          <t>Diya Patel</t>
        </is>
      </c>
    </row>
    <row r="818">
      <c r="A818" t="inlineStr">
        <is>
          <t>ORD-2503-0817</t>
        </is>
      </c>
      <c r="B818" s="11" t="n">
        <v>45743</v>
      </c>
      <c r="C818" t="inlineStr">
        <is>
          <t>Central</t>
        </is>
      </c>
      <c r="D818" t="inlineStr">
        <is>
          <t>Nagpur</t>
        </is>
      </c>
      <c r="E818" t="inlineStr">
        <is>
          <t>Small Business</t>
        </is>
      </c>
      <c r="F818" t="inlineStr">
        <is>
          <t>Retail Store</t>
        </is>
      </c>
      <c r="G818" t="inlineStr">
        <is>
          <t>Office Supplies</t>
        </is>
      </c>
      <c r="H818" t="inlineStr">
        <is>
          <t>File Folder</t>
        </is>
      </c>
      <c r="I818" t="n">
        <v>6</v>
      </c>
      <c r="J818" s="12" t="n">
        <v>88.19</v>
      </c>
      <c r="K818" s="13" t="n">
        <v>0.1</v>
      </c>
      <c r="L818" s="12" t="n">
        <v>476.23</v>
      </c>
      <c r="M818" s="12" t="n">
        <v>328.07</v>
      </c>
      <c r="N818" s="12" t="n">
        <v>148.16</v>
      </c>
      <c r="O818" t="inlineStr">
        <is>
          <t>UPI</t>
        </is>
      </c>
      <c r="P818" t="inlineStr">
        <is>
          <t>Sara Khan</t>
        </is>
      </c>
    </row>
    <row r="819">
      <c r="A819" t="inlineStr">
        <is>
          <t>ORD-2512-0818</t>
        </is>
      </c>
      <c r="B819" s="11" t="n">
        <v>46022</v>
      </c>
      <c r="C819" t="inlineStr">
        <is>
          <t>East</t>
        </is>
      </c>
      <c r="D819" t="inlineStr">
        <is>
          <t>Guwahati</t>
        </is>
      </c>
      <c r="E819" t="inlineStr">
        <is>
          <t>Small Business</t>
        </is>
      </c>
      <c r="F819" t="inlineStr">
        <is>
          <t>Partner</t>
        </is>
      </c>
      <c r="G819" t="inlineStr">
        <is>
          <t>Office Supplies</t>
        </is>
      </c>
      <c r="H819" t="inlineStr">
        <is>
          <t>Paper Ream</t>
        </is>
      </c>
      <c r="I819" t="n">
        <v>8</v>
      </c>
      <c r="J819" s="12" t="n">
        <v>425.46</v>
      </c>
      <c r="K819" s="13" t="n">
        <v>0.05</v>
      </c>
      <c r="L819" s="12" t="n">
        <v>3233.5</v>
      </c>
      <c r="M819" s="12" t="n">
        <v>2620.83</v>
      </c>
      <c r="N819" s="12" t="n">
        <v>612.67</v>
      </c>
      <c r="O819" t="inlineStr">
        <is>
          <t>Credit Card</t>
        </is>
      </c>
      <c r="P819" t="inlineStr">
        <is>
          <t>Meera Joshi</t>
        </is>
      </c>
    </row>
    <row r="820">
      <c r="A820" t="inlineStr">
        <is>
          <t>ORD-2504-0819</t>
        </is>
      </c>
      <c r="B820" s="11" t="n">
        <v>45770</v>
      </c>
      <c r="C820" t="inlineStr">
        <is>
          <t>South</t>
        </is>
      </c>
      <c r="D820" t="inlineStr">
        <is>
          <t>Kochi</t>
        </is>
      </c>
      <c r="E820" t="inlineStr">
        <is>
          <t>Corporate</t>
        </is>
      </c>
      <c r="F820" t="inlineStr">
        <is>
          <t>Partner</t>
        </is>
      </c>
      <c r="G820" t="inlineStr">
        <is>
          <t>Office Supplies</t>
        </is>
      </c>
      <c r="H820" t="inlineStr">
        <is>
          <t>Stapler</t>
        </is>
      </c>
      <c r="I820" t="n">
        <v>2</v>
      </c>
      <c r="J820" s="12" t="n">
        <v>256.88</v>
      </c>
      <c r="K820" s="13" t="n">
        <v>0</v>
      </c>
      <c r="L820" s="12" t="n">
        <v>513.76</v>
      </c>
      <c r="M820" s="12" t="n">
        <v>359.63</v>
      </c>
      <c r="N820" s="12" t="n">
        <v>154.13</v>
      </c>
      <c r="O820" t="inlineStr">
        <is>
          <t>UPI</t>
        </is>
      </c>
      <c r="P820" t="inlineStr">
        <is>
          <t>Sara Khan</t>
        </is>
      </c>
    </row>
    <row r="821">
      <c r="A821" t="inlineStr">
        <is>
          <t>ORD-2505-0820</t>
        </is>
      </c>
      <c r="B821" s="11" t="n">
        <v>45788</v>
      </c>
      <c r="C821" t="inlineStr">
        <is>
          <t>Central</t>
        </is>
      </c>
      <c r="D821" t="inlineStr">
        <is>
          <t>Bhopal</t>
        </is>
      </c>
      <c r="E821" t="inlineStr">
        <is>
          <t>Consumer</t>
        </is>
      </c>
      <c r="F821" t="inlineStr">
        <is>
          <t>Partner</t>
        </is>
      </c>
      <c r="G821" t="inlineStr">
        <is>
          <t>Technology</t>
        </is>
      </c>
      <c r="H821" t="inlineStr">
        <is>
          <t>Keyboard</t>
        </is>
      </c>
      <c r="I821" t="n">
        <v>4</v>
      </c>
      <c r="J821" s="12" t="n">
        <v>1404.22</v>
      </c>
      <c r="K821" s="13" t="n">
        <v>0.05</v>
      </c>
      <c r="L821" s="12" t="n">
        <v>5336.04</v>
      </c>
      <c r="M821" s="12" t="n">
        <v>4212.66</v>
      </c>
      <c r="N821" s="12" t="n">
        <v>1123.38</v>
      </c>
      <c r="O821" t="inlineStr">
        <is>
          <t>Credit Card</t>
        </is>
      </c>
      <c r="P821" t="inlineStr">
        <is>
          <t>Anaya Rao</t>
        </is>
      </c>
    </row>
    <row r="822">
      <c r="A822" t="inlineStr">
        <is>
          <t>ORD-2509-0821</t>
        </is>
      </c>
      <c r="B822" s="11" t="n">
        <v>45920</v>
      </c>
      <c r="C822" t="inlineStr">
        <is>
          <t>Central</t>
        </is>
      </c>
      <c r="D822" t="inlineStr">
        <is>
          <t>Raipur</t>
        </is>
      </c>
      <c r="E822" t="inlineStr">
        <is>
          <t>Corporate</t>
        </is>
      </c>
      <c r="F822" t="inlineStr">
        <is>
          <t>Retail Store</t>
        </is>
      </c>
      <c r="G822" t="inlineStr">
        <is>
          <t>Furniture</t>
        </is>
      </c>
      <c r="H822" t="inlineStr">
        <is>
          <t>Desk</t>
        </is>
      </c>
      <c r="I822" t="n">
        <v>3</v>
      </c>
      <c r="J822" s="12" t="n">
        <v>11256.22</v>
      </c>
      <c r="K822" s="13" t="n">
        <v>0.05</v>
      </c>
      <c r="L822" s="12" t="n">
        <v>32080.23</v>
      </c>
      <c r="M822" s="12" t="n">
        <v>25664.18</v>
      </c>
      <c r="N822" s="12" t="n">
        <v>6416.05</v>
      </c>
      <c r="O822" t="inlineStr">
        <is>
          <t>Net Banking</t>
        </is>
      </c>
      <c r="P822" t="inlineStr">
        <is>
          <t>Vivaan Gupta</t>
        </is>
      </c>
    </row>
    <row r="823">
      <c r="A823" t="inlineStr">
        <is>
          <t>ORD-2501-0822</t>
        </is>
      </c>
      <c r="B823" s="11" t="n">
        <v>45670</v>
      </c>
      <c r="C823" t="inlineStr">
        <is>
          <t>South</t>
        </is>
      </c>
      <c r="D823" t="inlineStr">
        <is>
          <t>Kochi</t>
        </is>
      </c>
      <c r="E823" t="inlineStr">
        <is>
          <t>Corporate</t>
        </is>
      </c>
      <c r="F823" t="inlineStr">
        <is>
          <t>Partner</t>
        </is>
      </c>
      <c r="G823" t="inlineStr">
        <is>
          <t>Technology</t>
        </is>
      </c>
      <c r="H823" t="inlineStr">
        <is>
          <t>Printer</t>
        </is>
      </c>
      <c r="I823" t="n">
        <v>2</v>
      </c>
      <c r="J823" s="12" t="n">
        <v>10110.24</v>
      </c>
      <c r="K823" s="13" t="n">
        <v>0</v>
      </c>
      <c r="L823" s="12" t="n">
        <v>20220.48</v>
      </c>
      <c r="M823" s="12" t="n">
        <v>16985.2</v>
      </c>
      <c r="N823" s="12" t="n">
        <v>3235.28</v>
      </c>
      <c r="O823" t="inlineStr">
        <is>
          <t>Cash</t>
        </is>
      </c>
      <c r="P823" t="inlineStr">
        <is>
          <t>Diya Patel</t>
        </is>
      </c>
    </row>
    <row r="824">
      <c r="A824" t="inlineStr">
        <is>
          <t>ORD-2505-0823</t>
        </is>
      </c>
      <c r="B824" s="11" t="n">
        <v>45799</v>
      </c>
      <c r="C824" t="inlineStr">
        <is>
          <t>South</t>
        </is>
      </c>
      <c r="D824" t="inlineStr">
        <is>
          <t>Bengaluru</t>
        </is>
      </c>
      <c r="E824" t="inlineStr">
        <is>
          <t>Consumer</t>
        </is>
      </c>
      <c r="F824" t="inlineStr">
        <is>
          <t>Partner</t>
        </is>
      </c>
      <c r="G824" t="inlineStr">
        <is>
          <t>Technology</t>
        </is>
      </c>
      <c r="H824" t="inlineStr">
        <is>
          <t>Monitor</t>
        </is>
      </c>
      <c r="I824" t="n">
        <v>1</v>
      </c>
      <c r="J824" s="12" t="n">
        <v>11900.61</v>
      </c>
      <c r="K824" s="13" t="n">
        <v>0</v>
      </c>
      <c r="L824" s="12" t="n">
        <v>11900.61</v>
      </c>
      <c r="M824" s="12" t="n">
        <v>9758.5</v>
      </c>
      <c r="N824" s="12" t="n">
        <v>2142.11</v>
      </c>
      <c r="O824" t="inlineStr">
        <is>
          <t>Net Banking</t>
        </is>
      </c>
      <c r="P824" t="inlineStr">
        <is>
          <t>Rohan Verma</t>
        </is>
      </c>
    </row>
    <row r="825">
      <c r="A825" t="inlineStr">
        <is>
          <t>ORD-2506-0824</t>
        </is>
      </c>
      <c r="B825" s="11" t="n">
        <v>45812</v>
      </c>
      <c r="C825" t="inlineStr">
        <is>
          <t>East</t>
        </is>
      </c>
      <c r="D825" t="inlineStr">
        <is>
          <t>Patna</t>
        </is>
      </c>
      <c r="E825" t="inlineStr">
        <is>
          <t>Small Business</t>
        </is>
      </c>
      <c r="F825" t="inlineStr">
        <is>
          <t>Partner</t>
        </is>
      </c>
      <c r="G825" t="inlineStr">
        <is>
          <t>Office Supplies</t>
        </is>
      </c>
      <c r="H825" t="inlineStr">
        <is>
          <t>Paper Ream</t>
        </is>
      </c>
      <c r="I825" t="n">
        <v>3</v>
      </c>
      <c r="J825" s="12" t="n">
        <v>443.86</v>
      </c>
      <c r="K825" s="13" t="n">
        <v>0</v>
      </c>
      <c r="L825" s="12" t="n">
        <v>1331.58</v>
      </c>
      <c r="M825" s="12" t="n">
        <v>1025.32</v>
      </c>
      <c r="N825" s="12" t="n">
        <v>306.26</v>
      </c>
      <c r="O825" t="inlineStr">
        <is>
          <t>Cash</t>
        </is>
      </c>
      <c r="P825" t="inlineStr">
        <is>
          <t>Rohan Verma</t>
        </is>
      </c>
    </row>
    <row r="826">
      <c r="A826" t="inlineStr">
        <is>
          <t>ORD-2501-0825</t>
        </is>
      </c>
      <c r="B826" s="11" t="n">
        <v>45662</v>
      </c>
      <c r="C826" t="inlineStr">
        <is>
          <t>East</t>
        </is>
      </c>
      <c r="D826" t="inlineStr">
        <is>
          <t>Bhubaneswar</t>
        </is>
      </c>
      <c r="E826" t="inlineStr">
        <is>
          <t>Small Business</t>
        </is>
      </c>
      <c r="F826" t="inlineStr">
        <is>
          <t>Partner</t>
        </is>
      </c>
      <c r="G826" t="inlineStr">
        <is>
          <t>Office Supplies</t>
        </is>
      </c>
      <c r="H826" t="inlineStr">
        <is>
          <t>Stapler</t>
        </is>
      </c>
      <c r="I826" t="n">
        <v>2</v>
      </c>
      <c r="J826" s="12" t="n">
        <v>278.55</v>
      </c>
      <c r="K826" s="13" t="n">
        <v>0.2</v>
      </c>
      <c r="L826" s="12" t="n">
        <v>445.68</v>
      </c>
      <c r="M826" s="12" t="n">
        <v>389.97</v>
      </c>
      <c r="N826" s="12" t="n">
        <v>55.71</v>
      </c>
      <c r="O826" t="inlineStr">
        <is>
          <t>Credit Card</t>
        </is>
      </c>
      <c r="P826" t="inlineStr">
        <is>
          <t>Anaya Rao</t>
        </is>
      </c>
    </row>
    <row r="827">
      <c r="A827" t="inlineStr">
        <is>
          <t>ORD-2512-0826</t>
        </is>
      </c>
      <c r="B827" s="11" t="n">
        <v>45992</v>
      </c>
      <c r="C827" t="inlineStr">
        <is>
          <t>Central</t>
        </is>
      </c>
      <c r="D827" t="inlineStr">
        <is>
          <t>Indore</t>
        </is>
      </c>
      <c r="E827" t="inlineStr">
        <is>
          <t>Corporate</t>
        </is>
      </c>
      <c r="F827" t="inlineStr">
        <is>
          <t>Online</t>
        </is>
      </c>
      <c r="G827" t="inlineStr">
        <is>
          <t>Office Supplies</t>
        </is>
      </c>
      <c r="H827" t="inlineStr">
        <is>
          <t>Stapler</t>
        </is>
      </c>
      <c r="I827" t="n">
        <v>2</v>
      </c>
      <c r="J827" s="12" t="n">
        <v>270.36</v>
      </c>
      <c r="K827" s="13" t="n">
        <v>0</v>
      </c>
      <c r="L827" s="12" t="n">
        <v>540.72</v>
      </c>
      <c r="M827" s="12" t="n">
        <v>378.5</v>
      </c>
      <c r="N827" s="12" t="n">
        <v>162.22</v>
      </c>
      <c r="O827" t="inlineStr">
        <is>
          <t>Cash</t>
        </is>
      </c>
      <c r="P827" t="inlineStr">
        <is>
          <t>Anaya Rao</t>
        </is>
      </c>
    </row>
    <row r="828">
      <c r="A828" t="inlineStr">
        <is>
          <t>ORD-2508-0827</t>
        </is>
      </c>
      <c r="B828" s="11" t="n">
        <v>45894</v>
      </c>
      <c r="C828" t="inlineStr">
        <is>
          <t>East</t>
        </is>
      </c>
      <c r="D828" t="inlineStr">
        <is>
          <t>Kolkata</t>
        </is>
      </c>
      <c r="E828" t="inlineStr">
        <is>
          <t>Corporate</t>
        </is>
      </c>
      <c r="F828" t="inlineStr">
        <is>
          <t>Online</t>
        </is>
      </c>
      <c r="G828" t="inlineStr">
        <is>
          <t>Furniture</t>
        </is>
      </c>
      <c r="H828" t="inlineStr">
        <is>
          <t>Office Chair</t>
        </is>
      </c>
      <c r="I828" t="n">
        <v>5</v>
      </c>
      <c r="J828" s="12" t="n">
        <v>7280.82</v>
      </c>
      <c r="K828" s="13" t="n">
        <v>0.05</v>
      </c>
      <c r="L828" s="12" t="n">
        <v>34583.89</v>
      </c>
      <c r="M828" s="12" t="n">
        <v>26210.95</v>
      </c>
      <c r="N828" s="12" t="n">
        <v>8372.940000000001</v>
      </c>
      <c r="O828" t="inlineStr">
        <is>
          <t>Debit Card</t>
        </is>
      </c>
      <c r="P828" t="inlineStr">
        <is>
          <t>Anaya Rao</t>
        </is>
      </c>
    </row>
    <row r="829">
      <c r="A829" t="inlineStr">
        <is>
          <t>ORD-2510-0828</t>
        </is>
      </c>
      <c r="B829" s="11" t="n">
        <v>45943</v>
      </c>
      <c r="C829" t="inlineStr">
        <is>
          <t>North</t>
        </is>
      </c>
      <c r="D829" t="inlineStr">
        <is>
          <t>Chandigarh</t>
        </is>
      </c>
      <c r="E829" t="inlineStr">
        <is>
          <t>Consumer</t>
        </is>
      </c>
      <c r="F829" t="inlineStr">
        <is>
          <t>Retail Store</t>
        </is>
      </c>
      <c r="G829" t="inlineStr">
        <is>
          <t>Technology</t>
        </is>
      </c>
      <c r="H829" t="inlineStr">
        <is>
          <t>Keyboard</t>
        </is>
      </c>
      <c r="I829" t="n">
        <v>3</v>
      </c>
      <c r="J829" s="12" t="n">
        <v>1499.31</v>
      </c>
      <c r="K829" s="13" t="n">
        <v>0</v>
      </c>
      <c r="L829" s="12" t="n">
        <v>4497.93</v>
      </c>
      <c r="M829" s="12" t="n">
        <v>3373.45</v>
      </c>
      <c r="N829" s="12" t="n">
        <v>1124.48</v>
      </c>
      <c r="O829" t="inlineStr">
        <is>
          <t>Net Banking</t>
        </is>
      </c>
      <c r="P829" t="inlineStr">
        <is>
          <t>Sara Khan</t>
        </is>
      </c>
    </row>
    <row r="830">
      <c r="A830" t="inlineStr">
        <is>
          <t>ORD-2504-0829</t>
        </is>
      </c>
      <c r="B830" s="11" t="n">
        <v>45773</v>
      </c>
      <c r="C830" t="inlineStr">
        <is>
          <t>West</t>
        </is>
      </c>
      <c r="D830" t="inlineStr">
        <is>
          <t>Surat</t>
        </is>
      </c>
      <c r="E830" t="inlineStr">
        <is>
          <t>Corporate</t>
        </is>
      </c>
      <c r="F830" t="inlineStr">
        <is>
          <t>Retail Store</t>
        </is>
      </c>
      <c r="G830" t="inlineStr">
        <is>
          <t>Office Supplies</t>
        </is>
      </c>
      <c r="H830" t="inlineStr">
        <is>
          <t>Pens Box</t>
        </is>
      </c>
      <c r="I830" t="n">
        <v>4</v>
      </c>
      <c r="J830" s="12" t="n">
        <v>185.49</v>
      </c>
      <c r="K830" s="13" t="n">
        <v>0.1</v>
      </c>
      <c r="L830" s="12" t="n">
        <v>667.76</v>
      </c>
      <c r="M830" s="12" t="n">
        <v>482.27</v>
      </c>
      <c r="N830" s="12" t="n">
        <v>185.49</v>
      </c>
      <c r="O830" t="inlineStr">
        <is>
          <t>Cash</t>
        </is>
      </c>
      <c r="P830" t="inlineStr">
        <is>
          <t>Aarav Sharma</t>
        </is>
      </c>
    </row>
    <row r="831">
      <c r="A831" t="inlineStr">
        <is>
          <t>ORD-2510-0830</t>
        </is>
      </c>
      <c r="B831" s="11" t="n">
        <v>45948</v>
      </c>
      <c r="C831" t="inlineStr">
        <is>
          <t>North</t>
        </is>
      </c>
      <c r="D831" t="inlineStr">
        <is>
          <t>Jaipur</t>
        </is>
      </c>
      <c r="E831" t="inlineStr">
        <is>
          <t>Small Business</t>
        </is>
      </c>
      <c r="F831" t="inlineStr">
        <is>
          <t>Partner</t>
        </is>
      </c>
      <c r="G831" t="inlineStr">
        <is>
          <t>Technology</t>
        </is>
      </c>
      <c r="H831" t="inlineStr">
        <is>
          <t>Keyboard</t>
        </is>
      </c>
      <c r="I831" t="n">
        <v>10</v>
      </c>
      <c r="J831" s="12" t="n">
        <v>1415.27</v>
      </c>
      <c r="K831" s="13" t="n">
        <v>0.2</v>
      </c>
      <c r="L831" s="12" t="n">
        <v>11322.16</v>
      </c>
      <c r="M831" s="12" t="n">
        <v>10614.53</v>
      </c>
      <c r="N831" s="12" t="n">
        <v>707.63</v>
      </c>
      <c r="O831" t="inlineStr">
        <is>
          <t>Cash</t>
        </is>
      </c>
      <c r="P831" t="inlineStr">
        <is>
          <t>Vivaan Gupta</t>
        </is>
      </c>
    </row>
    <row r="832">
      <c r="A832" t="inlineStr">
        <is>
          <t>ORD-2507-0831</t>
        </is>
      </c>
      <c r="B832" s="11" t="n">
        <v>45853</v>
      </c>
      <c r="C832" t="inlineStr">
        <is>
          <t>South</t>
        </is>
      </c>
      <c r="D832" t="inlineStr">
        <is>
          <t>Kochi</t>
        </is>
      </c>
      <c r="E832" t="inlineStr">
        <is>
          <t>Small Business</t>
        </is>
      </c>
      <c r="F832" t="inlineStr">
        <is>
          <t>Retail Store</t>
        </is>
      </c>
      <c r="G832" t="inlineStr">
        <is>
          <t>Technology</t>
        </is>
      </c>
      <c r="H832" t="inlineStr">
        <is>
          <t>Monitor</t>
        </is>
      </c>
      <c r="I832" t="n">
        <v>3</v>
      </c>
      <c r="J832" s="12" t="n">
        <v>11717.28</v>
      </c>
      <c r="K832" s="13" t="n">
        <v>0</v>
      </c>
      <c r="L832" s="12" t="n">
        <v>35151.84</v>
      </c>
      <c r="M832" s="12" t="n">
        <v>28824.51</v>
      </c>
      <c r="N832" s="12" t="n">
        <v>6327.33</v>
      </c>
      <c r="O832" t="inlineStr">
        <is>
          <t>Net Banking</t>
        </is>
      </c>
      <c r="P832" t="inlineStr">
        <is>
          <t>Diya Patel</t>
        </is>
      </c>
    </row>
    <row r="833">
      <c r="A833" t="inlineStr">
        <is>
          <t>ORD-2503-0832</t>
        </is>
      </c>
      <c r="B833" s="11" t="n">
        <v>45745</v>
      </c>
      <c r="C833" t="inlineStr">
        <is>
          <t>North</t>
        </is>
      </c>
      <c r="D833" t="inlineStr">
        <is>
          <t>Jaipur</t>
        </is>
      </c>
      <c r="E833" t="inlineStr">
        <is>
          <t>Consumer</t>
        </is>
      </c>
      <c r="F833" t="inlineStr">
        <is>
          <t>Online</t>
        </is>
      </c>
      <c r="G833" t="inlineStr">
        <is>
          <t>Technology</t>
        </is>
      </c>
      <c r="H833" t="inlineStr">
        <is>
          <t>Laptop</t>
        </is>
      </c>
      <c r="I833" t="n">
        <v>5</v>
      </c>
      <c r="J833" s="12" t="n">
        <v>38820.35</v>
      </c>
      <c r="K833" s="13" t="n">
        <v>0.1</v>
      </c>
      <c r="L833" s="12" t="n">
        <v>174691.58</v>
      </c>
      <c r="M833" s="12" t="n">
        <v>170809.54</v>
      </c>
      <c r="N833" s="12" t="n">
        <v>3882.04</v>
      </c>
      <c r="O833" t="inlineStr">
        <is>
          <t>Debit Card</t>
        </is>
      </c>
      <c r="P833" t="inlineStr">
        <is>
          <t>Rohan Verma</t>
        </is>
      </c>
    </row>
    <row r="834">
      <c r="A834" t="inlineStr">
        <is>
          <t>ORD-2504-0833</t>
        </is>
      </c>
      <c r="B834" s="11" t="n">
        <v>45763</v>
      </c>
      <c r="C834" t="inlineStr">
        <is>
          <t>South</t>
        </is>
      </c>
      <c r="D834" t="inlineStr">
        <is>
          <t>Hyderabad</t>
        </is>
      </c>
      <c r="E834" t="inlineStr">
        <is>
          <t>Consumer</t>
        </is>
      </c>
      <c r="F834" t="inlineStr">
        <is>
          <t>Online</t>
        </is>
      </c>
      <c r="G834" t="inlineStr">
        <is>
          <t>Office Supplies</t>
        </is>
      </c>
      <c r="H834" t="inlineStr">
        <is>
          <t>Pens Box</t>
        </is>
      </c>
      <c r="I834" t="n">
        <v>3</v>
      </c>
      <c r="J834" s="12" t="n">
        <v>176.22</v>
      </c>
      <c r="K834" s="13" t="n">
        <v>0.05</v>
      </c>
      <c r="L834" s="12" t="n">
        <v>502.23</v>
      </c>
      <c r="M834" s="12" t="n">
        <v>343.63</v>
      </c>
      <c r="N834" s="12" t="n">
        <v>158.6</v>
      </c>
      <c r="O834" t="inlineStr">
        <is>
          <t>Net Banking</t>
        </is>
      </c>
      <c r="P834" t="inlineStr">
        <is>
          <t>Vivaan Gupta</t>
        </is>
      </c>
    </row>
    <row r="835">
      <c r="A835" t="inlineStr">
        <is>
          <t>ORD-2507-0834</t>
        </is>
      </c>
      <c r="B835" s="11" t="n">
        <v>45858</v>
      </c>
      <c r="C835" t="inlineStr">
        <is>
          <t>South</t>
        </is>
      </c>
      <c r="D835" t="inlineStr">
        <is>
          <t>Bengaluru</t>
        </is>
      </c>
      <c r="E835" t="inlineStr">
        <is>
          <t>Consumer</t>
        </is>
      </c>
      <c r="F835" t="inlineStr">
        <is>
          <t>Online</t>
        </is>
      </c>
      <c r="G835" t="inlineStr">
        <is>
          <t>Technology</t>
        </is>
      </c>
      <c r="H835" t="inlineStr">
        <is>
          <t>Keyboard</t>
        </is>
      </c>
      <c r="I835" t="n">
        <v>3</v>
      </c>
      <c r="J835" s="12" t="n">
        <v>1303.4</v>
      </c>
      <c r="K835" s="13" t="n">
        <v>0.05</v>
      </c>
      <c r="L835" s="12" t="n">
        <v>3714.69</v>
      </c>
      <c r="M835" s="12" t="n">
        <v>2932.65</v>
      </c>
      <c r="N835" s="12" t="n">
        <v>782.04</v>
      </c>
      <c r="O835" t="inlineStr">
        <is>
          <t>UPI</t>
        </is>
      </c>
      <c r="P835" t="inlineStr">
        <is>
          <t>Rohan Verma</t>
        </is>
      </c>
    </row>
    <row r="836">
      <c r="A836" t="inlineStr">
        <is>
          <t>ORD-2508-0835</t>
        </is>
      </c>
      <c r="B836" s="11" t="n">
        <v>45879</v>
      </c>
      <c r="C836" t="inlineStr">
        <is>
          <t>West</t>
        </is>
      </c>
      <c r="D836" t="inlineStr">
        <is>
          <t>Pune</t>
        </is>
      </c>
      <c r="E836" t="inlineStr">
        <is>
          <t>Small Business</t>
        </is>
      </c>
      <c r="F836" t="inlineStr">
        <is>
          <t>Partner</t>
        </is>
      </c>
      <c r="G836" t="inlineStr">
        <is>
          <t>Office Supplies</t>
        </is>
      </c>
      <c r="H836" t="inlineStr">
        <is>
          <t>Notebook Pack</t>
        </is>
      </c>
      <c r="I836" t="n">
        <v>3</v>
      </c>
      <c r="J836" s="12" t="n">
        <v>333.37</v>
      </c>
      <c r="K836" s="13" t="n">
        <v>0.05</v>
      </c>
      <c r="L836" s="12" t="n">
        <v>950.1</v>
      </c>
      <c r="M836" s="12" t="n">
        <v>680.0700000000001</v>
      </c>
      <c r="N836" s="12" t="n">
        <v>270.03</v>
      </c>
      <c r="O836" t="inlineStr">
        <is>
          <t>Debit Card</t>
        </is>
      </c>
      <c r="P836" t="inlineStr">
        <is>
          <t>Rohan Verma</t>
        </is>
      </c>
    </row>
    <row r="837">
      <c r="A837" t="inlineStr">
        <is>
          <t>ORD-2504-0836</t>
        </is>
      </c>
      <c r="B837" s="11" t="n">
        <v>45761</v>
      </c>
      <c r="C837" t="inlineStr">
        <is>
          <t>North</t>
        </is>
      </c>
      <c r="D837" t="inlineStr">
        <is>
          <t>Jaipur</t>
        </is>
      </c>
      <c r="E837" t="inlineStr">
        <is>
          <t>Small Business</t>
        </is>
      </c>
      <c r="F837" t="inlineStr">
        <is>
          <t>Retail Store</t>
        </is>
      </c>
      <c r="G837" t="inlineStr">
        <is>
          <t>Furniture</t>
        </is>
      </c>
      <c r="H837" t="inlineStr">
        <is>
          <t>Bookshelf</t>
        </is>
      </c>
      <c r="I837" t="n">
        <v>1</v>
      </c>
      <c r="J837" s="12" t="n">
        <v>5455.89</v>
      </c>
      <c r="K837" s="13" t="n">
        <v>0.05</v>
      </c>
      <c r="L837" s="12" t="n">
        <v>5183.1</v>
      </c>
      <c r="M837" s="12" t="n">
        <v>4037.36</v>
      </c>
      <c r="N837" s="12" t="n">
        <v>1145.74</v>
      </c>
      <c r="O837" t="inlineStr">
        <is>
          <t>Cash</t>
        </is>
      </c>
      <c r="P837" t="inlineStr">
        <is>
          <t>Anaya Rao</t>
        </is>
      </c>
    </row>
    <row r="838">
      <c r="A838" t="inlineStr">
        <is>
          <t>ORD-2508-0837</t>
        </is>
      </c>
      <c r="B838" s="11" t="n">
        <v>45893</v>
      </c>
      <c r="C838" t="inlineStr">
        <is>
          <t>West</t>
        </is>
      </c>
      <c r="D838" t="inlineStr">
        <is>
          <t>Mumbai</t>
        </is>
      </c>
      <c r="E838" t="inlineStr">
        <is>
          <t>Corporate</t>
        </is>
      </c>
      <c r="F838" t="inlineStr">
        <is>
          <t>Partner</t>
        </is>
      </c>
      <c r="G838" t="inlineStr">
        <is>
          <t>Office Supplies</t>
        </is>
      </c>
      <c r="H838" t="inlineStr">
        <is>
          <t>Paper Ream</t>
        </is>
      </c>
      <c r="I838" t="n">
        <v>1</v>
      </c>
      <c r="J838" s="12" t="n">
        <v>448.15</v>
      </c>
      <c r="K838" s="13" t="n">
        <v>0.1</v>
      </c>
      <c r="L838" s="12" t="n">
        <v>403.33</v>
      </c>
      <c r="M838" s="12" t="n">
        <v>345.08</v>
      </c>
      <c r="N838" s="12" t="n">
        <v>58.25</v>
      </c>
      <c r="O838" t="inlineStr">
        <is>
          <t>Net Banking</t>
        </is>
      </c>
      <c r="P838" t="inlineStr">
        <is>
          <t>Vivaan Gupta</t>
        </is>
      </c>
    </row>
    <row r="839">
      <c r="A839" t="inlineStr">
        <is>
          <t>ORD-2511-0838</t>
        </is>
      </c>
      <c r="B839" s="11" t="n">
        <v>45971</v>
      </c>
      <c r="C839" t="inlineStr">
        <is>
          <t>South</t>
        </is>
      </c>
      <c r="D839" t="inlineStr">
        <is>
          <t>Kochi</t>
        </is>
      </c>
      <c r="E839" t="inlineStr">
        <is>
          <t>Corporate</t>
        </is>
      </c>
      <c r="F839" t="inlineStr">
        <is>
          <t>Partner</t>
        </is>
      </c>
      <c r="G839" t="inlineStr">
        <is>
          <t>Technology</t>
        </is>
      </c>
      <c r="H839" t="inlineStr">
        <is>
          <t>Printer</t>
        </is>
      </c>
      <c r="I839" t="n">
        <v>1</v>
      </c>
      <c r="J839" s="12" t="n">
        <v>9396.76</v>
      </c>
      <c r="K839" s="13" t="n">
        <v>0.1</v>
      </c>
      <c r="L839" s="12" t="n">
        <v>8457.08</v>
      </c>
      <c r="M839" s="12" t="n">
        <v>7893.28</v>
      </c>
      <c r="N839" s="12" t="n">
        <v>563.8</v>
      </c>
      <c r="O839" t="inlineStr">
        <is>
          <t>UPI</t>
        </is>
      </c>
      <c r="P839" t="inlineStr">
        <is>
          <t>Diya Patel</t>
        </is>
      </c>
    </row>
    <row r="840">
      <c r="A840" t="inlineStr">
        <is>
          <t>ORD-2507-0839</t>
        </is>
      </c>
      <c r="B840" s="11" t="n">
        <v>45859</v>
      </c>
      <c r="C840" t="inlineStr">
        <is>
          <t>North</t>
        </is>
      </c>
      <c r="D840" t="inlineStr">
        <is>
          <t>Jaipur</t>
        </is>
      </c>
      <c r="E840" t="inlineStr">
        <is>
          <t>Small Business</t>
        </is>
      </c>
      <c r="F840" t="inlineStr">
        <is>
          <t>Online</t>
        </is>
      </c>
      <c r="G840" t="inlineStr">
        <is>
          <t>Office Supplies</t>
        </is>
      </c>
      <c r="H840" t="inlineStr">
        <is>
          <t>Stapler</t>
        </is>
      </c>
      <c r="I840" t="n">
        <v>1</v>
      </c>
      <c r="J840" s="12" t="n">
        <v>261.57</v>
      </c>
      <c r="K840" s="13" t="n">
        <v>0.15</v>
      </c>
      <c r="L840" s="12" t="n">
        <v>222.33</v>
      </c>
      <c r="M840" s="12" t="n">
        <v>183.1</v>
      </c>
      <c r="N840" s="12" t="n">
        <v>39.23</v>
      </c>
      <c r="O840" t="inlineStr">
        <is>
          <t>UPI</t>
        </is>
      </c>
      <c r="P840" t="inlineStr">
        <is>
          <t>Anaya Rao</t>
        </is>
      </c>
    </row>
    <row r="841">
      <c r="A841" t="inlineStr">
        <is>
          <t>ORD-2507-0840</t>
        </is>
      </c>
      <c r="B841" s="11" t="n">
        <v>45868</v>
      </c>
      <c r="C841" t="inlineStr">
        <is>
          <t>Central</t>
        </is>
      </c>
      <c r="D841" t="inlineStr">
        <is>
          <t>Bhopal</t>
        </is>
      </c>
      <c r="E841" t="inlineStr">
        <is>
          <t>Corporate</t>
        </is>
      </c>
      <c r="F841" t="inlineStr">
        <is>
          <t>Retail Store</t>
        </is>
      </c>
      <c r="G841" t="inlineStr">
        <is>
          <t>Furniture</t>
        </is>
      </c>
      <c r="H841" t="inlineStr">
        <is>
          <t>Office Chair</t>
        </is>
      </c>
      <c r="I841" t="n">
        <v>1</v>
      </c>
      <c r="J841" s="12" t="n">
        <v>7089.99</v>
      </c>
      <c r="K841" s="13" t="n">
        <v>0</v>
      </c>
      <c r="L841" s="12" t="n">
        <v>7089.99</v>
      </c>
      <c r="M841" s="12" t="n">
        <v>5104.79</v>
      </c>
      <c r="N841" s="12" t="n">
        <v>1985.2</v>
      </c>
      <c r="O841" t="inlineStr">
        <is>
          <t>Debit Card</t>
        </is>
      </c>
      <c r="P841" t="inlineStr">
        <is>
          <t>Kabir Singh</t>
        </is>
      </c>
    </row>
    <row r="842">
      <c r="A842" t="inlineStr">
        <is>
          <t>ORD-2505-0841</t>
        </is>
      </c>
      <c r="B842" s="11" t="n">
        <v>45787</v>
      </c>
      <c r="C842" t="inlineStr">
        <is>
          <t>South</t>
        </is>
      </c>
      <c r="D842" t="inlineStr">
        <is>
          <t>Bengaluru</t>
        </is>
      </c>
      <c r="E842" t="inlineStr">
        <is>
          <t>Corporate</t>
        </is>
      </c>
      <c r="F842" t="inlineStr">
        <is>
          <t>Retail Store</t>
        </is>
      </c>
      <c r="G842" t="inlineStr">
        <is>
          <t>Furniture</t>
        </is>
      </c>
      <c r="H842" t="inlineStr">
        <is>
          <t>Bookshelf</t>
        </is>
      </c>
      <c r="I842" t="n">
        <v>1</v>
      </c>
      <c r="J842" s="12" t="n">
        <v>5346.12</v>
      </c>
      <c r="K842" s="13" t="n">
        <v>0.1</v>
      </c>
      <c r="L842" s="12" t="n">
        <v>4811.51</v>
      </c>
      <c r="M842" s="12" t="n">
        <v>3956.13</v>
      </c>
      <c r="N842" s="12" t="n">
        <v>855.38</v>
      </c>
      <c r="O842" t="inlineStr">
        <is>
          <t>Net Banking</t>
        </is>
      </c>
      <c r="P842" t="inlineStr">
        <is>
          <t>Vivaan Gupta</t>
        </is>
      </c>
    </row>
    <row r="843">
      <c r="A843" t="inlineStr">
        <is>
          <t>ORD-2504-0842</t>
        </is>
      </c>
      <c r="B843" s="11" t="n">
        <v>45757</v>
      </c>
      <c r="C843" t="inlineStr">
        <is>
          <t>West</t>
        </is>
      </c>
      <c r="D843" t="inlineStr">
        <is>
          <t>Mumbai</t>
        </is>
      </c>
      <c r="E843" t="inlineStr">
        <is>
          <t>Small Business</t>
        </is>
      </c>
      <c r="F843" t="inlineStr">
        <is>
          <t>Partner</t>
        </is>
      </c>
      <c r="G843" t="inlineStr">
        <is>
          <t>Technology</t>
        </is>
      </c>
      <c r="H843" t="inlineStr">
        <is>
          <t>Laptop</t>
        </is>
      </c>
      <c r="I843" t="n">
        <v>2</v>
      </c>
      <c r="J843" s="12" t="n">
        <v>39557.15</v>
      </c>
      <c r="K843" s="13" t="n">
        <v>0.1</v>
      </c>
      <c r="L843" s="12" t="n">
        <v>71202.87</v>
      </c>
      <c r="M843" s="12" t="n">
        <v>69620.58</v>
      </c>
      <c r="N843" s="12" t="n">
        <v>1582.29</v>
      </c>
      <c r="O843" t="inlineStr">
        <is>
          <t>Debit Card</t>
        </is>
      </c>
      <c r="P843" t="inlineStr">
        <is>
          <t>Anaya Rao</t>
        </is>
      </c>
    </row>
    <row r="844">
      <c r="A844" t="inlineStr">
        <is>
          <t>ORD-2508-0843</t>
        </is>
      </c>
      <c r="B844" s="11" t="n">
        <v>45894</v>
      </c>
      <c r="C844" t="inlineStr">
        <is>
          <t>North</t>
        </is>
      </c>
      <c r="D844" t="inlineStr">
        <is>
          <t>Delhi</t>
        </is>
      </c>
      <c r="E844" t="inlineStr">
        <is>
          <t>Corporate</t>
        </is>
      </c>
      <c r="F844" t="inlineStr">
        <is>
          <t>Retail Store</t>
        </is>
      </c>
      <c r="G844" t="inlineStr">
        <is>
          <t>Furniture</t>
        </is>
      </c>
      <c r="H844" t="inlineStr">
        <is>
          <t>Storage Cabinet</t>
        </is>
      </c>
      <c r="I844" t="n">
        <v>4</v>
      </c>
      <c r="J844" s="12" t="n">
        <v>8811.32</v>
      </c>
      <c r="K844" s="13" t="n">
        <v>0.1</v>
      </c>
      <c r="L844" s="12" t="n">
        <v>31720.75</v>
      </c>
      <c r="M844" s="12" t="n">
        <v>28196.22</v>
      </c>
      <c r="N844" s="12" t="n">
        <v>3524.53</v>
      </c>
      <c r="O844" t="inlineStr">
        <is>
          <t>UPI</t>
        </is>
      </c>
      <c r="P844" t="inlineStr">
        <is>
          <t>Kabir Singh</t>
        </is>
      </c>
    </row>
    <row r="845">
      <c r="A845" t="inlineStr">
        <is>
          <t>ORD-2501-0844</t>
        </is>
      </c>
      <c r="B845" s="11" t="n">
        <v>45667</v>
      </c>
      <c r="C845" t="inlineStr">
        <is>
          <t>Central</t>
        </is>
      </c>
      <c r="D845" t="inlineStr">
        <is>
          <t>Bhopal</t>
        </is>
      </c>
      <c r="E845" t="inlineStr">
        <is>
          <t>Consumer</t>
        </is>
      </c>
      <c r="F845" t="inlineStr">
        <is>
          <t>Partner</t>
        </is>
      </c>
      <c r="G845" t="inlineStr">
        <is>
          <t>Technology</t>
        </is>
      </c>
      <c r="H845" t="inlineStr">
        <is>
          <t>Keyboard</t>
        </is>
      </c>
      <c r="I845" t="n">
        <v>2</v>
      </c>
      <c r="J845" s="12" t="n">
        <v>1375.55</v>
      </c>
      <c r="K845" s="13" t="n">
        <v>0.1</v>
      </c>
      <c r="L845" s="12" t="n">
        <v>2475.99</v>
      </c>
      <c r="M845" s="12" t="n">
        <v>2063.32</v>
      </c>
      <c r="N845" s="12" t="n">
        <v>412.67</v>
      </c>
      <c r="O845" t="inlineStr">
        <is>
          <t>Credit Card</t>
        </is>
      </c>
      <c r="P845" t="inlineStr">
        <is>
          <t>Rohan Verma</t>
        </is>
      </c>
    </row>
    <row r="846">
      <c r="A846" t="inlineStr">
        <is>
          <t>ORD-2503-0845</t>
        </is>
      </c>
      <c r="B846" s="11" t="n">
        <v>45736</v>
      </c>
      <c r="C846" t="inlineStr">
        <is>
          <t>West</t>
        </is>
      </c>
      <c r="D846" t="inlineStr">
        <is>
          <t>Ahmedabad</t>
        </is>
      </c>
      <c r="E846" t="inlineStr">
        <is>
          <t>Consumer</t>
        </is>
      </c>
      <c r="F846" t="inlineStr">
        <is>
          <t>Retail Store</t>
        </is>
      </c>
      <c r="G846" t="inlineStr">
        <is>
          <t>Technology</t>
        </is>
      </c>
      <c r="H846" t="inlineStr">
        <is>
          <t>Keyboard</t>
        </is>
      </c>
      <c r="I846" t="n">
        <v>2</v>
      </c>
      <c r="J846" s="12" t="n">
        <v>1439.21</v>
      </c>
      <c r="K846" s="13" t="n">
        <v>0</v>
      </c>
      <c r="L846" s="12" t="n">
        <v>2878.42</v>
      </c>
      <c r="M846" s="12" t="n">
        <v>2158.82</v>
      </c>
      <c r="N846" s="12" t="n">
        <v>719.6</v>
      </c>
      <c r="O846" t="inlineStr">
        <is>
          <t>Credit Card</t>
        </is>
      </c>
      <c r="P846" t="inlineStr">
        <is>
          <t>Diya Patel</t>
        </is>
      </c>
    </row>
    <row r="847">
      <c r="A847" t="inlineStr">
        <is>
          <t>ORD-2507-0846</t>
        </is>
      </c>
      <c r="B847" s="11" t="n">
        <v>45857</v>
      </c>
      <c r="C847" t="inlineStr">
        <is>
          <t>East</t>
        </is>
      </c>
      <c r="D847" t="inlineStr">
        <is>
          <t>Guwahati</t>
        </is>
      </c>
      <c r="E847" t="inlineStr">
        <is>
          <t>Consumer</t>
        </is>
      </c>
      <c r="F847" t="inlineStr">
        <is>
          <t>Online</t>
        </is>
      </c>
      <c r="G847" t="inlineStr">
        <is>
          <t>Technology</t>
        </is>
      </c>
      <c r="H847" t="inlineStr">
        <is>
          <t>Laptop</t>
        </is>
      </c>
      <c r="I847" t="n">
        <v>3</v>
      </c>
      <c r="J847" s="12" t="n">
        <v>41176.1</v>
      </c>
      <c r="K847" s="13" t="n">
        <v>0</v>
      </c>
      <c r="L847" s="12" t="n">
        <v>123528.3</v>
      </c>
      <c r="M847" s="12" t="n">
        <v>108704.9</v>
      </c>
      <c r="N847" s="12" t="n">
        <v>14823.4</v>
      </c>
      <c r="O847" t="inlineStr">
        <is>
          <t>Net Banking</t>
        </is>
      </c>
      <c r="P847" t="inlineStr">
        <is>
          <t>Meera Joshi</t>
        </is>
      </c>
    </row>
    <row r="848">
      <c r="A848" t="inlineStr">
        <is>
          <t>ORD-2504-0847</t>
        </is>
      </c>
      <c r="B848" s="11" t="n">
        <v>45760</v>
      </c>
      <c r="C848" t="inlineStr">
        <is>
          <t>North</t>
        </is>
      </c>
      <c r="D848" t="inlineStr">
        <is>
          <t>Delhi</t>
        </is>
      </c>
      <c r="E848" t="inlineStr">
        <is>
          <t>Small Business</t>
        </is>
      </c>
      <c r="F848" t="inlineStr">
        <is>
          <t>Partner</t>
        </is>
      </c>
      <c r="G848" t="inlineStr">
        <is>
          <t>Furniture</t>
        </is>
      </c>
      <c r="H848" t="inlineStr">
        <is>
          <t>Desk</t>
        </is>
      </c>
      <c r="I848" t="n">
        <v>1</v>
      </c>
      <c r="J848" s="12" t="n">
        <v>12089.77</v>
      </c>
      <c r="K848" s="13" t="n">
        <v>0</v>
      </c>
      <c r="L848" s="12" t="n">
        <v>12089.77</v>
      </c>
      <c r="M848" s="12" t="n">
        <v>9188.23</v>
      </c>
      <c r="N848" s="12" t="n">
        <v>2901.54</v>
      </c>
      <c r="O848" t="inlineStr">
        <is>
          <t>Credit Card</t>
        </is>
      </c>
      <c r="P848" t="inlineStr">
        <is>
          <t>Meera Joshi</t>
        </is>
      </c>
    </row>
    <row r="849">
      <c r="A849" t="inlineStr">
        <is>
          <t>ORD-2502-0848</t>
        </is>
      </c>
      <c r="B849" s="11" t="n">
        <v>45707</v>
      </c>
      <c r="C849" t="inlineStr">
        <is>
          <t>South</t>
        </is>
      </c>
      <c r="D849" t="inlineStr">
        <is>
          <t>Chennai</t>
        </is>
      </c>
      <c r="E849" t="inlineStr">
        <is>
          <t>Small Business</t>
        </is>
      </c>
      <c r="F849" t="inlineStr">
        <is>
          <t>Partner</t>
        </is>
      </c>
      <c r="G849" t="inlineStr">
        <is>
          <t>Technology</t>
        </is>
      </c>
      <c r="H849" t="inlineStr">
        <is>
          <t>Laptop</t>
        </is>
      </c>
      <c r="I849" t="n">
        <v>2</v>
      </c>
      <c r="J849" s="12" t="n">
        <v>40838.39</v>
      </c>
      <c r="K849" s="13" t="n">
        <v>0</v>
      </c>
      <c r="L849" s="12" t="n">
        <v>81676.78</v>
      </c>
      <c r="M849" s="12" t="n">
        <v>71875.57000000001</v>
      </c>
      <c r="N849" s="12" t="n">
        <v>9801.209999999999</v>
      </c>
      <c r="O849" t="inlineStr">
        <is>
          <t>UPI</t>
        </is>
      </c>
      <c r="P849" t="inlineStr">
        <is>
          <t>Meera Joshi</t>
        </is>
      </c>
    </row>
    <row r="850">
      <c r="A850" t="inlineStr">
        <is>
          <t>ORD-2510-0849</t>
        </is>
      </c>
      <c r="B850" s="11" t="n">
        <v>45935</v>
      </c>
      <c r="C850" t="inlineStr">
        <is>
          <t>West</t>
        </is>
      </c>
      <c r="D850" t="inlineStr">
        <is>
          <t>Surat</t>
        </is>
      </c>
      <c r="E850" t="inlineStr">
        <is>
          <t>Consumer</t>
        </is>
      </c>
      <c r="F850" t="inlineStr">
        <is>
          <t>Retail Store</t>
        </is>
      </c>
      <c r="G850" t="inlineStr">
        <is>
          <t>Technology</t>
        </is>
      </c>
      <c r="H850" t="inlineStr">
        <is>
          <t>Monitor</t>
        </is>
      </c>
      <c r="I850" t="n">
        <v>2</v>
      </c>
      <c r="J850" s="12" t="n">
        <v>12146.74</v>
      </c>
      <c r="K850" s="13" t="n">
        <v>0</v>
      </c>
      <c r="L850" s="12" t="n">
        <v>24293.48</v>
      </c>
      <c r="M850" s="12" t="n">
        <v>19920.65</v>
      </c>
      <c r="N850" s="12" t="n">
        <v>4372.83</v>
      </c>
      <c r="O850" t="inlineStr">
        <is>
          <t>Net Banking</t>
        </is>
      </c>
      <c r="P850" t="inlineStr">
        <is>
          <t>Aarav Sharma</t>
        </is>
      </c>
    </row>
    <row r="851">
      <c r="A851" t="inlineStr">
        <is>
          <t>ORD-2507-0850</t>
        </is>
      </c>
      <c r="B851" s="11" t="n">
        <v>45857</v>
      </c>
      <c r="C851" t="inlineStr">
        <is>
          <t>South</t>
        </is>
      </c>
      <c r="D851" t="inlineStr">
        <is>
          <t>Kochi</t>
        </is>
      </c>
      <c r="E851" t="inlineStr">
        <is>
          <t>Corporate</t>
        </is>
      </c>
      <c r="F851" t="inlineStr">
        <is>
          <t>Online</t>
        </is>
      </c>
      <c r="G851" t="inlineStr">
        <is>
          <t>Technology</t>
        </is>
      </c>
      <c r="H851" t="inlineStr">
        <is>
          <t>Printer</t>
        </is>
      </c>
      <c r="I851" t="n">
        <v>1</v>
      </c>
      <c r="J851" s="12" t="n">
        <v>9727.92</v>
      </c>
      <c r="K851" s="13" t="n">
        <v>0.15</v>
      </c>
      <c r="L851" s="12" t="n">
        <v>8268.73</v>
      </c>
      <c r="M851" s="12" t="n">
        <v>8171.45</v>
      </c>
      <c r="N851" s="12" t="n">
        <v>97.28</v>
      </c>
      <c r="O851" t="inlineStr">
        <is>
          <t>Credit Card</t>
        </is>
      </c>
      <c r="P851" t="inlineStr">
        <is>
          <t>Meera Joshi</t>
        </is>
      </c>
    </row>
    <row r="852">
      <c r="A852" t="inlineStr">
        <is>
          <t>ORD-2507-0851</t>
        </is>
      </c>
      <c r="B852" s="11" t="n">
        <v>45868</v>
      </c>
      <c r="C852" t="inlineStr">
        <is>
          <t>East</t>
        </is>
      </c>
      <c r="D852" t="inlineStr">
        <is>
          <t>Guwahati</t>
        </is>
      </c>
      <c r="E852" t="inlineStr">
        <is>
          <t>Small Business</t>
        </is>
      </c>
      <c r="F852" t="inlineStr">
        <is>
          <t>Online</t>
        </is>
      </c>
      <c r="G852" t="inlineStr">
        <is>
          <t>Technology</t>
        </is>
      </c>
      <c r="H852" t="inlineStr">
        <is>
          <t>Monitor</t>
        </is>
      </c>
      <c r="I852" t="n">
        <v>4</v>
      </c>
      <c r="J852" s="12" t="n">
        <v>13344.45</v>
      </c>
      <c r="K852" s="13" t="n">
        <v>0.15</v>
      </c>
      <c r="L852" s="12" t="n">
        <v>45371.13</v>
      </c>
      <c r="M852" s="12" t="n">
        <v>43769.8</v>
      </c>
      <c r="N852" s="12" t="n">
        <v>1601.33</v>
      </c>
      <c r="O852" t="inlineStr">
        <is>
          <t>Net Banking</t>
        </is>
      </c>
      <c r="P852" t="inlineStr">
        <is>
          <t>Diya Patel</t>
        </is>
      </c>
    </row>
    <row r="853">
      <c r="A853" t="inlineStr">
        <is>
          <t>ORD-2511-0852</t>
        </is>
      </c>
      <c r="B853" s="11" t="n">
        <v>45965</v>
      </c>
      <c r="C853" t="inlineStr">
        <is>
          <t>East</t>
        </is>
      </c>
      <c r="D853" t="inlineStr">
        <is>
          <t>Guwahati</t>
        </is>
      </c>
      <c r="E853" t="inlineStr">
        <is>
          <t>Consumer</t>
        </is>
      </c>
      <c r="F853" t="inlineStr">
        <is>
          <t>Partner</t>
        </is>
      </c>
      <c r="G853" t="inlineStr">
        <is>
          <t>Office Supplies</t>
        </is>
      </c>
      <c r="H853" t="inlineStr">
        <is>
          <t>Pens Box</t>
        </is>
      </c>
      <c r="I853" t="n">
        <v>6</v>
      </c>
      <c r="J853" s="12" t="n">
        <v>169.43</v>
      </c>
      <c r="K853" s="13" t="n">
        <v>0.1</v>
      </c>
      <c r="L853" s="12" t="n">
        <v>914.92</v>
      </c>
      <c r="M853" s="12" t="n">
        <v>660.78</v>
      </c>
      <c r="N853" s="12" t="n">
        <v>254.14</v>
      </c>
      <c r="O853" t="inlineStr">
        <is>
          <t>Net Banking</t>
        </is>
      </c>
      <c r="P853" t="inlineStr">
        <is>
          <t>Anaya Rao</t>
        </is>
      </c>
    </row>
    <row r="854">
      <c r="A854" t="inlineStr">
        <is>
          <t>ORD-2502-0853</t>
        </is>
      </c>
      <c r="B854" s="11" t="n">
        <v>45692</v>
      </c>
      <c r="C854" t="inlineStr">
        <is>
          <t>East</t>
        </is>
      </c>
      <c r="D854" t="inlineStr">
        <is>
          <t>Kolkata</t>
        </is>
      </c>
      <c r="E854" t="inlineStr">
        <is>
          <t>Small Business</t>
        </is>
      </c>
      <c r="F854" t="inlineStr">
        <is>
          <t>Online</t>
        </is>
      </c>
      <c r="G854" t="inlineStr">
        <is>
          <t>Office Supplies</t>
        </is>
      </c>
      <c r="H854" t="inlineStr">
        <is>
          <t>Notebook Pack</t>
        </is>
      </c>
      <c r="I854" t="n">
        <v>6</v>
      </c>
      <c r="J854" s="12" t="n">
        <v>350.62</v>
      </c>
      <c r="K854" s="13" t="n">
        <v>0.05</v>
      </c>
      <c r="L854" s="12" t="n">
        <v>1998.53</v>
      </c>
      <c r="M854" s="12" t="n">
        <v>1430.53</v>
      </c>
      <c r="N854" s="12" t="n">
        <v>568</v>
      </c>
      <c r="O854" t="inlineStr">
        <is>
          <t>Cash</t>
        </is>
      </c>
      <c r="P854" t="inlineStr">
        <is>
          <t>Aarav Sharma</t>
        </is>
      </c>
    </row>
    <row r="855">
      <c r="A855" t="inlineStr">
        <is>
          <t>ORD-2504-0854</t>
        </is>
      </c>
      <c r="B855" s="11" t="n">
        <v>45777</v>
      </c>
      <c r="C855" t="inlineStr">
        <is>
          <t>North</t>
        </is>
      </c>
      <c r="D855" t="inlineStr">
        <is>
          <t>Delhi</t>
        </is>
      </c>
      <c r="E855" t="inlineStr">
        <is>
          <t>Consumer</t>
        </is>
      </c>
      <c r="F855" t="inlineStr">
        <is>
          <t>Online</t>
        </is>
      </c>
      <c r="G855" t="inlineStr">
        <is>
          <t>Technology</t>
        </is>
      </c>
      <c r="H855" t="inlineStr">
        <is>
          <t>Headphones</t>
        </is>
      </c>
      <c r="I855" t="n">
        <v>2</v>
      </c>
      <c r="J855" s="12" t="n">
        <v>2109.73</v>
      </c>
      <c r="K855" s="13" t="n">
        <v>0.05</v>
      </c>
      <c r="L855" s="12" t="n">
        <v>4008.49</v>
      </c>
      <c r="M855" s="12" t="n">
        <v>3291.18</v>
      </c>
      <c r="N855" s="12" t="n">
        <v>717.3099999999999</v>
      </c>
      <c r="O855" t="inlineStr">
        <is>
          <t>UPI</t>
        </is>
      </c>
      <c r="P855" t="inlineStr">
        <is>
          <t>Sara Khan</t>
        </is>
      </c>
    </row>
    <row r="856">
      <c r="A856" t="inlineStr">
        <is>
          <t>ORD-2509-0855</t>
        </is>
      </c>
      <c r="B856" s="11" t="n">
        <v>45913</v>
      </c>
      <c r="C856" t="inlineStr">
        <is>
          <t>East</t>
        </is>
      </c>
      <c r="D856" t="inlineStr">
        <is>
          <t>Patna</t>
        </is>
      </c>
      <c r="E856" t="inlineStr">
        <is>
          <t>Small Business</t>
        </is>
      </c>
      <c r="F856" t="inlineStr">
        <is>
          <t>Partner</t>
        </is>
      </c>
      <c r="G856" t="inlineStr">
        <is>
          <t>Technology</t>
        </is>
      </c>
      <c r="H856" t="inlineStr">
        <is>
          <t>Keyboard</t>
        </is>
      </c>
      <c r="I856" t="n">
        <v>2</v>
      </c>
      <c r="J856" s="12" t="n">
        <v>1341.33</v>
      </c>
      <c r="K856" s="13" t="n">
        <v>0.1</v>
      </c>
      <c r="L856" s="12" t="n">
        <v>2414.39</v>
      </c>
      <c r="M856" s="12" t="n">
        <v>2011.99</v>
      </c>
      <c r="N856" s="12" t="n">
        <v>402.4</v>
      </c>
      <c r="O856" t="inlineStr">
        <is>
          <t>Debit Card</t>
        </is>
      </c>
      <c r="P856" t="inlineStr">
        <is>
          <t>Sara Khan</t>
        </is>
      </c>
    </row>
    <row r="857">
      <c r="A857" t="inlineStr">
        <is>
          <t>ORD-2503-0856</t>
        </is>
      </c>
      <c r="B857" s="11" t="n">
        <v>45726</v>
      </c>
      <c r="C857" t="inlineStr">
        <is>
          <t>East</t>
        </is>
      </c>
      <c r="D857" t="inlineStr">
        <is>
          <t>Bhubaneswar</t>
        </is>
      </c>
      <c r="E857" t="inlineStr">
        <is>
          <t>Corporate</t>
        </is>
      </c>
      <c r="F857" t="inlineStr">
        <is>
          <t>Partner</t>
        </is>
      </c>
      <c r="G857" t="inlineStr">
        <is>
          <t>Office Supplies</t>
        </is>
      </c>
      <c r="H857" t="inlineStr">
        <is>
          <t>Pens Box</t>
        </is>
      </c>
      <c r="I857" t="n">
        <v>5</v>
      </c>
      <c r="J857" s="12" t="n">
        <v>188.4</v>
      </c>
      <c r="K857" s="13" t="n">
        <v>0</v>
      </c>
      <c r="L857" s="12" t="n">
        <v>942</v>
      </c>
      <c r="M857" s="12" t="n">
        <v>612.3</v>
      </c>
      <c r="N857" s="12" t="n">
        <v>329.7</v>
      </c>
      <c r="O857" t="inlineStr">
        <is>
          <t>Net Banking</t>
        </is>
      </c>
      <c r="P857" t="inlineStr">
        <is>
          <t>Aarav Sharma</t>
        </is>
      </c>
    </row>
    <row r="858">
      <c r="A858" t="inlineStr">
        <is>
          <t>ORD-2504-0857</t>
        </is>
      </c>
      <c r="B858" s="11" t="n">
        <v>45775</v>
      </c>
      <c r="C858" t="inlineStr">
        <is>
          <t>East</t>
        </is>
      </c>
      <c r="D858" t="inlineStr">
        <is>
          <t>Bhubaneswar</t>
        </is>
      </c>
      <c r="E858" t="inlineStr">
        <is>
          <t>Consumer</t>
        </is>
      </c>
      <c r="F858" t="inlineStr">
        <is>
          <t>Partner</t>
        </is>
      </c>
      <c r="G858" t="inlineStr">
        <is>
          <t>Technology</t>
        </is>
      </c>
      <c r="H858" t="inlineStr">
        <is>
          <t>Printer</t>
        </is>
      </c>
      <c r="I858" t="n">
        <v>2</v>
      </c>
      <c r="J858" s="12" t="n">
        <v>10134.87</v>
      </c>
      <c r="K858" s="13" t="n">
        <v>0</v>
      </c>
      <c r="L858" s="12" t="n">
        <v>20269.74</v>
      </c>
      <c r="M858" s="12" t="n">
        <v>17026.58</v>
      </c>
      <c r="N858" s="12" t="n">
        <v>3243.16</v>
      </c>
      <c r="O858" t="inlineStr">
        <is>
          <t>UPI</t>
        </is>
      </c>
      <c r="P858" t="inlineStr">
        <is>
          <t>Vivaan Gupta</t>
        </is>
      </c>
    </row>
    <row r="859">
      <c r="A859" t="inlineStr">
        <is>
          <t>ORD-2509-0858</t>
        </is>
      </c>
      <c r="B859" s="11" t="n">
        <v>45924</v>
      </c>
      <c r="C859" t="inlineStr">
        <is>
          <t>East</t>
        </is>
      </c>
      <c r="D859" t="inlineStr">
        <is>
          <t>Patna</t>
        </is>
      </c>
      <c r="E859" t="inlineStr">
        <is>
          <t>Consumer</t>
        </is>
      </c>
      <c r="F859" t="inlineStr">
        <is>
          <t>Online</t>
        </is>
      </c>
      <c r="G859" t="inlineStr">
        <is>
          <t>Furniture</t>
        </is>
      </c>
      <c r="H859" t="inlineStr">
        <is>
          <t>Bookshelf</t>
        </is>
      </c>
      <c r="I859" t="n">
        <v>3</v>
      </c>
      <c r="J859" s="12" t="n">
        <v>5193.05</v>
      </c>
      <c r="K859" s="13" t="n">
        <v>0</v>
      </c>
      <c r="L859" s="12" t="n">
        <v>15579.15</v>
      </c>
      <c r="M859" s="12" t="n">
        <v>11528.57</v>
      </c>
      <c r="N859" s="12" t="n">
        <v>4050.58</v>
      </c>
      <c r="O859" t="inlineStr">
        <is>
          <t>UPI</t>
        </is>
      </c>
      <c r="P859" t="inlineStr">
        <is>
          <t>Meera Joshi</t>
        </is>
      </c>
    </row>
    <row r="860">
      <c r="A860" t="inlineStr">
        <is>
          <t>ORD-2503-0859</t>
        </is>
      </c>
      <c r="B860" s="11" t="n">
        <v>45722</v>
      </c>
      <c r="C860" t="inlineStr">
        <is>
          <t>North</t>
        </is>
      </c>
      <c r="D860" t="inlineStr">
        <is>
          <t>Jaipur</t>
        </is>
      </c>
      <c r="E860" t="inlineStr">
        <is>
          <t>Small Business</t>
        </is>
      </c>
      <c r="F860" t="inlineStr">
        <is>
          <t>Online</t>
        </is>
      </c>
      <c r="G860" t="inlineStr">
        <is>
          <t>Office Supplies</t>
        </is>
      </c>
      <c r="H860" t="inlineStr">
        <is>
          <t>Notebook Pack</t>
        </is>
      </c>
      <c r="I860" t="n">
        <v>3</v>
      </c>
      <c r="J860" s="12" t="n">
        <v>333.44</v>
      </c>
      <c r="K860" s="13" t="n">
        <v>0.15</v>
      </c>
      <c r="L860" s="12" t="n">
        <v>850.27</v>
      </c>
      <c r="M860" s="12" t="n">
        <v>680.22</v>
      </c>
      <c r="N860" s="12" t="n">
        <v>170.05</v>
      </c>
      <c r="O860" t="inlineStr">
        <is>
          <t>Debit Card</t>
        </is>
      </c>
      <c r="P860" t="inlineStr">
        <is>
          <t>Anaya Rao</t>
        </is>
      </c>
    </row>
    <row r="861">
      <c r="A861" t="inlineStr">
        <is>
          <t>ORD-2506-0860</t>
        </is>
      </c>
      <c r="B861" s="11" t="n">
        <v>45817</v>
      </c>
      <c r="C861" t="inlineStr">
        <is>
          <t>South</t>
        </is>
      </c>
      <c r="D861" t="inlineStr">
        <is>
          <t>Chennai</t>
        </is>
      </c>
      <c r="E861" t="inlineStr">
        <is>
          <t>Small Business</t>
        </is>
      </c>
      <c r="F861" t="inlineStr">
        <is>
          <t>Retail Store</t>
        </is>
      </c>
      <c r="G861" t="inlineStr">
        <is>
          <t>Technology</t>
        </is>
      </c>
      <c r="H861" t="inlineStr">
        <is>
          <t>Printer</t>
        </is>
      </c>
      <c r="I861" t="n">
        <v>2</v>
      </c>
      <c r="J861" s="12" t="n">
        <v>9200.709999999999</v>
      </c>
      <c r="K861" s="13" t="n">
        <v>0.1</v>
      </c>
      <c r="L861" s="12" t="n">
        <v>16561.28</v>
      </c>
      <c r="M861" s="12" t="n">
        <v>15457.19</v>
      </c>
      <c r="N861" s="12" t="n">
        <v>1104.09</v>
      </c>
      <c r="O861" t="inlineStr">
        <is>
          <t>UPI</t>
        </is>
      </c>
      <c r="P861" t="inlineStr">
        <is>
          <t>Rohan Verma</t>
        </is>
      </c>
    </row>
    <row r="862">
      <c r="A862" t="inlineStr">
        <is>
          <t>ORD-2509-0861</t>
        </is>
      </c>
      <c r="B862" s="11" t="n">
        <v>45904</v>
      </c>
      <c r="C862" t="inlineStr">
        <is>
          <t>North</t>
        </is>
      </c>
      <c r="D862" t="inlineStr">
        <is>
          <t>Chandigarh</t>
        </is>
      </c>
      <c r="E862" t="inlineStr">
        <is>
          <t>Small Business</t>
        </is>
      </c>
      <c r="F862" t="inlineStr">
        <is>
          <t>Partner</t>
        </is>
      </c>
      <c r="G862" t="inlineStr">
        <is>
          <t>Furniture</t>
        </is>
      </c>
      <c r="H862" t="inlineStr">
        <is>
          <t>Desk</t>
        </is>
      </c>
      <c r="I862" t="n">
        <v>2</v>
      </c>
      <c r="J862" s="12" t="n">
        <v>11357.76</v>
      </c>
      <c r="K862" s="13" t="n">
        <v>0.05</v>
      </c>
      <c r="L862" s="12" t="n">
        <v>21579.74</v>
      </c>
      <c r="M862" s="12" t="n">
        <v>17263.8</v>
      </c>
      <c r="N862" s="12" t="n">
        <v>4315.94</v>
      </c>
      <c r="O862" t="inlineStr">
        <is>
          <t>Debit Card</t>
        </is>
      </c>
      <c r="P862" t="inlineStr">
        <is>
          <t>Kabir Singh</t>
        </is>
      </c>
    </row>
    <row r="863">
      <c r="A863" t="inlineStr">
        <is>
          <t>ORD-2509-0862</t>
        </is>
      </c>
      <c r="B863" s="11" t="n">
        <v>45904</v>
      </c>
      <c r="C863" t="inlineStr">
        <is>
          <t>North</t>
        </is>
      </c>
      <c r="D863" t="inlineStr">
        <is>
          <t>Lucknow</t>
        </is>
      </c>
      <c r="E863" t="inlineStr">
        <is>
          <t>Small Business</t>
        </is>
      </c>
      <c r="F863" t="inlineStr">
        <is>
          <t>Partner</t>
        </is>
      </c>
      <c r="G863" t="inlineStr">
        <is>
          <t>Furniture</t>
        </is>
      </c>
      <c r="H863" t="inlineStr">
        <is>
          <t>Desk</t>
        </is>
      </c>
      <c r="I863" t="n">
        <v>5</v>
      </c>
      <c r="J863" s="12" t="n">
        <v>12275.62</v>
      </c>
      <c r="K863" s="13" t="n">
        <v>0.1</v>
      </c>
      <c r="L863" s="12" t="n">
        <v>55240.29</v>
      </c>
      <c r="M863" s="12" t="n">
        <v>46647.36</v>
      </c>
      <c r="N863" s="12" t="n">
        <v>8592.93</v>
      </c>
      <c r="O863" t="inlineStr">
        <is>
          <t>UPI</t>
        </is>
      </c>
      <c r="P863" t="inlineStr">
        <is>
          <t>Kabir Singh</t>
        </is>
      </c>
    </row>
    <row r="864">
      <c r="A864" t="inlineStr">
        <is>
          <t>ORD-2505-0863</t>
        </is>
      </c>
      <c r="B864" s="11" t="n">
        <v>45789</v>
      </c>
      <c r="C864" t="inlineStr">
        <is>
          <t>West</t>
        </is>
      </c>
      <c r="D864" t="inlineStr">
        <is>
          <t>Surat</t>
        </is>
      </c>
      <c r="E864" t="inlineStr">
        <is>
          <t>Consumer</t>
        </is>
      </c>
      <c r="F864" t="inlineStr">
        <is>
          <t>Retail Store</t>
        </is>
      </c>
      <c r="G864" t="inlineStr">
        <is>
          <t>Technology</t>
        </is>
      </c>
      <c r="H864" t="inlineStr">
        <is>
          <t>Headphones</t>
        </is>
      </c>
      <c r="I864" t="n">
        <v>3</v>
      </c>
      <c r="J864" s="12" t="n">
        <v>2237.32</v>
      </c>
      <c r="K864" s="13" t="n">
        <v>0.05</v>
      </c>
      <c r="L864" s="12" t="n">
        <v>6376.36</v>
      </c>
      <c r="M864" s="12" t="n">
        <v>5235.33</v>
      </c>
      <c r="N864" s="12" t="n">
        <v>1141.03</v>
      </c>
      <c r="O864" t="inlineStr">
        <is>
          <t>UPI</t>
        </is>
      </c>
      <c r="P864" t="inlineStr">
        <is>
          <t>Anaya Rao</t>
        </is>
      </c>
    </row>
    <row r="865">
      <c r="A865" t="inlineStr">
        <is>
          <t>ORD-2504-0864</t>
        </is>
      </c>
      <c r="B865" s="11" t="n">
        <v>45758</v>
      </c>
      <c r="C865" t="inlineStr">
        <is>
          <t>South</t>
        </is>
      </c>
      <c r="D865" t="inlineStr">
        <is>
          <t>Chennai</t>
        </is>
      </c>
      <c r="E865" t="inlineStr">
        <is>
          <t>Corporate</t>
        </is>
      </c>
      <c r="F865" t="inlineStr">
        <is>
          <t>Retail Store</t>
        </is>
      </c>
      <c r="G865" t="inlineStr">
        <is>
          <t>Technology</t>
        </is>
      </c>
      <c r="H865" t="inlineStr">
        <is>
          <t>Laptop</t>
        </is>
      </c>
      <c r="I865" t="n">
        <v>1</v>
      </c>
      <c r="J865" s="12" t="n">
        <v>43514.32</v>
      </c>
      <c r="K865" s="13" t="n">
        <v>0.1</v>
      </c>
      <c r="L865" s="12" t="n">
        <v>39162.89</v>
      </c>
      <c r="M865" s="12" t="n">
        <v>38292.6</v>
      </c>
      <c r="N865" s="12" t="n">
        <v>870.29</v>
      </c>
      <c r="O865" t="inlineStr">
        <is>
          <t>Debit Card</t>
        </is>
      </c>
      <c r="P865" t="inlineStr">
        <is>
          <t>Vivaan Gupta</t>
        </is>
      </c>
    </row>
    <row r="866">
      <c r="A866" t="inlineStr">
        <is>
          <t>ORD-2507-0865</t>
        </is>
      </c>
      <c r="B866" s="11" t="n">
        <v>45849</v>
      </c>
      <c r="C866" t="inlineStr">
        <is>
          <t>West</t>
        </is>
      </c>
      <c r="D866" t="inlineStr">
        <is>
          <t>Surat</t>
        </is>
      </c>
      <c r="E866" t="inlineStr">
        <is>
          <t>Consumer</t>
        </is>
      </c>
      <c r="F866" t="inlineStr">
        <is>
          <t>Online</t>
        </is>
      </c>
      <c r="G866" t="inlineStr">
        <is>
          <t>Technology</t>
        </is>
      </c>
      <c r="H866" t="inlineStr">
        <is>
          <t>Headphones</t>
        </is>
      </c>
      <c r="I866" t="n">
        <v>4</v>
      </c>
      <c r="J866" s="12" t="n">
        <v>2167.89</v>
      </c>
      <c r="K866" s="13" t="n">
        <v>0.1</v>
      </c>
      <c r="L866" s="12" t="n">
        <v>7804.4</v>
      </c>
      <c r="M866" s="12" t="n">
        <v>6763.82</v>
      </c>
      <c r="N866" s="12" t="n">
        <v>1040.58</v>
      </c>
      <c r="O866" t="inlineStr">
        <is>
          <t>Debit Card</t>
        </is>
      </c>
      <c r="P866" t="inlineStr">
        <is>
          <t>Kabir Singh</t>
        </is>
      </c>
    </row>
    <row r="867">
      <c r="A867" t="inlineStr">
        <is>
          <t>ORD-2504-0866</t>
        </is>
      </c>
      <c r="B867" s="11" t="n">
        <v>45757</v>
      </c>
      <c r="C867" t="inlineStr">
        <is>
          <t>West</t>
        </is>
      </c>
      <c r="D867" t="inlineStr">
        <is>
          <t>Ahmedabad</t>
        </is>
      </c>
      <c r="E867" t="inlineStr">
        <is>
          <t>Corporate</t>
        </is>
      </c>
      <c r="F867" t="inlineStr">
        <is>
          <t>Partner</t>
        </is>
      </c>
      <c r="G867" t="inlineStr">
        <is>
          <t>Office Supplies</t>
        </is>
      </c>
      <c r="H867" t="inlineStr">
        <is>
          <t>File Folder</t>
        </is>
      </c>
      <c r="I867" t="n">
        <v>6</v>
      </c>
      <c r="J867" s="12" t="n">
        <v>90.14</v>
      </c>
      <c r="K867" s="13" t="n">
        <v>0.1</v>
      </c>
      <c r="L867" s="12" t="n">
        <v>486.76</v>
      </c>
      <c r="M867" s="12" t="n">
        <v>335.32</v>
      </c>
      <c r="N867" s="12" t="n">
        <v>151.44</v>
      </c>
      <c r="O867" t="inlineStr">
        <is>
          <t>Net Banking</t>
        </is>
      </c>
      <c r="P867" t="inlineStr">
        <is>
          <t>Aarav Sharma</t>
        </is>
      </c>
    </row>
    <row r="868">
      <c r="A868" t="inlineStr">
        <is>
          <t>ORD-2511-0867</t>
        </is>
      </c>
      <c r="B868" s="11" t="n">
        <v>45991</v>
      </c>
      <c r="C868" t="inlineStr">
        <is>
          <t>West</t>
        </is>
      </c>
      <c r="D868" t="inlineStr">
        <is>
          <t>Surat</t>
        </is>
      </c>
      <c r="E868" t="inlineStr">
        <is>
          <t>Corporate</t>
        </is>
      </c>
      <c r="F868" t="inlineStr">
        <is>
          <t>Partner</t>
        </is>
      </c>
      <c r="G868" t="inlineStr">
        <is>
          <t>Office Supplies</t>
        </is>
      </c>
      <c r="H868" t="inlineStr">
        <is>
          <t>Paper Ream</t>
        </is>
      </c>
      <c r="I868" t="n">
        <v>2</v>
      </c>
      <c r="J868" s="12" t="n">
        <v>448.32</v>
      </c>
      <c r="K868" s="13" t="n">
        <v>0.05</v>
      </c>
      <c r="L868" s="12" t="n">
        <v>851.8099999999999</v>
      </c>
      <c r="M868" s="12" t="n">
        <v>690.41</v>
      </c>
      <c r="N868" s="12" t="n">
        <v>161.4</v>
      </c>
      <c r="O868" t="inlineStr">
        <is>
          <t>Credit Card</t>
        </is>
      </c>
      <c r="P868" t="inlineStr">
        <is>
          <t>Kabir Singh</t>
        </is>
      </c>
    </row>
    <row r="869">
      <c r="A869" t="inlineStr">
        <is>
          <t>ORD-2505-0868</t>
        </is>
      </c>
      <c r="B869" s="11" t="n">
        <v>45791</v>
      </c>
      <c r="C869" t="inlineStr">
        <is>
          <t>Central</t>
        </is>
      </c>
      <c r="D869" t="inlineStr">
        <is>
          <t>Nagpur</t>
        </is>
      </c>
      <c r="E869" t="inlineStr">
        <is>
          <t>Small Business</t>
        </is>
      </c>
      <c r="F869" t="inlineStr">
        <is>
          <t>Online</t>
        </is>
      </c>
      <c r="G869" t="inlineStr">
        <is>
          <t>Office Supplies</t>
        </is>
      </c>
      <c r="H869" t="inlineStr">
        <is>
          <t>Pens Box</t>
        </is>
      </c>
      <c r="I869" t="n">
        <v>1</v>
      </c>
      <c r="J869" s="12" t="n">
        <v>182.26</v>
      </c>
      <c r="K869" s="13" t="n">
        <v>0</v>
      </c>
      <c r="L869" s="12" t="n">
        <v>182.26</v>
      </c>
      <c r="M869" s="12" t="n">
        <v>118.47</v>
      </c>
      <c r="N869" s="12" t="n">
        <v>63.79</v>
      </c>
      <c r="O869" t="inlineStr">
        <is>
          <t>Credit Card</t>
        </is>
      </c>
      <c r="P869" t="inlineStr">
        <is>
          <t>Diya Patel</t>
        </is>
      </c>
    </row>
    <row r="870">
      <c r="A870" t="inlineStr">
        <is>
          <t>ORD-2502-0869</t>
        </is>
      </c>
      <c r="B870" s="11" t="n">
        <v>45705</v>
      </c>
      <c r="C870" t="inlineStr">
        <is>
          <t>West</t>
        </is>
      </c>
      <c r="D870" t="inlineStr">
        <is>
          <t>Surat</t>
        </is>
      </c>
      <c r="E870" t="inlineStr">
        <is>
          <t>Consumer</t>
        </is>
      </c>
      <c r="F870" t="inlineStr">
        <is>
          <t>Retail Store</t>
        </is>
      </c>
      <c r="G870" t="inlineStr">
        <is>
          <t>Office Supplies</t>
        </is>
      </c>
      <c r="H870" t="inlineStr">
        <is>
          <t>Paper Ream</t>
        </is>
      </c>
      <c r="I870" t="n">
        <v>3</v>
      </c>
      <c r="J870" s="12" t="n">
        <v>421.25</v>
      </c>
      <c r="K870" s="13" t="n">
        <v>0.15</v>
      </c>
      <c r="L870" s="12" t="n">
        <v>1074.19</v>
      </c>
      <c r="M870" s="12" t="n">
        <v>973.09</v>
      </c>
      <c r="N870" s="12" t="n">
        <v>101.1</v>
      </c>
      <c r="O870" t="inlineStr">
        <is>
          <t>UPI</t>
        </is>
      </c>
      <c r="P870" t="inlineStr">
        <is>
          <t>Vivaan Gupta</t>
        </is>
      </c>
    </row>
    <row r="871">
      <c r="A871" t="inlineStr">
        <is>
          <t>ORD-2505-0870</t>
        </is>
      </c>
      <c r="B871" s="11" t="n">
        <v>45787</v>
      </c>
      <c r="C871" t="inlineStr">
        <is>
          <t>East</t>
        </is>
      </c>
      <c r="D871" t="inlineStr">
        <is>
          <t>Guwahati</t>
        </is>
      </c>
      <c r="E871" t="inlineStr">
        <is>
          <t>Small Business</t>
        </is>
      </c>
      <c r="F871" t="inlineStr">
        <is>
          <t>Online</t>
        </is>
      </c>
      <c r="G871" t="inlineStr">
        <is>
          <t>Office Supplies</t>
        </is>
      </c>
      <c r="H871" t="inlineStr">
        <is>
          <t>Notebook Pack</t>
        </is>
      </c>
      <c r="I871" t="n">
        <v>2</v>
      </c>
      <c r="J871" s="12" t="n">
        <v>371.08</v>
      </c>
      <c r="K871" s="13" t="n">
        <v>0.05</v>
      </c>
      <c r="L871" s="12" t="n">
        <v>705.05</v>
      </c>
      <c r="M871" s="12" t="n">
        <v>504.67</v>
      </c>
      <c r="N871" s="12" t="n">
        <v>200.38</v>
      </c>
      <c r="O871" t="inlineStr">
        <is>
          <t>Credit Card</t>
        </is>
      </c>
      <c r="P871" t="inlineStr">
        <is>
          <t>Sara Khan</t>
        </is>
      </c>
    </row>
    <row r="872">
      <c r="A872" t="inlineStr">
        <is>
          <t>ORD-2503-0871</t>
        </is>
      </c>
      <c r="B872" s="11" t="n">
        <v>45731</v>
      </c>
      <c r="C872" t="inlineStr">
        <is>
          <t>East</t>
        </is>
      </c>
      <c r="D872" t="inlineStr">
        <is>
          <t>Patna</t>
        </is>
      </c>
      <c r="E872" t="inlineStr">
        <is>
          <t>Corporate</t>
        </is>
      </c>
      <c r="F872" t="inlineStr">
        <is>
          <t>Online</t>
        </is>
      </c>
      <c r="G872" t="inlineStr">
        <is>
          <t>Office Supplies</t>
        </is>
      </c>
      <c r="H872" t="inlineStr">
        <is>
          <t>Paper Ream</t>
        </is>
      </c>
      <c r="I872" t="n">
        <v>2</v>
      </c>
      <c r="J872" s="12" t="n">
        <v>452.73</v>
      </c>
      <c r="K872" s="13" t="n">
        <v>0.05</v>
      </c>
      <c r="L872" s="12" t="n">
        <v>860.1900000000001</v>
      </c>
      <c r="M872" s="12" t="n">
        <v>697.2</v>
      </c>
      <c r="N872" s="12" t="n">
        <v>162.99</v>
      </c>
      <c r="O872" t="inlineStr">
        <is>
          <t>Credit Card</t>
        </is>
      </c>
      <c r="P872" t="inlineStr">
        <is>
          <t>Diya Patel</t>
        </is>
      </c>
    </row>
    <row r="873">
      <c r="A873" t="inlineStr">
        <is>
          <t>ORD-2512-0872</t>
        </is>
      </c>
      <c r="B873" s="11" t="n">
        <v>46014</v>
      </c>
      <c r="C873" t="inlineStr">
        <is>
          <t>West</t>
        </is>
      </c>
      <c r="D873" t="inlineStr">
        <is>
          <t>Surat</t>
        </is>
      </c>
      <c r="E873" t="inlineStr">
        <is>
          <t>Consumer</t>
        </is>
      </c>
      <c r="F873" t="inlineStr">
        <is>
          <t>Partner</t>
        </is>
      </c>
      <c r="G873" t="inlineStr">
        <is>
          <t>Office Supplies</t>
        </is>
      </c>
      <c r="H873" t="inlineStr">
        <is>
          <t>Pens Box</t>
        </is>
      </c>
      <c r="I873" t="n">
        <v>2</v>
      </c>
      <c r="J873" s="12" t="n">
        <v>170.68</v>
      </c>
      <c r="K873" s="13" t="n">
        <v>0.05</v>
      </c>
      <c r="L873" s="12" t="n">
        <v>324.29</v>
      </c>
      <c r="M873" s="12" t="n">
        <v>221.88</v>
      </c>
      <c r="N873" s="12" t="n">
        <v>102.41</v>
      </c>
      <c r="O873" t="inlineStr">
        <is>
          <t>UPI</t>
        </is>
      </c>
      <c r="P873" t="inlineStr">
        <is>
          <t>Meera Joshi</t>
        </is>
      </c>
    </row>
    <row r="874">
      <c r="A874" t="inlineStr">
        <is>
          <t>ORD-2509-0873</t>
        </is>
      </c>
      <c r="B874" s="11" t="n">
        <v>45907</v>
      </c>
      <c r="C874" t="inlineStr">
        <is>
          <t>South</t>
        </is>
      </c>
      <c r="D874" t="inlineStr">
        <is>
          <t>Bengaluru</t>
        </is>
      </c>
      <c r="E874" t="inlineStr">
        <is>
          <t>Small Business</t>
        </is>
      </c>
      <c r="F874" t="inlineStr">
        <is>
          <t>Online</t>
        </is>
      </c>
      <c r="G874" t="inlineStr">
        <is>
          <t>Furniture</t>
        </is>
      </c>
      <c r="H874" t="inlineStr">
        <is>
          <t>Bookshelf</t>
        </is>
      </c>
      <c r="I874" t="n">
        <v>3</v>
      </c>
      <c r="J874" s="12" t="n">
        <v>4951.18</v>
      </c>
      <c r="K874" s="13" t="n">
        <v>0</v>
      </c>
      <c r="L874" s="12" t="n">
        <v>14853.54</v>
      </c>
      <c r="M874" s="12" t="n">
        <v>10991.62</v>
      </c>
      <c r="N874" s="12" t="n">
        <v>3861.92</v>
      </c>
      <c r="O874" t="inlineStr">
        <is>
          <t>UPI</t>
        </is>
      </c>
      <c r="P874" t="inlineStr">
        <is>
          <t>Rohan Verma</t>
        </is>
      </c>
    </row>
    <row r="875">
      <c r="A875" t="inlineStr">
        <is>
          <t>ORD-2507-0874</t>
        </is>
      </c>
      <c r="B875" s="11" t="n">
        <v>45867</v>
      </c>
      <c r="C875" t="inlineStr">
        <is>
          <t>West</t>
        </is>
      </c>
      <c r="D875" t="inlineStr">
        <is>
          <t>Mumbai</t>
        </is>
      </c>
      <c r="E875" t="inlineStr">
        <is>
          <t>Consumer</t>
        </is>
      </c>
      <c r="F875" t="inlineStr">
        <is>
          <t>Retail Store</t>
        </is>
      </c>
      <c r="G875" t="inlineStr">
        <is>
          <t>Office Supplies</t>
        </is>
      </c>
      <c r="H875" t="inlineStr">
        <is>
          <t>Stapler</t>
        </is>
      </c>
      <c r="I875" t="n">
        <v>3</v>
      </c>
      <c r="J875" s="12" t="n">
        <v>242.77</v>
      </c>
      <c r="K875" s="13" t="n">
        <v>0</v>
      </c>
      <c r="L875" s="12" t="n">
        <v>728.3099999999999</v>
      </c>
      <c r="M875" s="12" t="n">
        <v>509.82</v>
      </c>
      <c r="N875" s="12" t="n">
        <v>218.49</v>
      </c>
      <c r="O875" t="inlineStr">
        <is>
          <t>Credit Card</t>
        </is>
      </c>
      <c r="P875" t="inlineStr">
        <is>
          <t>Sara Khan</t>
        </is>
      </c>
    </row>
    <row r="876">
      <c r="A876" t="inlineStr">
        <is>
          <t>ORD-2501-0875</t>
        </is>
      </c>
      <c r="B876" s="11" t="n">
        <v>45673</v>
      </c>
      <c r="C876" t="inlineStr">
        <is>
          <t>Central</t>
        </is>
      </c>
      <c r="D876" t="inlineStr">
        <is>
          <t>Indore</t>
        </is>
      </c>
      <c r="E876" t="inlineStr">
        <is>
          <t>Corporate</t>
        </is>
      </c>
      <c r="F876" t="inlineStr">
        <is>
          <t>Online</t>
        </is>
      </c>
      <c r="G876" t="inlineStr">
        <is>
          <t>Furniture</t>
        </is>
      </c>
      <c r="H876" t="inlineStr">
        <is>
          <t>Bookshelf</t>
        </is>
      </c>
      <c r="I876" t="n">
        <v>3</v>
      </c>
      <c r="J876" s="12" t="n">
        <v>4791.91</v>
      </c>
      <c r="K876" s="13" t="n">
        <v>0.1</v>
      </c>
      <c r="L876" s="12" t="n">
        <v>12938.16</v>
      </c>
      <c r="M876" s="12" t="n">
        <v>10638.04</v>
      </c>
      <c r="N876" s="12" t="n">
        <v>2300.12</v>
      </c>
      <c r="O876" t="inlineStr">
        <is>
          <t>Cash</t>
        </is>
      </c>
      <c r="P876" t="inlineStr">
        <is>
          <t>Aarav Sharma</t>
        </is>
      </c>
    </row>
    <row r="877">
      <c r="A877" t="inlineStr">
        <is>
          <t>ORD-2502-0876</t>
        </is>
      </c>
      <c r="B877" s="11" t="n">
        <v>45707</v>
      </c>
      <c r="C877" t="inlineStr">
        <is>
          <t>South</t>
        </is>
      </c>
      <c r="D877" t="inlineStr">
        <is>
          <t>Bengaluru</t>
        </is>
      </c>
      <c r="E877" t="inlineStr">
        <is>
          <t>Corporate</t>
        </is>
      </c>
      <c r="F877" t="inlineStr">
        <is>
          <t>Retail Store</t>
        </is>
      </c>
      <c r="G877" t="inlineStr">
        <is>
          <t>Furniture</t>
        </is>
      </c>
      <c r="H877" t="inlineStr">
        <is>
          <t>Desk</t>
        </is>
      </c>
      <c r="I877" t="n">
        <v>3</v>
      </c>
      <c r="J877" s="12" t="n">
        <v>11980.91</v>
      </c>
      <c r="K877" s="13" t="n">
        <v>0.2</v>
      </c>
      <c r="L877" s="12" t="n">
        <v>28754.18</v>
      </c>
      <c r="M877" s="12" t="n">
        <v>27316.47</v>
      </c>
      <c r="N877" s="12" t="n">
        <v>1437.71</v>
      </c>
      <c r="O877" t="inlineStr">
        <is>
          <t>Net Banking</t>
        </is>
      </c>
      <c r="P877" t="inlineStr">
        <is>
          <t>Vivaan Gupta</t>
        </is>
      </c>
    </row>
    <row r="878">
      <c r="A878" t="inlineStr">
        <is>
          <t>ORD-2506-0877</t>
        </is>
      </c>
      <c r="B878" s="11" t="n">
        <v>45830</v>
      </c>
      <c r="C878" t="inlineStr">
        <is>
          <t>East</t>
        </is>
      </c>
      <c r="D878" t="inlineStr">
        <is>
          <t>Bhubaneswar</t>
        </is>
      </c>
      <c r="E878" t="inlineStr">
        <is>
          <t>Corporate</t>
        </is>
      </c>
      <c r="F878" t="inlineStr">
        <is>
          <t>Partner</t>
        </is>
      </c>
      <c r="G878" t="inlineStr">
        <is>
          <t>Furniture</t>
        </is>
      </c>
      <c r="H878" t="inlineStr">
        <is>
          <t>Office Chair</t>
        </is>
      </c>
      <c r="I878" t="n">
        <v>5</v>
      </c>
      <c r="J878" s="12" t="n">
        <v>6979.61</v>
      </c>
      <c r="K878" s="13" t="n">
        <v>0.2</v>
      </c>
      <c r="L878" s="12" t="n">
        <v>27918.44</v>
      </c>
      <c r="M878" s="12" t="n">
        <v>25126.6</v>
      </c>
      <c r="N878" s="12" t="n">
        <v>2791.84</v>
      </c>
      <c r="O878" t="inlineStr">
        <is>
          <t>Credit Card</t>
        </is>
      </c>
      <c r="P878" t="inlineStr">
        <is>
          <t>Sara Khan</t>
        </is>
      </c>
    </row>
    <row r="879">
      <c r="A879" t="inlineStr">
        <is>
          <t>ORD-2506-0878</t>
        </is>
      </c>
      <c r="B879" s="11" t="n">
        <v>45827</v>
      </c>
      <c r="C879" t="inlineStr">
        <is>
          <t>North</t>
        </is>
      </c>
      <c r="D879" t="inlineStr">
        <is>
          <t>Delhi</t>
        </is>
      </c>
      <c r="E879" t="inlineStr">
        <is>
          <t>Consumer</t>
        </is>
      </c>
      <c r="F879" t="inlineStr">
        <is>
          <t>Online</t>
        </is>
      </c>
      <c r="G879" t="inlineStr">
        <is>
          <t>Furniture</t>
        </is>
      </c>
      <c r="H879" t="inlineStr">
        <is>
          <t>Bookshelf</t>
        </is>
      </c>
      <c r="I879" t="n">
        <v>6</v>
      </c>
      <c r="J879" s="12" t="n">
        <v>5479.07</v>
      </c>
      <c r="K879" s="13" t="n">
        <v>0.05</v>
      </c>
      <c r="L879" s="12" t="n">
        <v>31230.7</v>
      </c>
      <c r="M879" s="12" t="n">
        <v>24327.07</v>
      </c>
      <c r="N879" s="12" t="n">
        <v>6903.63</v>
      </c>
      <c r="O879" t="inlineStr">
        <is>
          <t>Cash</t>
        </is>
      </c>
      <c r="P879" t="inlineStr">
        <is>
          <t>Diya Patel</t>
        </is>
      </c>
    </row>
    <row r="880">
      <c r="A880" t="inlineStr">
        <is>
          <t>ORD-2509-0879</t>
        </is>
      </c>
      <c r="B880" s="11" t="n">
        <v>45929</v>
      </c>
      <c r="C880" t="inlineStr">
        <is>
          <t>East</t>
        </is>
      </c>
      <c r="D880" t="inlineStr">
        <is>
          <t>Patna</t>
        </is>
      </c>
      <c r="E880" t="inlineStr">
        <is>
          <t>Small Business</t>
        </is>
      </c>
      <c r="F880" t="inlineStr">
        <is>
          <t>Retail Store</t>
        </is>
      </c>
      <c r="G880" t="inlineStr">
        <is>
          <t>Furniture</t>
        </is>
      </c>
      <c r="H880" t="inlineStr">
        <is>
          <t>Office Chair</t>
        </is>
      </c>
      <c r="I880" t="n">
        <v>3</v>
      </c>
      <c r="J880" s="12" t="n">
        <v>7202.4</v>
      </c>
      <c r="K880" s="13" t="n">
        <v>0.1</v>
      </c>
      <c r="L880" s="12" t="n">
        <v>19446.48</v>
      </c>
      <c r="M880" s="12" t="n">
        <v>15557.18</v>
      </c>
      <c r="N880" s="12" t="n">
        <v>3889.3</v>
      </c>
      <c r="O880" t="inlineStr">
        <is>
          <t>UPI</t>
        </is>
      </c>
      <c r="P880" t="inlineStr">
        <is>
          <t>Aarav Sharma</t>
        </is>
      </c>
    </row>
    <row r="881">
      <c r="A881" t="inlineStr">
        <is>
          <t>ORD-2511-0880</t>
        </is>
      </c>
      <c r="B881" s="11" t="n">
        <v>45984</v>
      </c>
      <c r="C881" t="inlineStr">
        <is>
          <t>East</t>
        </is>
      </c>
      <c r="D881" t="inlineStr">
        <is>
          <t>Kolkata</t>
        </is>
      </c>
      <c r="E881" t="inlineStr">
        <is>
          <t>Corporate</t>
        </is>
      </c>
      <c r="F881" t="inlineStr">
        <is>
          <t>Partner</t>
        </is>
      </c>
      <c r="G881" t="inlineStr">
        <is>
          <t>Office Supplies</t>
        </is>
      </c>
      <c r="H881" t="inlineStr">
        <is>
          <t>Pens Box</t>
        </is>
      </c>
      <c r="I881" t="n">
        <v>2</v>
      </c>
      <c r="J881" s="12" t="n">
        <v>188.86</v>
      </c>
      <c r="K881" s="13" t="n">
        <v>0</v>
      </c>
      <c r="L881" s="12" t="n">
        <v>377.72</v>
      </c>
      <c r="M881" s="12" t="n">
        <v>245.52</v>
      </c>
      <c r="N881" s="12" t="n">
        <v>132.2</v>
      </c>
      <c r="O881" t="inlineStr">
        <is>
          <t>Debit Card</t>
        </is>
      </c>
      <c r="P881" t="inlineStr">
        <is>
          <t>Meera Joshi</t>
        </is>
      </c>
    </row>
    <row r="882">
      <c r="A882" t="inlineStr">
        <is>
          <t>ORD-2511-0881</t>
        </is>
      </c>
      <c r="B882" s="11" t="n">
        <v>45968</v>
      </c>
      <c r="C882" t="inlineStr">
        <is>
          <t>West</t>
        </is>
      </c>
      <c r="D882" t="inlineStr">
        <is>
          <t>Surat</t>
        </is>
      </c>
      <c r="E882" t="inlineStr">
        <is>
          <t>Corporate</t>
        </is>
      </c>
      <c r="F882" t="inlineStr">
        <is>
          <t>Partner</t>
        </is>
      </c>
      <c r="G882" t="inlineStr">
        <is>
          <t>Office Supplies</t>
        </is>
      </c>
      <c r="H882" t="inlineStr">
        <is>
          <t>Paper Ream</t>
        </is>
      </c>
      <c r="I882" t="n">
        <v>3</v>
      </c>
      <c r="J882" s="12" t="n">
        <v>415.16</v>
      </c>
      <c r="K882" s="13" t="n">
        <v>0</v>
      </c>
      <c r="L882" s="12" t="n">
        <v>1245.48</v>
      </c>
      <c r="M882" s="12" t="n">
        <v>959.02</v>
      </c>
      <c r="N882" s="12" t="n">
        <v>286.46</v>
      </c>
      <c r="O882" t="inlineStr">
        <is>
          <t>Credit Card</t>
        </is>
      </c>
      <c r="P882" t="inlineStr">
        <is>
          <t>Vivaan Gupta</t>
        </is>
      </c>
    </row>
    <row r="883">
      <c r="A883" t="inlineStr">
        <is>
          <t>ORD-2505-0882</t>
        </is>
      </c>
      <c r="B883" s="11" t="n">
        <v>45808</v>
      </c>
      <c r="C883" t="inlineStr">
        <is>
          <t>Central</t>
        </is>
      </c>
      <c r="D883" t="inlineStr">
        <is>
          <t>Indore</t>
        </is>
      </c>
      <c r="E883" t="inlineStr">
        <is>
          <t>Small Business</t>
        </is>
      </c>
      <c r="F883" t="inlineStr">
        <is>
          <t>Partner</t>
        </is>
      </c>
      <c r="G883" t="inlineStr">
        <is>
          <t>Office Supplies</t>
        </is>
      </c>
      <c r="H883" t="inlineStr">
        <is>
          <t>Paper Ream</t>
        </is>
      </c>
      <c r="I883" t="n">
        <v>1</v>
      </c>
      <c r="J883" s="12" t="n">
        <v>424.83</v>
      </c>
      <c r="K883" s="13" t="n">
        <v>0.1</v>
      </c>
      <c r="L883" s="12" t="n">
        <v>382.35</v>
      </c>
      <c r="M883" s="12" t="n">
        <v>327.12</v>
      </c>
      <c r="N883" s="12" t="n">
        <v>55.23</v>
      </c>
      <c r="O883" t="inlineStr">
        <is>
          <t>Credit Card</t>
        </is>
      </c>
      <c r="P883" t="inlineStr">
        <is>
          <t>Kabir Singh</t>
        </is>
      </c>
    </row>
    <row r="884">
      <c r="A884" t="inlineStr">
        <is>
          <t>ORD-2509-0883</t>
        </is>
      </c>
      <c r="B884" s="11" t="n">
        <v>45912</v>
      </c>
      <c r="C884" t="inlineStr">
        <is>
          <t>North</t>
        </is>
      </c>
      <c r="D884" t="inlineStr">
        <is>
          <t>Chandigarh</t>
        </is>
      </c>
      <c r="E884" t="inlineStr">
        <is>
          <t>Consumer</t>
        </is>
      </c>
      <c r="F884" t="inlineStr">
        <is>
          <t>Retail Store</t>
        </is>
      </c>
      <c r="G884" t="inlineStr">
        <is>
          <t>Office Supplies</t>
        </is>
      </c>
      <c r="H884" t="inlineStr">
        <is>
          <t>Stapler</t>
        </is>
      </c>
      <c r="I884" t="n">
        <v>4</v>
      </c>
      <c r="J884" s="12" t="n">
        <v>275.59</v>
      </c>
      <c r="K884" s="13" t="n">
        <v>0.1</v>
      </c>
      <c r="L884" s="12" t="n">
        <v>992.12</v>
      </c>
      <c r="M884" s="12" t="n">
        <v>771.65</v>
      </c>
      <c r="N884" s="12" t="n">
        <v>220.47</v>
      </c>
      <c r="O884" t="inlineStr">
        <is>
          <t>Credit Card</t>
        </is>
      </c>
      <c r="P884" t="inlineStr">
        <is>
          <t>Anaya Rao</t>
        </is>
      </c>
    </row>
    <row r="885">
      <c r="A885" t="inlineStr">
        <is>
          <t>ORD-2512-0884</t>
        </is>
      </c>
      <c r="B885" s="11" t="n">
        <v>45997</v>
      </c>
      <c r="C885" t="inlineStr">
        <is>
          <t>Central</t>
        </is>
      </c>
      <c r="D885" t="inlineStr">
        <is>
          <t>Indore</t>
        </is>
      </c>
      <c r="E885" t="inlineStr">
        <is>
          <t>Consumer</t>
        </is>
      </c>
      <c r="F885" t="inlineStr">
        <is>
          <t>Online</t>
        </is>
      </c>
      <c r="G885" t="inlineStr">
        <is>
          <t>Technology</t>
        </is>
      </c>
      <c r="H885" t="inlineStr">
        <is>
          <t>Printer</t>
        </is>
      </c>
      <c r="I885" t="n">
        <v>2</v>
      </c>
      <c r="J885" s="12" t="n">
        <v>9742.809999999999</v>
      </c>
      <c r="K885" s="13" t="n">
        <v>0.1</v>
      </c>
      <c r="L885" s="12" t="n">
        <v>17537.06</v>
      </c>
      <c r="M885" s="12" t="n">
        <v>16367.92</v>
      </c>
      <c r="N885" s="12" t="n">
        <v>1169.14</v>
      </c>
      <c r="O885" t="inlineStr">
        <is>
          <t>Debit Card</t>
        </is>
      </c>
      <c r="P885" t="inlineStr">
        <is>
          <t>Aarav Sharma</t>
        </is>
      </c>
    </row>
    <row r="886">
      <c r="A886" t="inlineStr">
        <is>
          <t>ORD-2503-0885</t>
        </is>
      </c>
      <c r="B886" s="11" t="n">
        <v>45740</v>
      </c>
      <c r="C886" t="inlineStr">
        <is>
          <t>East</t>
        </is>
      </c>
      <c r="D886" t="inlineStr">
        <is>
          <t>Guwahati</t>
        </is>
      </c>
      <c r="E886" t="inlineStr">
        <is>
          <t>Small Business</t>
        </is>
      </c>
      <c r="F886" t="inlineStr">
        <is>
          <t>Online</t>
        </is>
      </c>
      <c r="G886" t="inlineStr">
        <is>
          <t>Office Supplies</t>
        </is>
      </c>
      <c r="H886" t="inlineStr">
        <is>
          <t>File Folder</t>
        </is>
      </c>
      <c r="I886" t="n">
        <v>2</v>
      </c>
      <c r="J886" s="12" t="n">
        <v>92.39</v>
      </c>
      <c r="K886" s="13" t="n">
        <v>0.1</v>
      </c>
      <c r="L886" s="12" t="n">
        <v>166.3</v>
      </c>
      <c r="M886" s="12" t="n">
        <v>114.56</v>
      </c>
      <c r="N886" s="12" t="n">
        <v>51.74</v>
      </c>
      <c r="O886" t="inlineStr">
        <is>
          <t>UPI</t>
        </is>
      </c>
      <c r="P886" t="inlineStr">
        <is>
          <t>Anaya Rao</t>
        </is>
      </c>
    </row>
    <row r="887">
      <c r="A887" t="inlineStr">
        <is>
          <t>ORD-2502-0886</t>
        </is>
      </c>
      <c r="B887" s="11" t="n">
        <v>45704</v>
      </c>
      <c r="C887" t="inlineStr">
        <is>
          <t>East</t>
        </is>
      </c>
      <c r="D887" t="inlineStr">
        <is>
          <t>Patna</t>
        </is>
      </c>
      <c r="E887" t="inlineStr">
        <is>
          <t>Corporate</t>
        </is>
      </c>
      <c r="F887" t="inlineStr">
        <is>
          <t>Partner</t>
        </is>
      </c>
      <c r="G887" t="inlineStr">
        <is>
          <t>Office Supplies</t>
        </is>
      </c>
      <c r="H887" t="inlineStr">
        <is>
          <t>Notebook Pack</t>
        </is>
      </c>
      <c r="I887" t="n">
        <v>4</v>
      </c>
      <c r="J887" s="12" t="n">
        <v>358.06</v>
      </c>
      <c r="K887" s="13" t="n">
        <v>0.1</v>
      </c>
      <c r="L887" s="12" t="n">
        <v>1289.02</v>
      </c>
      <c r="M887" s="12" t="n">
        <v>973.92</v>
      </c>
      <c r="N887" s="12" t="n">
        <v>315.1</v>
      </c>
      <c r="O887" t="inlineStr">
        <is>
          <t>Debit Card</t>
        </is>
      </c>
      <c r="P887" t="inlineStr">
        <is>
          <t>Vivaan Gupta</t>
        </is>
      </c>
    </row>
    <row r="888">
      <c r="A888" t="inlineStr">
        <is>
          <t>ORD-2504-0887</t>
        </is>
      </c>
      <c r="B888" s="11" t="n">
        <v>45777</v>
      </c>
      <c r="C888" t="inlineStr">
        <is>
          <t>South</t>
        </is>
      </c>
      <c r="D888" t="inlineStr">
        <is>
          <t>Hyderabad</t>
        </is>
      </c>
      <c r="E888" t="inlineStr">
        <is>
          <t>Small Business</t>
        </is>
      </c>
      <c r="F888" t="inlineStr">
        <is>
          <t>Online</t>
        </is>
      </c>
      <c r="G888" t="inlineStr">
        <is>
          <t>Technology</t>
        </is>
      </c>
      <c r="H888" t="inlineStr">
        <is>
          <t>Monitor</t>
        </is>
      </c>
      <c r="I888" t="n">
        <v>2</v>
      </c>
      <c r="J888" s="12" t="n">
        <v>12180.48</v>
      </c>
      <c r="K888" s="13" t="n">
        <v>0</v>
      </c>
      <c r="L888" s="12" t="n">
        <v>24360.96</v>
      </c>
      <c r="M888" s="12" t="n">
        <v>19975.99</v>
      </c>
      <c r="N888" s="12" t="n">
        <v>4384.97</v>
      </c>
      <c r="O888" t="inlineStr">
        <is>
          <t>Credit Card</t>
        </is>
      </c>
      <c r="P888" t="inlineStr">
        <is>
          <t>Sara Khan</t>
        </is>
      </c>
    </row>
    <row r="889">
      <c r="A889" t="inlineStr">
        <is>
          <t>ORD-2503-0888</t>
        </is>
      </c>
      <c r="B889" s="11" t="n">
        <v>45723</v>
      </c>
      <c r="C889" t="inlineStr">
        <is>
          <t>East</t>
        </is>
      </c>
      <c r="D889" t="inlineStr">
        <is>
          <t>Guwahati</t>
        </is>
      </c>
      <c r="E889" t="inlineStr">
        <is>
          <t>Consumer</t>
        </is>
      </c>
      <c r="F889" t="inlineStr">
        <is>
          <t>Retail Store</t>
        </is>
      </c>
      <c r="G889" t="inlineStr">
        <is>
          <t>Office Supplies</t>
        </is>
      </c>
      <c r="H889" t="inlineStr">
        <is>
          <t>Notebook Pack</t>
        </is>
      </c>
      <c r="I889" t="n">
        <v>4</v>
      </c>
      <c r="J889" s="12" t="n">
        <v>355.04</v>
      </c>
      <c r="K889" s="13" t="n">
        <v>0.05</v>
      </c>
      <c r="L889" s="12" t="n">
        <v>1349.15</v>
      </c>
      <c r="M889" s="12" t="n">
        <v>965.71</v>
      </c>
      <c r="N889" s="12" t="n">
        <v>383.44</v>
      </c>
      <c r="O889" t="inlineStr">
        <is>
          <t>Debit Card</t>
        </is>
      </c>
      <c r="P889" t="inlineStr">
        <is>
          <t>Sara Khan</t>
        </is>
      </c>
    </row>
    <row r="890">
      <c r="A890" t="inlineStr">
        <is>
          <t>ORD-2507-0889</t>
        </is>
      </c>
      <c r="B890" s="11" t="n">
        <v>45844</v>
      </c>
      <c r="C890" t="inlineStr">
        <is>
          <t>South</t>
        </is>
      </c>
      <c r="D890" t="inlineStr">
        <is>
          <t>Chennai</t>
        </is>
      </c>
      <c r="E890" t="inlineStr">
        <is>
          <t>Consumer</t>
        </is>
      </c>
      <c r="F890" t="inlineStr">
        <is>
          <t>Retail Store</t>
        </is>
      </c>
      <c r="G890" t="inlineStr">
        <is>
          <t>Technology</t>
        </is>
      </c>
      <c r="H890" t="inlineStr">
        <is>
          <t>Monitor</t>
        </is>
      </c>
      <c r="I890" t="n">
        <v>2</v>
      </c>
      <c r="J890" s="12" t="n">
        <v>12421.21</v>
      </c>
      <c r="K890" s="13" t="n">
        <v>0.1</v>
      </c>
      <c r="L890" s="12" t="n">
        <v>22358.18</v>
      </c>
      <c r="M890" s="12" t="n">
        <v>20370.78</v>
      </c>
      <c r="N890" s="12" t="n">
        <v>1987.4</v>
      </c>
      <c r="O890" t="inlineStr">
        <is>
          <t>UPI</t>
        </is>
      </c>
      <c r="P890" t="inlineStr">
        <is>
          <t>Anaya Rao</t>
        </is>
      </c>
    </row>
    <row r="891">
      <c r="A891" t="inlineStr">
        <is>
          <t>ORD-2512-0890</t>
        </is>
      </c>
      <c r="B891" s="11" t="n">
        <v>46006</v>
      </c>
      <c r="C891" t="inlineStr">
        <is>
          <t>West</t>
        </is>
      </c>
      <c r="D891" t="inlineStr">
        <is>
          <t>Pune</t>
        </is>
      </c>
      <c r="E891" t="inlineStr">
        <is>
          <t>Small Business</t>
        </is>
      </c>
      <c r="F891" t="inlineStr">
        <is>
          <t>Online</t>
        </is>
      </c>
      <c r="G891" t="inlineStr">
        <is>
          <t>Office Supplies</t>
        </is>
      </c>
      <c r="H891" t="inlineStr">
        <is>
          <t>Notebook Pack</t>
        </is>
      </c>
      <c r="I891" t="n">
        <v>2</v>
      </c>
      <c r="J891" s="12" t="n">
        <v>369.55</v>
      </c>
      <c r="K891" s="13" t="n">
        <v>0.1</v>
      </c>
      <c r="L891" s="12" t="n">
        <v>665.1900000000001</v>
      </c>
      <c r="M891" s="12" t="n">
        <v>502.59</v>
      </c>
      <c r="N891" s="12" t="n">
        <v>162.6</v>
      </c>
      <c r="O891" t="inlineStr">
        <is>
          <t>Cash</t>
        </is>
      </c>
      <c r="P891" t="inlineStr">
        <is>
          <t>Sara Khan</t>
        </is>
      </c>
    </row>
    <row r="892">
      <c r="A892" t="inlineStr">
        <is>
          <t>ORD-2506-0891</t>
        </is>
      </c>
      <c r="B892" s="11" t="n">
        <v>45816</v>
      </c>
      <c r="C892" t="inlineStr">
        <is>
          <t>Central</t>
        </is>
      </c>
      <c r="D892" t="inlineStr">
        <is>
          <t>Bhopal</t>
        </is>
      </c>
      <c r="E892" t="inlineStr">
        <is>
          <t>Consumer</t>
        </is>
      </c>
      <c r="F892" t="inlineStr">
        <is>
          <t>Retail Store</t>
        </is>
      </c>
      <c r="G892" t="inlineStr">
        <is>
          <t>Technology</t>
        </is>
      </c>
      <c r="H892" t="inlineStr">
        <is>
          <t>Headphones</t>
        </is>
      </c>
      <c r="I892" t="n">
        <v>10</v>
      </c>
      <c r="J892" s="12" t="n">
        <v>2192.36</v>
      </c>
      <c r="K892" s="13" t="n">
        <v>0.1</v>
      </c>
      <c r="L892" s="12" t="n">
        <v>19731.24</v>
      </c>
      <c r="M892" s="12" t="n">
        <v>17100.41</v>
      </c>
      <c r="N892" s="12" t="n">
        <v>2630.83</v>
      </c>
      <c r="O892" t="inlineStr">
        <is>
          <t>Net Banking</t>
        </is>
      </c>
      <c r="P892" t="inlineStr">
        <is>
          <t>Vivaan Gupta</t>
        </is>
      </c>
    </row>
    <row r="893">
      <c r="A893" t="inlineStr">
        <is>
          <t>ORD-2501-0892</t>
        </is>
      </c>
      <c r="B893" s="11" t="n">
        <v>45688</v>
      </c>
      <c r="C893" t="inlineStr">
        <is>
          <t>East</t>
        </is>
      </c>
      <c r="D893" t="inlineStr">
        <is>
          <t>Patna</t>
        </is>
      </c>
      <c r="E893" t="inlineStr">
        <is>
          <t>Consumer</t>
        </is>
      </c>
      <c r="F893" t="inlineStr">
        <is>
          <t>Partner</t>
        </is>
      </c>
      <c r="G893" t="inlineStr">
        <is>
          <t>Office Supplies</t>
        </is>
      </c>
      <c r="H893" t="inlineStr">
        <is>
          <t>Stapler</t>
        </is>
      </c>
      <c r="I893" t="n">
        <v>4</v>
      </c>
      <c r="J893" s="12" t="n">
        <v>278.07</v>
      </c>
      <c r="K893" s="13" t="n">
        <v>0.15</v>
      </c>
      <c r="L893" s="12" t="n">
        <v>945.4400000000001</v>
      </c>
      <c r="M893" s="12" t="n">
        <v>778.6</v>
      </c>
      <c r="N893" s="12" t="n">
        <v>166.84</v>
      </c>
      <c r="O893" t="inlineStr">
        <is>
          <t>Credit Card</t>
        </is>
      </c>
      <c r="P893" t="inlineStr">
        <is>
          <t>Kabir Singh</t>
        </is>
      </c>
    </row>
    <row r="894">
      <c r="A894" t="inlineStr">
        <is>
          <t>ORD-2509-0893</t>
        </is>
      </c>
      <c r="B894" s="11" t="n">
        <v>45907</v>
      </c>
      <c r="C894" t="inlineStr">
        <is>
          <t>West</t>
        </is>
      </c>
      <c r="D894" t="inlineStr">
        <is>
          <t>Ahmedabad</t>
        </is>
      </c>
      <c r="E894" t="inlineStr">
        <is>
          <t>Small Business</t>
        </is>
      </c>
      <c r="F894" t="inlineStr">
        <is>
          <t>Retail Store</t>
        </is>
      </c>
      <c r="G894" t="inlineStr">
        <is>
          <t>Office Supplies</t>
        </is>
      </c>
      <c r="H894" t="inlineStr">
        <is>
          <t>Stapler</t>
        </is>
      </c>
      <c r="I894" t="n">
        <v>4</v>
      </c>
      <c r="J894" s="12" t="n">
        <v>280.43</v>
      </c>
      <c r="K894" s="13" t="n">
        <v>0.15</v>
      </c>
      <c r="L894" s="12" t="n">
        <v>953.46</v>
      </c>
      <c r="M894" s="12" t="n">
        <v>785.2</v>
      </c>
      <c r="N894" s="12" t="n">
        <v>168.26</v>
      </c>
      <c r="O894" t="inlineStr">
        <is>
          <t>Net Banking</t>
        </is>
      </c>
      <c r="P894" t="inlineStr">
        <is>
          <t>Vivaan Gupta</t>
        </is>
      </c>
    </row>
    <row r="895">
      <c r="A895" t="inlineStr">
        <is>
          <t>ORD-2512-0894</t>
        </is>
      </c>
      <c r="B895" s="11" t="n">
        <v>46005</v>
      </c>
      <c r="C895" t="inlineStr">
        <is>
          <t>West</t>
        </is>
      </c>
      <c r="D895" t="inlineStr">
        <is>
          <t>Ahmedabad</t>
        </is>
      </c>
      <c r="E895" t="inlineStr">
        <is>
          <t>Corporate</t>
        </is>
      </c>
      <c r="F895" t="inlineStr">
        <is>
          <t>Partner</t>
        </is>
      </c>
      <c r="G895" t="inlineStr">
        <is>
          <t>Office Supplies</t>
        </is>
      </c>
      <c r="H895" t="inlineStr">
        <is>
          <t>File Folder</t>
        </is>
      </c>
      <c r="I895" t="n">
        <v>2</v>
      </c>
      <c r="J895" s="12" t="n">
        <v>93.27</v>
      </c>
      <c r="K895" s="13" t="n">
        <v>0</v>
      </c>
      <c r="L895" s="12" t="n">
        <v>186.54</v>
      </c>
      <c r="M895" s="12" t="n">
        <v>115.65</v>
      </c>
      <c r="N895" s="12" t="n">
        <v>70.89</v>
      </c>
      <c r="O895" t="inlineStr">
        <is>
          <t>UPI</t>
        </is>
      </c>
      <c r="P895" t="inlineStr">
        <is>
          <t>Vivaan Gupta</t>
        </is>
      </c>
    </row>
    <row r="896">
      <c r="A896" t="inlineStr">
        <is>
          <t>ORD-2502-0895</t>
        </is>
      </c>
      <c r="B896" s="11" t="n">
        <v>45707</v>
      </c>
      <c r="C896" t="inlineStr">
        <is>
          <t>South</t>
        </is>
      </c>
      <c r="D896" t="inlineStr">
        <is>
          <t>Hyderabad</t>
        </is>
      </c>
      <c r="E896" t="inlineStr">
        <is>
          <t>Small Business</t>
        </is>
      </c>
      <c r="F896" t="inlineStr">
        <is>
          <t>Retail Store</t>
        </is>
      </c>
      <c r="G896" t="inlineStr">
        <is>
          <t>Office Supplies</t>
        </is>
      </c>
      <c r="H896" t="inlineStr">
        <is>
          <t>File Folder</t>
        </is>
      </c>
      <c r="I896" t="n">
        <v>5</v>
      </c>
      <c r="J896" s="12" t="n">
        <v>83.58</v>
      </c>
      <c r="K896" s="13" t="n">
        <v>0.15</v>
      </c>
      <c r="L896" s="12" t="n">
        <v>355.21</v>
      </c>
      <c r="M896" s="12" t="n">
        <v>259.1</v>
      </c>
      <c r="N896" s="12" t="n">
        <v>96.11</v>
      </c>
      <c r="O896" t="inlineStr">
        <is>
          <t>Debit Card</t>
        </is>
      </c>
      <c r="P896" t="inlineStr">
        <is>
          <t>Kabir Singh</t>
        </is>
      </c>
    </row>
    <row r="897">
      <c r="A897" t="inlineStr">
        <is>
          <t>ORD-2510-0896</t>
        </is>
      </c>
      <c r="B897" s="11" t="n">
        <v>45953</v>
      </c>
      <c r="C897" t="inlineStr">
        <is>
          <t>South</t>
        </is>
      </c>
      <c r="D897" t="inlineStr">
        <is>
          <t>Kochi</t>
        </is>
      </c>
      <c r="E897" t="inlineStr">
        <is>
          <t>Small Business</t>
        </is>
      </c>
      <c r="F897" t="inlineStr">
        <is>
          <t>Online</t>
        </is>
      </c>
      <c r="G897" t="inlineStr">
        <is>
          <t>Office Supplies</t>
        </is>
      </c>
      <c r="H897" t="inlineStr">
        <is>
          <t>Paper Ream</t>
        </is>
      </c>
      <c r="I897" t="n">
        <v>3</v>
      </c>
      <c r="J897" s="12" t="n">
        <v>400.5</v>
      </c>
      <c r="K897" s="13" t="n">
        <v>0.15</v>
      </c>
      <c r="L897" s="12" t="n">
        <v>1021.27</v>
      </c>
      <c r="M897" s="12" t="n">
        <v>925.15</v>
      </c>
      <c r="N897" s="12" t="n">
        <v>96.12</v>
      </c>
      <c r="O897" t="inlineStr">
        <is>
          <t>Credit Card</t>
        </is>
      </c>
      <c r="P897" t="inlineStr">
        <is>
          <t>Sara Khan</t>
        </is>
      </c>
    </row>
    <row r="898">
      <c r="A898" t="inlineStr">
        <is>
          <t>ORD-2510-0897</t>
        </is>
      </c>
      <c r="B898" s="11" t="n">
        <v>45952</v>
      </c>
      <c r="C898" t="inlineStr">
        <is>
          <t>North</t>
        </is>
      </c>
      <c r="D898" t="inlineStr">
        <is>
          <t>Jaipur</t>
        </is>
      </c>
      <c r="E898" t="inlineStr">
        <is>
          <t>Consumer</t>
        </is>
      </c>
      <c r="F898" t="inlineStr">
        <is>
          <t>Online</t>
        </is>
      </c>
      <c r="G898" t="inlineStr">
        <is>
          <t>Furniture</t>
        </is>
      </c>
      <c r="H898" t="inlineStr">
        <is>
          <t>Desk</t>
        </is>
      </c>
      <c r="I898" t="n">
        <v>8</v>
      </c>
      <c r="J898" s="12" t="n">
        <v>12128.65</v>
      </c>
      <c r="K898" s="13" t="n">
        <v>0.05</v>
      </c>
      <c r="L898" s="12" t="n">
        <v>92177.74000000001</v>
      </c>
      <c r="M898" s="12" t="n">
        <v>73742.19</v>
      </c>
      <c r="N898" s="12" t="n">
        <v>18435.55</v>
      </c>
      <c r="O898" t="inlineStr">
        <is>
          <t>Net Banking</t>
        </is>
      </c>
      <c r="P898" t="inlineStr">
        <is>
          <t>Anaya Rao</t>
        </is>
      </c>
    </row>
    <row r="899">
      <c r="A899" t="inlineStr">
        <is>
          <t>ORD-2504-0898</t>
        </is>
      </c>
      <c r="B899" s="11" t="n">
        <v>45749</v>
      </c>
      <c r="C899" t="inlineStr">
        <is>
          <t>North</t>
        </is>
      </c>
      <c r="D899" t="inlineStr">
        <is>
          <t>Delhi</t>
        </is>
      </c>
      <c r="E899" t="inlineStr">
        <is>
          <t>Small Business</t>
        </is>
      </c>
      <c r="F899" t="inlineStr">
        <is>
          <t>Partner</t>
        </is>
      </c>
      <c r="G899" t="inlineStr">
        <is>
          <t>Furniture</t>
        </is>
      </c>
      <c r="H899" t="inlineStr">
        <is>
          <t>Storage Cabinet</t>
        </is>
      </c>
      <c r="I899" t="n">
        <v>4</v>
      </c>
      <c r="J899" s="12" t="n">
        <v>9568.889999999999</v>
      </c>
      <c r="K899" s="13" t="n">
        <v>0.1</v>
      </c>
      <c r="L899" s="12" t="n">
        <v>34448</v>
      </c>
      <c r="M899" s="12" t="n">
        <v>30620.45</v>
      </c>
      <c r="N899" s="12" t="n">
        <v>3827.55</v>
      </c>
      <c r="O899" t="inlineStr">
        <is>
          <t>Debit Card</t>
        </is>
      </c>
      <c r="P899" t="inlineStr">
        <is>
          <t>Meera Joshi</t>
        </is>
      </c>
    </row>
    <row r="900">
      <c r="A900" t="inlineStr">
        <is>
          <t>ORD-2501-0899</t>
        </is>
      </c>
      <c r="B900" s="11" t="n">
        <v>45675</v>
      </c>
      <c r="C900" t="inlineStr">
        <is>
          <t>North</t>
        </is>
      </c>
      <c r="D900" t="inlineStr">
        <is>
          <t>Jaipur</t>
        </is>
      </c>
      <c r="E900" t="inlineStr">
        <is>
          <t>Small Business</t>
        </is>
      </c>
      <c r="F900" t="inlineStr">
        <is>
          <t>Partner</t>
        </is>
      </c>
      <c r="G900" t="inlineStr">
        <is>
          <t>Furniture</t>
        </is>
      </c>
      <c r="H900" t="inlineStr">
        <is>
          <t>Desk</t>
        </is>
      </c>
      <c r="I900" t="n">
        <v>3</v>
      </c>
      <c r="J900" s="12" t="n">
        <v>12336.38</v>
      </c>
      <c r="K900" s="13" t="n">
        <v>0.1</v>
      </c>
      <c r="L900" s="12" t="n">
        <v>33308.23</v>
      </c>
      <c r="M900" s="12" t="n">
        <v>28126.95</v>
      </c>
      <c r="N900" s="12" t="n">
        <v>5181.28</v>
      </c>
      <c r="O900" t="inlineStr">
        <is>
          <t>Debit Card</t>
        </is>
      </c>
      <c r="P900" t="inlineStr">
        <is>
          <t>Diya Patel</t>
        </is>
      </c>
    </row>
    <row r="901">
      <c r="A901" t="inlineStr">
        <is>
          <t>ORD-2508-0900</t>
        </is>
      </c>
      <c r="B901" s="11" t="n">
        <v>45895</v>
      </c>
      <c r="C901" t="inlineStr">
        <is>
          <t>West</t>
        </is>
      </c>
      <c r="D901" t="inlineStr">
        <is>
          <t>Ahmedabad</t>
        </is>
      </c>
      <c r="E901" t="inlineStr">
        <is>
          <t>Consumer</t>
        </is>
      </c>
      <c r="F901" t="inlineStr">
        <is>
          <t>Online</t>
        </is>
      </c>
      <c r="G901" t="inlineStr">
        <is>
          <t>Office Supplies</t>
        </is>
      </c>
      <c r="H901" t="inlineStr">
        <is>
          <t>Pens Box</t>
        </is>
      </c>
      <c r="I901" t="n">
        <v>4</v>
      </c>
      <c r="J901" s="12" t="n">
        <v>169.06</v>
      </c>
      <c r="K901" s="13" t="n">
        <v>0.05</v>
      </c>
      <c r="L901" s="12" t="n">
        <v>642.4299999999999</v>
      </c>
      <c r="M901" s="12" t="n">
        <v>439.56</v>
      </c>
      <c r="N901" s="12" t="n">
        <v>202.87</v>
      </c>
      <c r="O901" t="inlineStr">
        <is>
          <t>Debit Card</t>
        </is>
      </c>
      <c r="P901" t="inlineStr">
        <is>
          <t>Meera Joshi</t>
        </is>
      </c>
    </row>
    <row r="902">
      <c r="A902" t="inlineStr">
        <is>
          <t>ORD-2501-0901</t>
        </is>
      </c>
      <c r="B902" s="11" t="n">
        <v>45669</v>
      </c>
      <c r="C902" t="inlineStr">
        <is>
          <t>Central</t>
        </is>
      </c>
      <c r="D902" t="inlineStr">
        <is>
          <t>Nagpur</t>
        </is>
      </c>
      <c r="E902" t="inlineStr">
        <is>
          <t>Corporate</t>
        </is>
      </c>
      <c r="F902" t="inlineStr">
        <is>
          <t>Retail Store</t>
        </is>
      </c>
      <c r="G902" t="inlineStr">
        <is>
          <t>Technology</t>
        </is>
      </c>
      <c r="H902" t="inlineStr">
        <is>
          <t>Headphones</t>
        </is>
      </c>
      <c r="I902" t="n">
        <v>4</v>
      </c>
      <c r="J902" s="12" t="n">
        <v>2232.69</v>
      </c>
      <c r="K902" s="13" t="n">
        <v>0</v>
      </c>
      <c r="L902" s="12" t="n">
        <v>8930.76</v>
      </c>
      <c r="M902" s="12" t="n">
        <v>6965.99</v>
      </c>
      <c r="N902" s="12" t="n">
        <v>1964.77</v>
      </c>
      <c r="O902" t="inlineStr">
        <is>
          <t>Debit Card</t>
        </is>
      </c>
      <c r="P902" t="inlineStr">
        <is>
          <t>Rohan Verma</t>
        </is>
      </c>
    </row>
    <row r="903">
      <c r="A903" t="inlineStr">
        <is>
          <t>ORD-2510-0902</t>
        </is>
      </c>
      <c r="B903" s="11" t="n">
        <v>45950</v>
      </c>
      <c r="C903" t="inlineStr">
        <is>
          <t>South</t>
        </is>
      </c>
      <c r="D903" t="inlineStr">
        <is>
          <t>Bengaluru</t>
        </is>
      </c>
      <c r="E903" t="inlineStr">
        <is>
          <t>Consumer</t>
        </is>
      </c>
      <c r="F903" t="inlineStr">
        <is>
          <t>Retail Store</t>
        </is>
      </c>
      <c r="G903" t="inlineStr">
        <is>
          <t>Furniture</t>
        </is>
      </c>
      <c r="H903" t="inlineStr">
        <is>
          <t>Office Chair</t>
        </is>
      </c>
      <c r="I903" t="n">
        <v>1</v>
      </c>
      <c r="J903" s="12" t="n">
        <v>7121.2</v>
      </c>
      <c r="K903" s="13" t="n">
        <v>0.15</v>
      </c>
      <c r="L903" s="12" t="n">
        <v>6053.02</v>
      </c>
      <c r="M903" s="12" t="n">
        <v>5127.26</v>
      </c>
      <c r="N903" s="12" t="n">
        <v>925.76</v>
      </c>
      <c r="O903" t="inlineStr">
        <is>
          <t>Credit Card</t>
        </is>
      </c>
      <c r="P903" t="inlineStr">
        <is>
          <t>Vivaan Gupta</t>
        </is>
      </c>
    </row>
    <row r="904">
      <c r="A904" t="inlineStr">
        <is>
          <t>ORD-2510-0903</t>
        </is>
      </c>
      <c r="B904" s="11" t="n">
        <v>45942</v>
      </c>
      <c r="C904" t="inlineStr">
        <is>
          <t>Central</t>
        </is>
      </c>
      <c r="D904" t="inlineStr">
        <is>
          <t>Nagpur</t>
        </is>
      </c>
      <c r="E904" t="inlineStr">
        <is>
          <t>Small Business</t>
        </is>
      </c>
      <c r="F904" t="inlineStr">
        <is>
          <t>Online</t>
        </is>
      </c>
      <c r="G904" t="inlineStr">
        <is>
          <t>Technology</t>
        </is>
      </c>
      <c r="H904" t="inlineStr">
        <is>
          <t>Monitor</t>
        </is>
      </c>
      <c r="I904" t="n">
        <v>3</v>
      </c>
      <c r="J904" s="12" t="n">
        <v>12927.5</v>
      </c>
      <c r="K904" s="13" t="n">
        <v>0.1</v>
      </c>
      <c r="L904" s="12" t="n">
        <v>34904.25</v>
      </c>
      <c r="M904" s="12" t="n">
        <v>31801.65</v>
      </c>
      <c r="N904" s="12" t="n">
        <v>3102.6</v>
      </c>
      <c r="O904" t="inlineStr">
        <is>
          <t>UPI</t>
        </is>
      </c>
      <c r="P904" t="inlineStr">
        <is>
          <t>Diya Patel</t>
        </is>
      </c>
    </row>
    <row r="905">
      <c r="A905" t="inlineStr">
        <is>
          <t>ORD-2504-0904</t>
        </is>
      </c>
      <c r="B905" s="11" t="n">
        <v>45750</v>
      </c>
      <c r="C905" t="inlineStr">
        <is>
          <t>Central</t>
        </is>
      </c>
      <c r="D905" t="inlineStr">
        <is>
          <t>Indore</t>
        </is>
      </c>
      <c r="E905" t="inlineStr">
        <is>
          <t>Consumer</t>
        </is>
      </c>
      <c r="F905" t="inlineStr">
        <is>
          <t>Partner</t>
        </is>
      </c>
      <c r="G905" t="inlineStr">
        <is>
          <t>Technology</t>
        </is>
      </c>
      <c r="H905" t="inlineStr">
        <is>
          <t>Laptop</t>
        </is>
      </c>
      <c r="I905" t="n">
        <v>3</v>
      </c>
      <c r="J905" s="12" t="n">
        <v>39466.86</v>
      </c>
      <c r="K905" s="13" t="n">
        <v>0.15</v>
      </c>
      <c r="L905" s="12" t="n">
        <v>100640.49</v>
      </c>
      <c r="M905" s="12" t="n">
        <v>104192.51</v>
      </c>
      <c r="N905" s="12" t="n">
        <v>-3552.02</v>
      </c>
      <c r="O905" t="inlineStr">
        <is>
          <t>UPI</t>
        </is>
      </c>
      <c r="P905" t="inlineStr">
        <is>
          <t>Kabir Singh</t>
        </is>
      </c>
    </row>
    <row r="906">
      <c r="A906" t="inlineStr">
        <is>
          <t>ORD-2502-0905</t>
        </is>
      </c>
      <c r="B906" s="11" t="n">
        <v>45702</v>
      </c>
      <c r="C906" t="inlineStr">
        <is>
          <t>Central</t>
        </is>
      </c>
      <c r="D906" t="inlineStr">
        <is>
          <t>Raipur</t>
        </is>
      </c>
      <c r="E906" t="inlineStr">
        <is>
          <t>Corporate</t>
        </is>
      </c>
      <c r="F906" t="inlineStr">
        <is>
          <t>Retail Store</t>
        </is>
      </c>
      <c r="G906" t="inlineStr">
        <is>
          <t>Office Supplies</t>
        </is>
      </c>
      <c r="H906" t="inlineStr">
        <is>
          <t>Stapler</t>
        </is>
      </c>
      <c r="I906" t="n">
        <v>4</v>
      </c>
      <c r="J906" s="12" t="n">
        <v>244.39</v>
      </c>
      <c r="K906" s="13" t="n">
        <v>0</v>
      </c>
      <c r="L906" s="12" t="n">
        <v>977.5599999999999</v>
      </c>
      <c r="M906" s="12" t="n">
        <v>684.29</v>
      </c>
      <c r="N906" s="12" t="n">
        <v>293.27</v>
      </c>
      <c r="O906" t="inlineStr">
        <is>
          <t>Cash</t>
        </is>
      </c>
      <c r="P906" t="inlineStr">
        <is>
          <t>Kabir Singh</t>
        </is>
      </c>
    </row>
    <row r="907">
      <c r="A907" t="inlineStr">
        <is>
          <t>ORD-2508-0906</t>
        </is>
      </c>
      <c r="B907" s="11" t="n">
        <v>45874</v>
      </c>
      <c r="C907" t="inlineStr">
        <is>
          <t>North</t>
        </is>
      </c>
      <c r="D907" t="inlineStr">
        <is>
          <t>Jaipur</t>
        </is>
      </c>
      <c r="E907" t="inlineStr">
        <is>
          <t>Corporate</t>
        </is>
      </c>
      <c r="F907" t="inlineStr">
        <is>
          <t>Partner</t>
        </is>
      </c>
      <c r="G907" t="inlineStr">
        <is>
          <t>Technology</t>
        </is>
      </c>
      <c r="H907" t="inlineStr">
        <is>
          <t>Headphones</t>
        </is>
      </c>
      <c r="I907" t="n">
        <v>1</v>
      </c>
      <c r="J907" s="12" t="n">
        <v>2342.43</v>
      </c>
      <c r="K907" s="13" t="n">
        <v>0.2</v>
      </c>
      <c r="L907" s="12" t="n">
        <v>1873.94</v>
      </c>
      <c r="M907" s="12" t="n">
        <v>1827.1</v>
      </c>
      <c r="N907" s="12" t="n">
        <v>46.84</v>
      </c>
      <c r="O907" t="inlineStr">
        <is>
          <t>Cash</t>
        </is>
      </c>
      <c r="P907" t="inlineStr">
        <is>
          <t>Anaya Rao</t>
        </is>
      </c>
    </row>
    <row r="908">
      <c r="A908" t="inlineStr">
        <is>
          <t>ORD-2503-0907</t>
        </is>
      </c>
      <c r="B908" s="11" t="n">
        <v>45729</v>
      </c>
      <c r="C908" t="inlineStr">
        <is>
          <t>Central</t>
        </is>
      </c>
      <c r="D908" t="inlineStr">
        <is>
          <t>Nagpur</t>
        </is>
      </c>
      <c r="E908" t="inlineStr">
        <is>
          <t>Small Business</t>
        </is>
      </c>
      <c r="F908" t="inlineStr">
        <is>
          <t>Partner</t>
        </is>
      </c>
      <c r="G908" t="inlineStr">
        <is>
          <t>Office Supplies</t>
        </is>
      </c>
      <c r="H908" t="inlineStr">
        <is>
          <t>Paper Ream</t>
        </is>
      </c>
      <c r="I908" t="n">
        <v>2</v>
      </c>
      <c r="J908" s="12" t="n">
        <v>453.38</v>
      </c>
      <c r="K908" s="13" t="n">
        <v>0.15</v>
      </c>
      <c r="L908" s="12" t="n">
        <v>770.75</v>
      </c>
      <c r="M908" s="12" t="n">
        <v>698.21</v>
      </c>
      <c r="N908" s="12" t="n">
        <v>72.54000000000001</v>
      </c>
      <c r="O908" t="inlineStr">
        <is>
          <t>Cash</t>
        </is>
      </c>
      <c r="P908" t="inlineStr">
        <is>
          <t>Meera Joshi</t>
        </is>
      </c>
    </row>
    <row r="909">
      <c r="A909" t="inlineStr">
        <is>
          <t>ORD-2512-0908</t>
        </is>
      </c>
      <c r="B909" s="11" t="n">
        <v>46010</v>
      </c>
      <c r="C909" t="inlineStr">
        <is>
          <t>North</t>
        </is>
      </c>
      <c r="D909" t="inlineStr">
        <is>
          <t>Delhi</t>
        </is>
      </c>
      <c r="E909" t="inlineStr">
        <is>
          <t>Consumer</t>
        </is>
      </c>
      <c r="F909" t="inlineStr">
        <is>
          <t>Online</t>
        </is>
      </c>
      <c r="G909" t="inlineStr">
        <is>
          <t>Technology</t>
        </is>
      </c>
      <c r="H909" t="inlineStr">
        <is>
          <t>Printer</t>
        </is>
      </c>
      <c r="I909" t="n">
        <v>1</v>
      </c>
      <c r="J909" s="12" t="n">
        <v>10041.25</v>
      </c>
      <c r="K909" s="13" t="n">
        <v>0</v>
      </c>
      <c r="L909" s="12" t="n">
        <v>10041.25</v>
      </c>
      <c r="M909" s="12" t="n">
        <v>8434.65</v>
      </c>
      <c r="N909" s="12" t="n">
        <v>1606.6</v>
      </c>
      <c r="O909" t="inlineStr">
        <is>
          <t>Cash</t>
        </is>
      </c>
      <c r="P909" t="inlineStr">
        <is>
          <t>Meera Joshi</t>
        </is>
      </c>
    </row>
    <row r="910">
      <c r="A910" t="inlineStr">
        <is>
          <t>ORD-2510-0909</t>
        </is>
      </c>
      <c r="B910" s="11" t="n">
        <v>45960</v>
      </c>
      <c r="C910" t="inlineStr">
        <is>
          <t>East</t>
        </is>
      </c>
      <c r="D910" t="inlineStr">
        <is>
          <t>Bhubaneswar</t>
        </is>
      </c>
      <c r="E910" t="inlineStr">
        <is>
          <t>Corporate</t>
        </is>
      </c>
      <c r="F910" t="inlineStr">
        <is>
          <t>Retail Store</t>
        </is>
      </c>
      <c r="G910" t="inlineStr">
        <is>
          <t>Technology</t>
        </is>
      </c>
      <c r="H910" t="inlineStr">
        <is>
          <t>Keyboard</t>
        </is>
      </c>
      <c r="I910" t="n">
        <v>4</v>
      </c>
      <c r="J910" s="12" t="n">
        <v>1411.17</v>
      </c>
      <c r="K910" s="13" t="n">
        <v>0.05</v>
      </c>
      <c r="L910" s="12" t="n">
        <v>5362.45</v>
      </c>
      <c r="M910" s="12" t="n">
        <v>4233.51</v>
      </c>
      <c r="N910" s="12" t="n">
        <v>1128.94</v>
      </c>
      <c r="O910" t="inlineStr">
        <is>
          <t>UPI</t>
        </is>
      </c>
      <c r="P910" t="inlineStr">
        <is>
          <t>Vivaan Gupta</t>
        </is>
      </c>
    </row>
    <row r="911">
      <c r="A911" t="inlineStr">
        <is>
          <t>ORD-2508-0910</t>
        </is>
      </c>
      <c r="B911" s="11" t="n">
        <v>45891</v>
      </c>
      <c r="C911" t="inlineStr">
        <is>
          <t>North</t>
        </is>
      </c>
      <c r="D911" t="inlineStr">
        <is>
          <t>Chandigarh</t>
        </is>
      </c>
      <c r="E911" t="inlineStr">
        <is>
          <t>Consumer</t>
        </is>
      </c>
      <c r="F911" t="inlineStr">
        <is>
          <t>Partner</t>
        </is>
      </c>
      <c r="G911" t="inlineStr">
        <is>
          <t>Office Supplies</t>
        </is>
      </c>
      <c r="H911" t="inlineStr">
        <is>
          <t>Pens Box</t>
        </is>
      </c>
      <c r="I911" t="n">
        <v>2</v>
      </c>
      <c r="J911" s="12" t="n">
        <v>181.03</v>
      </c>
      <c r="K911" s="13" t="n">
        <v>0.1</v>
      </c>
      <c r="L911" s="12" t="n">
        <v>325.85</v>
      </c>
      <c r="M911" s="12" t="n">
        <v>235.34</v>
      </c>
      <c r="N911" s="12" t="n">
        <v>90.51000000000001</v>
      </c>
      <c r="O911" t="inlineStr">
        <is>
          <t>Net Banking</t>
        </is>
      </c>
      <c r="P911" t="inlineStr">
        <is>
          <t>Meera Joshi</t>
        </is>
      </c>
    </row>
    <row r="912">
      <c r="A912" t="inlineStr">
        <is>
          <t>ORD-2507-0911</t>
        </is>
      </c>
      <c r="B912" s="11" t="n">
        <v>45848</v>
      </c>
      <c r="C912" t="inlineStr">
        <is>
          <t>Central</t>
        </is>
      </c>
      <c r="D912" t="inlineStr">
        <is>
          <t>Indore</t>
        </is>
      </c>
      <c r="E912" t="inlineStr">
        <is>
          <t>Corporate</t>
        </is>
      </c>
      <c r="F912" t="inlineStr">
        <is>
          <t>Online</t>
        </is>
      </c>
      <c r="G912" t="inlineStr">
        <is>
          <t>Furniture</t>
        </is>
      </c>
      <c r="H912" t="inlineStr">
        <is>
          <t>Desk</t>
        </is>
      </c>
      <c r="I912" t="n">
        <v>5</v>
      </c>
      <c r="J912" s="12" t="n">
        <v>12029.52</v>
      </c>
      <c r="K912" s="13" t="n">
        <v>0.05</v>
      </c>
      <c r="L912" s="12" t="n">
        <v>57140.22</v>
      </c>
      <c r="M912" s="12" t="n">
        <v>45712.18</v>
      </c>
      <c r="N912" s="12" t="n">
        <v>11428.04</v>
      </c>
      <c r="O912" t="inlineStr">
        <is>
          <t>Cash</t>
        </is>
      </c>
      <c r="P912" t="inlineStr">
        <is>
          <t>Meera Joshi</t>
        </is>
      </c>
    </row>
    <row r="913">
      <c r="A913" t="inlineStr">
        <is>
          <t>ORD-2502-0912</t>
        </is>
      </c>
      <c r="B913" s="11" t="n">
        <v>45697</v>
      </c>
      <c r="C913" t="inlineStr">
        <is>
          <t>East</t>
        </is>
      </c>
      <c r="D913" t="inlineStr">
        <is>
          <t>Kolkata</t>
        </is>
      </c>
      <c r="E913" t="inlineStr">
        <is>
          <t>Small Business</t>
        </is>
      </c>
      <c r="F913" t="inlineStr">
        <is>
          <t>Online</t>
        </is>
      </c>
      <c r="G913" t="inlineStr">
        <is>
          <t>Furniture</t>
        </is>
      </c>
      <c r="H913" t="inlineStr">
        <is>
          <t>Storage Cabinet</t>
        </is>
      </c>
      <c r="I913" t="n">
        <v>1</v>
      </c>
      <c r="J913" s="12" t="n">
        <v>8281.93</v>
      </c>
      <c r="K913" s="13" t="n">
        <v>0.1</v>
      </c>
      <c r="L913" s="12" t="n">
        <v>7453.74</v>
      </c>
      <c r="M913" s="12" t="n">
        <v>6625.54</v>
      </c>
      <c r="N913" s="12" t="n">
        <v>828.2</v>
      </c>
      <c r="O913" t="inlineStr">
        <is>
          <t>Net Banking</t>
        </is>
      </c>
      <c r="P913" t="inlineStr">
        <is>
          <t>Sara Khan</t>
        </is>
      </c>
    </row>
    <row r="914">
      <c r="A914" t="inlineStr">
        <is>
          <t>ORD-2505-0913</t>
        </is>
      </c>
      <c r="B914" s="11" t="n">
        <v>45797</v>
      </c>
      <c r="C914" t="inlineStr">
        <is>
          <t>South</t>
        </is>
      </c>
      <c r="D914" t="inlineStr">
        <is>
          <t>Chennai</t>
        </is>
      </c>
      <c r="E914" t="inlineStr">
        <is>
          <t>Corporate</t>
        </is>
      </c>
      <c r="F914" t="inlineStr">
        <is>
          <t>Online</t>
        </is>
      </c>
      <c r="G914" t="inlineStr">
        <is>
          <t>Technology</t>
        </is>
      </c>
      <c r="H914" t="inlineStr">
        <is>
          <t>Headphones</t>
        </is>
      </c>
      <c r="I914" t="n">
        <v>1</v>
      </c>
      <c r="J914" s="12" t="n">
        <v>2365.01</v>
      </c>
      <c r="K914" s="13" t="n">
        <v>0.05</v>
      </c>
      <c r="L914" s="12" t="n">
        <v>2246.76</v>
      </c>
      <c r="M914" s="12" t="n">
        <v>1844.71</v>
      </c>
      <c r="N914" s="12" t="n">
        <v>402.05</v>
      </c>
      <c r="O914" t="inlineStr">
        <is>
          <t>Credit Card</t>
        </is>
      </c>
      <c r="P914" t="inlineStr">
        <is>
          <t>Kabir Singh</t>
        </is>
      </c>
    </row>
    <row r="915">
      <c r="A915" t="inlineStr">
        <is>
          <t>ORD-2509-0914</t>
        </is>
      </c>
      <c r="B915" s="11" t="n">
        <v>45927</v>
      </c>
      <c r="C915" t="inlineStr">
        <is>
          <t>East</t>
        </is>
      </c>
      <c r="D915" t="inlineStr">
        <is>
          <t>Guwahati</t>
        </is>
      </c>
      <c r="E915" t="inlineStr">
        <is>
          <t>Small Business</t>
        </is>
      </c>
      <c r="F915" t="inlineStr">
        <is>
          <t>Retail Store</t>
        </is>
      </c>
      <c r="G915" t="inlineStr">
        <is>
          <t>Technology</t>
        </is>
      </c>
      <c r="H915" t="inlineStr">
        <is>
          <t>Monitor</t>
        </is>
      </c>
      <c r="I915" t="n">
        <v>3</v>
      </c>
      <c r="J915" s="12" t="n">
        <v>13230.8</v>
      </c>
      <c r="K915" s="13" t="n">
        <v>0.1</v>
      </c>
      <c r="L915" s="12" t="n">
        <v>35723.16</v>
      </c>
      <c r="M915" s="12" t="n">
        <v>32547.77</v>
      </c>
      <c r="N915" s="12" t="n">
        <v>3175.39</v>
      </c>
      <c r="O915" t="inlineStr">
        <is>
          <t>Cash</t>
        </is>
      </c>
      <c r="P915" t="inlineStr">
        <is>
          <t>Diya Patel</t>
        </is>
      </c>
    </row>
    <row r="916">
      <c r="A916" t="inlineStr">
        <is>
          <t>ORD-2501-0915</t>
        </is>
      </c>
      <c r="B916" s="11" t="n">
        <v>45682</v>
      </c>
      <c r="C916" t="inlineStr">
        <is>
          <t>South</t>
        </is>
      </c>
      <c r="D916" t="inlineStr">
        <is>
          <t>Hyderabad</t>
        </is>
      </c>
      <c r="E916" t="inlineStr">
        <is>
          <t>Small Business</t>
        </is>
      </c>
      <c r="F916" t="inlineStr">
        <is>
          <t>Partner</t>
        </is>
      </c>
      <c r="G916" t="inlineStr">
        <is>
          <t>Office Supplies</t>
        </is>
      </c>
      <c r="H916" t="inlineStr">
        <is>
          <t>File Folder</t>
        </is>
      </c>
      <c r="I916" t="n">
        <v>2</v>
      </c>
      <c r="J916" s="12" t="n">
        <v>93.47</v>
      </c>
      <c r="K916" s="13" t="n">
        <v>0.05</v>
      </c>
      <c r="L916" s="12" t="n">
        <v>177.59</v>
      </c>
      <c r="M916" s="12" t="n">
        <v>115.9</v>
      </c>
      <c r="N916" s="12" t="n">
        <v>61.69</v>
      </c>
      <c r="O916" t="inlineStr">
        <is>
          <t>Cash</t>
        </is>
      </c>
      <c r="P916" t="inlineStr">
        <is>
          <t>Vivaan Gupta</t>
        </is>
      </c>
    </row>
    <row r="917">
      <c r="A917" t="inlineStr">
        <is>
          <t>ORD-2509-0916</t>
        </is>
      </c>
      <c r="B917" s="11" t="n">
        <v>45902</v>
      </c>
      <c r="C917" t="inlineStr">
        <is>
          <t>Central</t>
        </is>
      </c>
      <c r="D917" t="inlineStr">
        <is>
          <t>Indore</t>
        </is>
      </c>
      <c r="E917" t="inlineStr">
        <is>
          <t>Consumer</t>
        </is>
      </c>
      <c r="F917" t="inlineStr">
        <is>
          <t>Online</t>
        </is>
      </c>
      <c r="G917" t="inlineStr">
        <is>
          <t>Technology</t>
        </is>
      </c>
      <c r="H917" t="inlineStr">
        <is>
          <t>Headphones</t>
        </is>
      </c>
      <c r="I917" t="n">
        <v>1</v>
      </c>
      <c r="J917" s="12" t="n">
        <v>2078.73</v>
      </c>
      <c r="K917" s="13" t="n">
        <v>0.1</v>
      </c>
      <c r="L917" s="12" t="n">
        <v>1870.86</v>
      </c>
      <c r="M917" s="12" t="n">
        <v>1621.41</v>
      </c>
      <c r="N917" s="12" t="n">
        <v>249.45</v>
      </c>
      <c r="O917" t="inlineStr">
        <is>
          <t>Debit Card</t>
        </is>
      </c>
      <c r="P917" t="inlineStr">
        <is>
          <t>Rohan Verma</t>
        </is>
      </c>
    </row>
    <row r="918">
      <c r="A918" t="inlineStr">
        <is>
          <t>ORD-2501-0917</t>
        </is>
      </c>
      <c r="B918" s="11" t="n">
        <v>45685</v>
      </c>
      <c r="C918" t="inlineStr">
        <is>
          <t>East</t>
        </is>
      </c>
      <c r="D918" t="inlineStr">
        <is>
          <t>Patna</t>
        </is>
      </c>
      <c r="E918" t="inlineStr">
        <is>
          <t>Corporate</t>
        </is>
      </c>
      <c r="F918" t="inlineStr">
        <is>
          <t>Retail Store</t>
        </is>
      </c>
      <c r="G918" t="inlineStr">
        <is>
          <t>Office Supplies</t>
        </is>
      </c>
      <c r="H918" t="inlineStr">
        <is>
          <t>Pens Box</t>
        </is>
      </c>
      <c r="I918" t="n">
        <v>3</v>
      </c>
      <c r="J918" s="12" t="n">
        <v>170.87</v>
      </c>
      <c r="K918" s="13" t="n">
        <v>0.1</v>
      </c>
      <c r="L918" s="12" t="n">
        <v>461.35</v>
      </c>
      <c r="M918" s="12" t="n">
        <v>333.2</v>
      </c>
      <c r="N918" s="12" t="n">
        <v>128.15</v>
      </c>
      <c r="O918" t="inlineStr">
        <is>
          <t>Cash</t>
        </is>
      </c>
      <c r="P918" t="inlineStr">
        <is>
          <t>Rohan Verma</t>
        </is>
      </c>
    </row>
    <row r="919">
      <c r="A919" t="inlineStr">
        <is>
          <t>ORD-2505-0918</t>
        </is>
      </c>
      <c r="B919" s="11" t="n">
        <v>45799</v>
      </c>
      <c r="C919" t="inlineStr">
        <is>
          <t>West</t>
        </is>
      </c>
      <c r="D919" t="inlineStr">
        <is>
          <t>Pune</t>
        </is>
      </c>
      <c r="E919" t="inlineStr">
        <is>
          <t>Corporate</t>
        </is>
      </c>
      <c r="F919" t="inlineStr">
        <is>
          <t>Online</t>
        </is>
      </c>
      <c r="G919" t="inlineStr">
        <is>
          <t>Technology</t>
        </is>
      </c>
      <c r="H919" t="inlineStr">
        <is>
          <t>Headphones</t>
        </is>
      </c>
      <c r="I919" t="n">
        <v>3</v>
      </c>
      <c r="J919" s="12" t="n">
        <v>2131.59</v>
      </c>
      <c r="K919" s="13" t="n">
        <v>0</v>
      </c>
      <c r="L919" s="12" t="n">
        <v>6394.77</v>
      </c>
      <c r="M919" s="12" t="n">
        <v>4987.92</v>
      </c>
      <c r="N919" s="12" t="n">
        <v>1406.85</v>
      </c>
      <c r="O919" t="inlineStr">
        <is>
          <t>Credit Card</t>
        </is>
      </c>
      <c r="P919" t="inlineStr">
        <is>
          <t>Diya Patel</t>
        </is>
      </c>
    </row>
    <row r="920">
      <c r="A920" t="inlineStr">
        <is>
          <t>ORD-2505-0919</t>
        </is>
      </c>
      <c r="B920" s="11" t="n">
        <v>45780</v>
      </c>
      <c r="C920" t="inlineStr">
        <is>
          <t>North</t>
        </is>
      </c>
      <c r="D920" t="inlineStr">
        <is>
          <t>Jaipur</t>
        </is>
      </c>
      <c r="E920" t="inlineStr">
        <is>
          <t>Corporate</t>
        </is>
      </c>
      <c r="F920" t="inlineStr">
        <is>
          <t>Online</t>
        </is>
      </c>
      <c r="G920" t="inlineStr">
        <is>
          <t>Office Supplies</t>
        </is>
      </c>
      <c r="H920" t="inlineStr">
        <is>
          <t>Notebook Pack</t>
        </is>
      </c>
      <c r="I920" t="n">
        <v>1</v>
      </c>
      <c r="J920" s="12" t="n">
        <v>353.03</v>
      </c>
      <c r="K920" s="13" t="n">
        <v>0.1</v>
      </c>
      <c r="L920" s="12" t="n">
        <v>317.73</v>
      </c>
      <c r="M920" s="12" t="n">
        <v>240.06</v>
      </c>
      <c r="N920" s="12" t="n">
        <v>77.67</v>
      </c>
      <c r="O920" t="inlineStr">
        <is>
          <t>Debit Card</t>
        </is>
      </c>
      <c r="P920" t="inlineStr">
        <is>
          <t>Kabir Singh</t>
        </is>
      </c>
    </row>
    <row r="921">
      <c r="A921" t="inlineStr">
        <is>
          <t>ORD-2509-0920</t>
        </is>
      </c>
      <c r="B921" s="11" t="n">
        <v>45903</v>
      </c>
      <c r="C921" t="inlineStr">
        <is>
          <t>West</t>
        </is>
      </c>
      <c r="D921" t="inlineStr">
        <is>
          <t>Mumbai</t>
        </is>
      </c>
      <c r="E921" t="inlineStr">
        <is>
          <t>Consumer</t>
        </is>
      </c>
      <c r="F921" t="inlineStr">
        <is>
          <t>Partner</t>
        </is>
      </c>
      <c r="G921" t="inlineStr">
        <is>
          <t>Furniture</t>
        </is>
      </c>
      <c r="H921" t="inlineStr">
        <is>
          <t>Desk</t>
        </is>
      </c>
      <c r="I921" t="n">
        <v>1</v>
      </c>
      <c r="J921" s="12" t="n">
        <v>12109.77</v>
      </c>
      <c r="K921" s="13" t="n">
        <v>0</v>
      </c>
      <c r="L921" s="12" t="n">
        <v>12109.77</v>
      </c>
      <c r="M921" s="12" t="n">
        <v>9203.43</v>
      </c>
      <c r="N921" s="12" t="n">
        <v>2906.34</v>
      </c>
      <c r="O921" t="inlineStr">
        <is>
          <t>Debit Card</t>
        </is>
      </c>
      <c r="P921" t="inlineStr">
        <is>
          <t>Sara Khan</t>
        </is>
      </c>
    </row>
    <row r="922">
      <c r="A922" t="inlineStr">
        <is>
          <t>ORD-2505-0921</t>
        </is>
      </c>
      <c r="B922" s="11" t="n">
        <v>45783</v>
      </c>
      <c r="C922" t="inlineStr">
        <is>
          <t>Central</t>
        </is>
      </c>
      <c r="D922" t="inlineStr">
        <is>
          <t>Bhopal</t>
        </is>
      </c>
      <c r="E922" t="inlineStr">
        <is>
          <t>Small Business</t>
        </is>
      </c>
      <c r="F922" t="inlineStr">
        <is>
          <t>Online</t>
        </is>
      </c>
      <c r="G922" t="inlineStr">
        <is>
          <t>Office Supplies</t>
        </is>
      </c>
      <c r="H922" t="inlineStr">
        <is>
          <t>Notebook Pack</t>
        </is>
      </c>
      <c r="I922" t="n">
        <v>3</v>
      </c>
      <c r="J922" s="12" t="n">
        <v>374.09</v>
      </c>
      <c r="K922" s="13" t="n">
        <v>0</v>
      </c>
      <c r="L922" s="12" t="n">
        <v>1122.27</v>
      </c>
      <c r="M922" s="12" t="n">
        <v>763.14</v>
      </c>
      <c r="N922" s="12" t="n">
        <v>359.13</v>
      </c>
      <c r="O922" t="inlineStr">
        <is>
          <t>UPI</t>
        </is>
      </c>
      <c r="P922" t="inlineStr">
        <is>
          <t>Diya Patel</t>
        </is>
      </c>
    </row>
    <row r="923">
      <c r="A923" t="inlineStr">
        <is>
          <t>ORD-2507-0922</t>
        </is>
      </c>
      <c r="B923" s="11" t="n">
        <v>45845</v>
      </c>
      <c r="C923" t="inlineStr">
        <is>
          <t>South</t>
        </is>
      </c>
      <c r="D923" t="inlineStr">
        <is>
          <t>Hyderabad</t>
        </is>
      </c>
      <c r="E923" t="inlineStr">
        <is>
          <t>Consumer</t>
        </is>
      </c>
      <c r="F923" t="inlineStr">
        <is>
          <t>Retail Store</t>
        </is>
      </c>
      <c r="G923" t="inlineStr">
        <is>
          <t>Technology</t>
        </is>
      </c>
      <c r="H923" t="inlineStr">
        <is>
          <t>Laptop</t>
        </is>
      </c>
      <c r="I923" t="n">
        <v>2</v>
      </c>
      <c r="J923" s="12" t="n">
        <v>41148.47</v>
      </c>
      <c r="K923" s="13" t="n">
        <v>0.05</v>
      </c>
      <c r="L923" s="12" t="n">
        <v>78182.09</v>
      </c>
      <c r="M923" s="12" t="n">
        <v>72421.31</v>
      </c>
      <c r="N923" s="12" t="n">
        <v>5760.78</v>
      </c>
      <c r="O923" t="inlineStr">
        <is>
          <t>UPI</t>
        </is>
      </c>
      <c r="P923" t="inlineStr">
        <is>
          <t>Diya Patel</t>
        </is>
      </c>
    </row>
    <row r="924">
      <c r="A924" t="inlineStr">
        <is>
          <t>ORD-2505-0923</t>
        </is>
      </c>
      <c r="B924" s="11" t="n">
        <v>45806</v>
      </c>
      <c r="C924" t="inlineStr">
        <is>
          <t>East</t>
        </is>
      </c>
      <c r="D924" t="inlineStr">
        <is>
          <t>Guwahati</t>
        </is>
      </c>
      <c r="E924" t="inlineStr">
        <is>
          <t>Corporate</t>
        </is>
      </c>
      <c r="F924" t="inlineStr">
        <is>
          <t>Online</t>
        </is>
      </c>
      <c r="G924" t="inlineStr">
        <is>
          <t>Technology</t>
        </is>
      </c>
      <c r="H924" t="inlineStr">
        <is>
          <t>Headphones</t>
        </is>
      </c>
      <c r="I924" t="n">
        <v>2</v>
      </c>
      <c r="J924" s="12" t="n">
        <v>2246.17</v>
      </c>
      <c r="K924" s="13" t="n">
        <v>0</v>
      </c>
      <c r="L924" s="12" t="n">
        <v>4492.34</v>
      </c>
      <c r="M924" s="12" t="n">
        <v>3504.03</v>
      </c>
      <c r="N924" s="12" t="n">
        <v>988.3099999999999</v>
      </c>
      <c r="O924" t="inlineStr">
        <is>
          <t>Net Banking</t>
        </is>
      </c>
      <c r="P924" t="inlineStr">
        <is>
          <t>Aarav Sharma</t>
        </is>
      </c>
    </row>
    <row r="925">
      <c r="A925" t="inlineStr">
        <is>
          <t>ORD-2508-0924</t>
        </is>
      </c>
      <c r="B925" s="11" t="n">
        <v>45895</v>
      </c>
      <c r="C925" t="inlineStr">
        <is>
          <t>Central</t>
        </is>
      </c>
      <c r="D925" t="inlineStr">
        <is>
          <t>Nagpur</t>
        </is>
      </c>
      <c r="E925" t="inlineStr">
        <is>
          <t>Corporate</t>
        </is>
      </c>
      <c r="F925" t="inlineStr">
        <is>
          <t>Online</t>
        </is>
      </c>
      <c r="G925" t="inlineStr">
        <is>
          <t>Technology</t>
        </is>
      </c>
      <c r="H925" t="inlineStr">
        <is>
          <t>Laptop</t>
        </is>
      </c>
      <c r="I925" t="n">
        <v>2</v>
      </c>
      <c r="J925" s="12" t="n">
        <v>40847.87</v>
      </c>
      <c r="K925" s="13" t="n">
        <v>0.1</v>
      </c>
      <c r="L925" s="12" t="n">
        <v>73526.17</v>
      </c>
      <c r="M925" s="12" t="n">
        <v>71892.25</v>
      </c>
      <c r="N925" s="12" t="n">
        <v>1633.92</v>
      </c>
      <c r="O925" t="inlineStr">
        <is>
          <t>Credit Card</t>
        </is>
      </c>
      <c r="P925" t="inlineStr">
        <is>
          <t>Sara Khan</t>
        </is>
      </c>
    </row>
    <row r="926">
      <c r="A926" t="inlineStr">
        <is>
          <t>ORD-2504-0925</t>
        </is>
      </c>
      <c r="B926" s="11" t="n">
        <v>45753</v>
      </c>
      <c r="C926" t="inlineStr">
        <is>
          <t>West</t>
        </is>
      </c>
      <c r="D926" t="inlineStr">
        <is>
          <t>Ahmedabad</t>
        </is>
      </c>
      <c r="E926" t="inlineStr">
        <is>
          <t>Small Business</t>
        </is>
      </c>
      <c r="F926" t="inlineStr">
        <is>
          <t>Online</t>
        </is>
      </c>
      <c r="G926" t="inlineStr">
        <is>
          <t>Technology</t>
        </is>
      </c>
      <c r="H926" t="inlineStr">
        <is>
          <t>Laptop</t>
        </is>
      </c>
      <c r="I926" t="n">
        <v>1</v>
      </c>
      <c r="J926" s="12" t="n">
        <v>39209.48</v>
      </c>
      <c r="K926" s="13" t="n">
        <v>0.05</v>
      </c>
      <c r="L926" s="12" t="n">
        <v>37249.01</v>
      </c>
      <c r="M926" s="12" t="n">
        <v>34504.34</v>
      </c>
      <c r="N926" s="12" t="n">
        <v>2744.67</v>
      </c>
      <c r="O926" t="inlineStr">
        <is>
          <t>Debit Card</t>
        </is>
      </c>
      <c r="P926" t="inlineStr">
        <is>
          <t>Diya Patel</t>
        </is>
      </c>
    </row>
    <row r="927">
      <c r="A927" t="inlineStr">
        <is>
          <t>ORD-2509-0926</t>
        </is>
      </c>
      <c r="B927" s="11" t="n">
        <v>45907</v>
      </c>
      <c r="C927" t="inlineStr">
        <is>
          <t>North</t>
        </is>
      </c>
      <c r="D927" t="inlineStr">
        <is>
          <t>Jaipur</t>
        </is>
      </c>
      <c r="E927" t="inlineStr">
        <is>
          <t>Corporate</t>
        </is>
      </c>
      <c r="F927" t="inlineStr">
        <is>
          <t>Retail Store</t>
        </is>
      </c>
      <c r="G927" t="inlineStr">
        <is>
          <t>Office Supplies</t>
        </is>
      </c>
      <c r="H927" t="inlineStr">
        <is>
          <t>File Folder</t>
        </is>
      </c>
      <c r="I927" t="n">
        <v>4</v>
      </c>
      <c r="J927" s="12" t="n">
        <v>88.48999999999999</v>
      </c>
      <c r="K927" s="13" t="n">
        <v>0</v>
      </c>
      <c r="L927" s="12" t="n">
        <v>353.96</v>
      </c>
      <c r="M927" s="12" t="n">
        <v>219.46</v>
      </c>
      <c r="N927" s="12" t="n">
        <v>134.5</v>
      </c>
      <c r="O927" t="inlineStr">
        <is>
          <t>Debit Card</t>
        </is>
      </c>
      <c r="P927" t="inlineStr">
        <is>
          <t>Kabir Singh</t>
        </is>
      </c>
    </row>
    <row r="928">
      <c r="A928" t="inlineStr">
        <is>
          <t>ORD-2510-0927</t>
        </is>
      </c>
      <c r="B928" s="11" t="n">
        <v>45932</v>
      </c>
      <c r="C928" t="inlineStr">
        <is>
          <t>East</t>
        </is>
      </c>
      <c r="D928" t="inlineStr">
        <is>
          <t>Kolkata</t>
        </is>
      </c>
      <c r="E928" t="inlineStr">
        <is>
          <t>Small Business</t>
        </is>
      </c>
      <c r="F928" t="inlineStr">
        <is>
          <t>Retail Store</t>
        </is>
      </c>
      <c r="G928" t="inlineStr">
        <is>
          <t>Furniture</t>
        </is>
      </c>
      <c r="H928" t="inlineStr">
        <is>
          <t>Bookshelf</t>
        </is>
      </c>
      <c r="I928" t="n">
        <v>4</v>
      </c>
      <c r="J928" s="12" t="n">
        <v>4900.38</v>
      </c>
      <c r="K928" s="13" t="n">
        <v>0.05</v>
      </c>
      <c r="L928" s="12" t="n">
        <v>18621.44</v>
      </c>
      <c r="M928" s="12" t="n">
        <v>14505.12</v>
      </c>
      <c r="N928" s="12" t="n">
        <v>4116.32</v>
      </c>
      <c r="O928" t="inlineStr">
        <is>
          <t>Credit Card</t>
        </is>
      </c>
      <c r="P928" t="inlineStr">
        <is>
          <t>Sara Khan</t>
        </is>
      </c>
    </row>
    <row r="929">
      <c r="A929" t="inlineStr">
        <is>
          <t>ORD-2512-0928</t>
        </is>
      </c>
      <c r="B929" s="11" t="n">
        <v>46021</v>
      </c>
      <c r="C929" t="inlineStr">
        <is>
          <t>South</t>
        </is>
      </c>
      <c r="D929" t="inlineStr">
        <is>
          <t>Bengaluru</t>
        </is>
      </c>
      <c r="E929" t="inlineStr">
        <is>
          <t>Corporate</t>
        </is>
      </c>
      <c r="F929" t="inlineStr">
        <is>
          <t>Online</t>
        </is>
      </c>
      <c r="G929" t="inlineStr">
        <is>
          <t>Technology</t>
        </is>
      </c>
      <c r="H929" t="inlineStr">
        <is>
          <t>Printer</t>
        </is>
      </c>
      <c r="I929" t="n">
        <v>2</v>
      </c>
      <c r="J929" s="12" t="n">
        <v>9380</v>
      </c>
      <c r="K929" s="13" t="n">
        <v>0</v>
      </c>
      <c r="L929" s="12" t="n">
        <v>18760</v>
      </c>
      <c r="M929" s="12" t="n">
        <v>15758.4</v>
      </c>
      <c r="N929" s="12" t="n">
        <v>3001.6</v>
      </c>
      <c r="O929" t="inlineStr">
        <is>
          <t>UPI</t>
        </is>
      </c>
      <c r="P929" t="inlineStr">
        <is>
          <t>Meera Joshi</t>
        </is>
      </c>
    </row>
    <row r="930">
      <c r="A930" t="inlineStr">
        <is>
          <t>ORD-2509-0929</t>
        </is>
      </c>
      <c r="B930" s="11" t="n">
        <v>45903</v>
      </c>
      <c r="C930" t="inlineStr">
        <is>
          <t>East</t>
        </is>
      </c>
      <c r="D930" t="inlineStr">
        <is>
          <t>Kolkata</t>
        </is>
      </c>
      <c r="E930" t="inlineStr">
        <is>
          <t>Consumer</t>
        </is>
      </c>
      <c r="F930" t="inlineStr">
        <is>
          <t>Retail Store</t>
        </is>
      </c>
      <c r="G930" t="inlineStr">
        <is>
          <t>Furniture</t>
        </is>
      </c>
      <c r="H930" t="inlineStr">
        <is>
          <t>Desk</t>
        </is>
      </c>
      <c r="I930" t="n">
        <v>3</v>
      </c>
      <c r="J930" s="12" t="n">
        <v>11834.4</v>
      </c>
      <c r="K930" s="13" t="n">
        <v>0.05</v>
      </c>
      <c r="L930" s="12" t="n">
        <v>33728.04</v>
      </c>
      <c r="M930" s="12" t="n">
        <v>26982.43</v>
      </c>
      <c r="N930" s="12" t="n">
        <v>6745.61</v>
      </c>
      <c r="O930" t="inlineStr">
        <is>
          <t>Debit Card</t>
        </is>
      </c>
      <c r="P930" t="inlineStr">
        <is>
          <t>Vivaan Gupta</t>
        </is>
      </c>
    </row>
    <row r="931">
      <c r="A931" t="inlineStr">
        <is>
          <t>ORD-2503-0930</t>
        </is>
      </c>
      <c r="B931" s="11" t="n">
        <v>45725</v>
      </c>
      <c r="C931" t="inlineStr">
        <is>
          <t>North</t>
        </is>
      </c>
      <c r="D931" t="inlineStr">
        <is>
          <t>Delhi</t>
        </is>
      </c>
      <c r="E931" t="inlineStr">
        <is>
          <t>Small Business</t>
        </is>
      </c>
      <c r="F931" t="inlineStr">
        <is>
          <t>Online</t>
        </is>
      </c>
      <c r="G931" t="inlineStr">
        <is>
          <t>Office Supplies</t>
        </is>
      </c>
      <c r="H931" t="inlineStr">
        <is>
          <t>File Folder</t>
        </is>
      </c>
      <c r="I931" t="n">
        <v>1</v>
      </c>
      <c r="J931" s="12" t="n">
        <v>90</v>
      </c>
      <c r="K931" s="13" t="n">
        <v>0</v>
      </c>
      <c r="L931" s="12" t="n">
        <v>90</v>
      </c>
      <c r="M931" s="12" t="n">
        <v>55.8</v>
      </c>
      <c r="N931" s="12" t="n">
        <v>34.2</v>
      </c>
      <c r="O931" t="inlineStr">
        <is>
          <t>Credit Card</t>
        </is>
      </c>
      <c r="P931" t="inlineStr">
        <is>
          <t>Sara Khan</t>
        </is>
      </c>
    </row>
    <row r="932">
      <c r="A932" t="inlineStr">
        <is>
          <t>ORD-2508-0931</t>
        </is>
      </c>
      <c r="B932" s="11" t="n">
        <v>45877</v>
      </c>
      <c r="C932" t="inlineStr">
        <is>
          <t>Central</t>
        </is>
      </c>
      <c r="D932" t="inlineStr">
        <is>
          <t>Bhopal</t>
        </is>
      </c>
      <c r="E932" t="inlineStr">
        <is>
          <t>Corporate</t>
        </is>
      </c>
      <c r="F932" t="inlineStr">
        <is>
          <t>Online</t>
        </is>
      </c>
      <c r="G932" t="inlineStr">
        <is>
          <t>Furniture</t>
        </is>
      </c>
      <c r="H932" t="inlineStr">
        <is>
          <t>Desk</t>
        </is>
      </c>
      <c r="I932" t="n">
        <v>3</v>
      </c>
      <c r="J932" s="12" t="n">
        <v>10732.01</v>
      </c>
      <c r="K932" s="13" t="n">
        <v>0.05</v>
      </c>
      <c r="L932" s="12" t="n">
        <v>30586.23</v>
      </c>
      <c r="M932" s="12" t="n">
        <v>24468.98</v>
      </c>
      <c r="N932" s="12" t="n">
        <v>6117.25</v>
      </c>
      <c r="O932" t="inlineStr">
        <is>
          <t>Cash</t>
        </is>
      </c>
      <c r="P932" t="inlineStr">
        <is>
          <t>Kabir Singh</t>
        </is>
      </c>
    </row>
    <row r="933">
      <c r="A933" t="inlineStr">
        <is>
          <t>ORD-2509-0932</t>
        </is>
      </c>
      <c r="B933" s="11" t="n">
        <v>45919</v>
      </c>
      <c r="C933" t="inlineStr">
        <is>
          <t>South</t>
        </is>
      </c>
      <c r="D933" t="inlineStr">
        <is>
          <t>Chennai</t>
        </is>
      </c>
      <c r="E933" t="inlineStr">
        <is>
          <t>Consumer</t>
        </is>
      </c>
      <c r="F933" t="inlineStr">
        <is>
          <t>Partner</t>
        </is>
      </c>
      <c r="G933" t="inlineStr">
        <is>
          <t>Technology</t>
        </is>
      </c>
      <c r="H933" t="inlineStr">
        <is>
          <t>Headphones</t>
        </is>
      </c>
      <c r="I933" t="n">
        <v>4</v>
      </c>
      <c r="J933" s="12" t="n">
        <v>2373.98</v>
      </c>
      <c r="K933" s="13" t="n">
        <v>0.15</v>
      </c>
      <c r="L933" s="12" t="n">
        <v>8071.53</v>
      </c>
      <c r="M933" s="12" t="n">
        <v>7406.82</v>
      </c>
      <c r="N933" s="12" t="n">
        <v>664.71</v>
      </c>
      <c r="O933" t="inlineStr">
        <is>
          <t>Debit Card</t>
        </is>
      </c>
      <c r="P933" t="inlineStr">
        <is>
          <t>Meera Joshi</t>
        </is>
      </c>
    </row>
    <row r="934">
      <c r="A934" t="inlineStr">
        <is>
          <t>ORD-2508-0933</t>
        </is>
      </c>
      <c r="B934" s="11" t="n">
        <v>45900</v>
      </c>
      <c r="C934" t="inlineStr">
        <is>
          <t>North</t>
        </is>
      </c>
      <c r="D934" t="inlineStr">
        <is>
          <t>Jaipur</t>
        </is>
      </c>
      <c r="E934" t="inlineStr">
        <is>
          <t>Consumer</t>
        </is>
      </c>
      <c r="F934" t="inlineStr">
        <is>
          <t>Online</t>
        </is>
      </c>
      <c r="G934" t="inlineStr">
        <is>
          <t>Technology</t>
        </is>
      </c>
      <c r="H934" t="inlineStr">
        <is>
          <t>Printer</t>
        </is>
      </c>
      <c r="I934" t="n">
        <v>10</v>
      </c>
      <c r="J934" s="12" t="n">
        <v>9704.41</v>
      </c>
      <c r="K934" s="13" t="n">
        <v>0.1</v>
      </c>
      <c r="L934" s="12" t="n">
        <v>87339.69</v>
      </c>
      <c r="M934" s="12" t="n">
        <v>81517.03999999999</v>
      </c>
      <c r="N934" s="12" t="n">
        <v>5822.65</v>
      </c>
      <c r="O934" t="inlineStr">
        <is>
          <t>UPI</t>
        </is>
      </c>
      <c r="P934" t="inlineStr">
        <is>
          <t>Vivaan Gupta</t>
        </is>
      </c>
    </row>
    <row r="935">
      <c r="A935" t="inlineStr">
        <is>
          <t>ORD-2501-0934</t>
        </is>
      </c>
      <c r="B935" s="11" t="n">
        <v>45677</v>
      </c>
      <c r="C935" t="inlineStr">
        <is>
          <t>East</t>
        </is>
      </c>
      <c r="D935" t="inlineStr">
        <is>
          <t>Patna</t>
        </is>
      </c>
      <c r="E935" t="inlineStr">
        <is>
          <t>Consumer</t>
        </is>
      </c>
      <c r="F935" t="inlineStr">
        <is>
          <t>Retail Store</t>
        </is>
      </c>
      <c r="G935" t="inlineStr">
        <is>
          <t>Technology</t>
        </is>
      </c>
      <c r="H935" t="inlineStr">
        <is>
          <t>Keyboard</t>
        </is>
      </c>
      <c r="I935" t="n">
        <v>2</v>
      </c>
      <c r="J935" s="12" t="n">
        <v>1308.37</v>
      </c>
      <c r="K935" s="13" t="n">
        <v>0.1</v>
      </c>
      <c r="L935" s="12" t="n">
        <v>2355.07</v>
      </c>
      <c r="M935" s="12" t="n">
        <v>1962.55</v>
      </c>
      <c r="N935" s="12" t="n">
        <v>392.52</v>
      </c>
      <c r="O935" t="inlineStr">
        <is>
          <t>Debit Card</t>
        </is>
      </c>
      <c r="P935" t="inlineStr">
        <is>
          <t>Rohan Verma</t>
        </is>
      </c>
    </row>
    <row r="936">
      <c r="A936" t="inlineStr">
        <is>
          <t>ORD-2512-0935</t>
        </is>
      </c>
      <c r="B936" s="11" t="n">
        <v>46016</v>
      </c>
      <c r="C936" t="inlineStr">
        <is>
          <t>South</t>
        </is>
      </c>
      <c r="D936" t="inlineStr">
        <is>
          <t>Chennai</t>
        </is>
      </c>
      <c r="E936" t="inlineStr">
        <is>
          <t>Consumer</t>
        </is>
      </c>
      <c r="F936" t="inlineStr">
        <is>
          <t>Retail Store</t>
        </is>
      </c>
      <c r="G936" t="inlineStr">
        <is>
          <t>Furniture</t>
        </is>
      </c>
      <c r="H936" t="inlineStr">
        <is>
          <t>Office Chair</t>
        </is>
      </c>
      <c r="I936" t="n">
        <v>2</v>
      </c>
      <c r="J936" s="12" t="n">
        <v>6720.66</v>
      </c>
      <c r="K936" s="13" t="n">
        <v>0</v>
      </c>
      <c r="L936" s="12" t="n">
        <v>13441.32</v>
      </c>
      <c r="M936" s="12" t="n">
        <v>9677.75</v>
      </c>
      <c r="N936" s="12" t="n">
        <v>3763.57</v>
      </c>
      <c r="O936" t="inlineStr">
        <is>
          <t>Credit Card</t>
        </is>
      </c>
      <c r="P936" t="inlineStr">
        <is>
          <t>Rohan Verma</t>
        </is>
      </c>
    </row>
    <row r="937">
      <c r="A937" t="inlineStr">
        <is>
          <t>ORD-2507-0936</t>
        </is>
      </c>
      <c r="B937" s="11" t="n">
        <v>45844</v>
      </c>
      <c r="C937" t="inlineStr">
        <is>
          <t>East</t>
        </is>
      </c>
      <c r="D937" t="inlineStr">
        <is>
          <t>Bhubaneswar</t>
        </is>
      </c>
      <c r="E937" t="inlineStr">
        <is>
          <t>Consumer</t>
        </is>
      </c>
      <c r="F937" t="inlineStr">
        <is>
          <t>Online</t>
        </is>
      </c>
      <c r="G937" t="inlineStr">
        <is>
          <t>Office Supplies</t>
        </is>
      </c>
      <c r="H937" t="inlineStr">
        <is>
          <t>Paper Ream</t>
        </is>
      </c>
      <c r="I937" t="n">
        <v>2</v>
      </c>
      <c r="J937" s="12" t="n">
        <v>389.6</v>
      </c>
      <c r="K937" s="13" t="n">
        <v>0.05</v>
      </c>
      <c r="L937" s="12" t="n">
        <v>740.24</v>
      </c>
      <c r="M937" s="12" t="n">
        <v>599.98</v>
      </c>
      <c r="N937" s="12" t="n">
        <v>140.26</v>
      </c>
      <c r="O937" t="inlineStr">
        <is>
          <t>Credit Card</t>
        </is>
      </c>
      <c r="P937" t="inlineStr">
        <is>
          <t>Sara Khan</t>
        </is>
      </c>
    </row>
    <row r="938">
      <c r="A938" t="inlineStr">
        <is>
          <t>ORD-2504-0937</t>
        </is>
      </c>
      <c r="B938" s="11" t="n">
        <v>45766</v>
      </c>
      <c r="C938" t="inlineStr">
        <is>
          <t>East</t>
        </is>
      </c>
      <c r="D938" t="inlineStr">
        <is>
          <t>Guwahati</t>
        </is>
      </c>
      <c r="E938" t="inlineStr">
        <is>
          <t>Corporate</t>
        </is>
      </c>
      <c r="F938" t="inlineStr">
        <is>
          <t>Retail Store</t>
        </is>
      </c>
      <c r="G938" t="inlineStr">
        <is>
          <t>Technology</t>
        </is>
      </c>
      <c r="H938" t="inlineStr">
        <is>
          <t>Headphones</t>
        </is>
      </c>
      <c r="I938" t="n">
        <v>6</v>
      </c>
      <c r="J938" s="12" t="n">
        <v>2089.06</v>
      </c>
      <c r="K938" s="13" t="n">
        <v>0</v>
      </c>
      <c r="L938" s="12" t="n">
        <v>12534.36</v>
      </c>
      <c r="M938" s="12" t="n">
        <v>9776.799999999999</v>
      </c>
      <c r="N938" s="12" t="n">
        <v>2757.56</v>
      </c>
      <c r="O938" t="inlineStr">
        <is>
          <t>Net Banking</t>
        </is>
      </c>
      <c r="P938" t="inlineStr">
        <is>
          <t>Rohan Verma</t>
        </is>
      </c>
    </row>
    <row r="939">
      <c r="A939" t="inlineStr">
        <is>
          <t>ORD-2502-0938</t>
        </is>
      </c>
      <c r="B939" s="11" t="n">
        <v>45715</v>
      </c>
      <c r="C939" t="inlineStr">
        <is>
          <t>North</t>
        </is>
      </c>
      <c r="D939" t="inlineStr">
        <is>
          <t>Delhi</t>
        </is>
      </c>
      <c r="E939" t="inlineStr">
        <is>
          <t>Small Business</t>
        </is>
      </c>
      <c r="F939" t="inlineStr">
        <is>
          <t>Retail Store</t>
        </is>
      </c>
      <c r="G939" t="inlineStr">
        <is>
          <t>Office Supplies</t>
        </is>
      </c>
      <c r="H939" t="inlineStr">
        <is>
          <t>Pens Box</t>
        </is>
      </c>
      <c r="I939" t="n">
        <v>3</v>
      </c>
      <c r="J939" s="12" t="n">
        <v>175.14</v>
      </c>
      <c r="K939" s="13" t="n">
        <v>0.15</v>
      </c>
      <c r="L939" s="12" t="n">
        <v>446.61</v>
      </c>
      <c r="M939" s="12" t="n">
        <v>341.52</v>
      </c>
      <c r="N939" s="12" t="n">
        <v>105.09</v>
      </c>
      <c r="O939" t="inlineStr">
        <is>
          <t>Cash</t>
        </is>
      </c>
      <c r="P939" t="inlineStr">
        <is>
          <t>Sara Khan</t>
        </is>
      </c>
    </row>
    <row r="940">
      <c r="A940" t="inlineStr">
        <is>
          <t>ORD-2505-0939</t>
        </is>
      </c>
      <c r="B940" s="11" t="n">
        <v>45779</v>
      </c>
      <c r="C940" t="inlineStr">
        <is>
          <t>East</t>
        </is>
      </c>
      <c r="D940" t="inlineStr">
        <is>
          <t>Patna</t>
        </is>
      </c>
      <c r="E940" t="inlineStr">
        <is>
          <t>Small Business</t>
        </is>
      </c>
      <c r="F940" t="inlineStr">
        <is>
          <t>Partner</t>
        </is>
      </c>
      <c r="G940" t="inlineStr">
        <is>
          <t>Office Supplies</t>
        </is>
      </c>
      <c r="H940" t="inlineStr">
        <is>
          <t>Notebook Pack</t>
        </is>
      </c>
      <c r="I940" t="n">
        <v>2</v>
      </c>
      <c r="J940" s="12" t="n">
        <v>329.31</v>
      </c>
      <c r="K940" s="13" t="n">
        <v>0.15</v>
      </c>
      <c r="L940" s="12" t="n">
        <v>559.83</v>
      </c>
      <c r="M940" s="12" t="n">
        <v>447.86</v>
      </c>
      <c r="N940" s="12" t="n">
        <v>111.97</v>
      </c>
      <c r="O940" t="inlineStr">
        <is>
          <t>Credit Card</t>
        </is>
      </c>
      <c r="P940" t="inlineStr">
        <is>
          <t>Aarav Sharma</t>
        </is>
      </c>
    </row>
    <row r="941">
      <c r="A941" t="inlineStr">
        <is>
          <t>ORD-2510-0940</t>
        </is>
      </c>
      <c r="B941" s="11" t="n">
        <v>45958</v>
      </c>
      <c r="C941" t="inlineStr">
        <is>
          <t>South</t>
        </is>
      </c>
      <c r="D941" t="inlineStr">
        <is>
          <t>Chennai</t>
        </is>
      </c>
      <c r="E941" t="inlineStr">
        <is>
          <t>Small Business</t>
        </is>
      </c>
      <c r="F941" t="inlineStr">
        <is>
          <t>Retail Store</t>
        </is>
      </c>
      <c r="G941" t="inlineStr">
        <is>
          <t>Office Supplies</t>
        </is>
      </c>
      <c r="H941" t="inlineStr">
        <is>
          <t>Paper Ream</t>
        </is>
      </c>
      <c r="I941" t="n">
        <v>3</v>
      </c>
      <c r="J941" s="12" t="n">
        <v>449.69</v>
      </c>
      <c r="K941" s="13" t="n">
        <v>0</v>
      </c>
      <c r="L941" s="12" t="n">
        <v>1349.07</v>
      </c>
      <c r="M941" s="12" t="n">
        <v>1038.78</v>
      </c>
      <c r="N941" s="12" t="n">
        <v>310.29</v>
      </c>
      <c r="O941" t="inlineStr">
        <is>
          <t>Net Banking</t>
        </is>
      </c>
      <c r="P941" t="inlineStr">
        <is>
          <t>Anaya Rao</t>
        </is>
      </c>
    </row>
    <row r="942">
      <c r="A942" t="inlineStr">
        <is>
          <t>ORD-2504-0941</t>
        </is>
      </c>
      <c r="B942" s="11" t="n">
        <v>45761</v>
      </c>
      <c r="C942" t="inlineStr">
        <is>
          <t>Central</t>
        </is>
      </c>
      <c r="D942" t="inlineStr">
        <is>
          <t>Indore</t>
        </is>
      </c>
      <c r="E942" t="inlineStr">
        <is>
          <t>Small Business</t>
        </is>
      </c>
      <c r="F942" t="inlineStr">
        <is>
          <t>Retail Store</t>
        </is>
      </c>
      <c r="G942" t="inlineStr">
        <is>
          <t>Technology</t>
        </is>
      </c>
      <c r="H942" t="inlineStr">
        <is>
          <t>Laptop</t>
        </is>
      </c>
      <c r="I942" t="n">
        <v>1</v>
      </c>
      <c r="J942" s="12" t="n">
        <v>43421.97</v>
      </c>
      <c r="K942" s="13" t="n">
        <v>0.05</v>
      </c>
      <c r="L942" s="12" t="n">
        <v>41250.87</v>
      </c>
      <c r="M942" s="12" t="n">
        <v>38211.33</v>
      </c>
      <c r="N942" s="12" t="n">
        <v>3039.54</v>
      </c>
      <c r="O942" t="inlineStr">
        <is>
          <t>Net Banking</t>
        </is>
      </c>
      <c r="P942" t="inlineStr">
        <is>
          <t>Anaya Rao</t>
        </is>
      </c>
    </row>
    <row r="943">
      <c r="A943" t="inlineStr">
        <is>
          <t>ORD-2511-0942</t>
        </is>
      </c>
      <c r="B943" s="11" t="n">
        <v>45980</v>
      </c>
      <c r="C943" t="inlineStr">
        <is>
          <t>North</t>
        </is>
      </c>
      <c r="D943" t="inlineStr">
        <is>
          <t>Lucknow</t>
        </is>
      </c>
      <c r="E943" t="inlineStr">
        <is>
          <t>Consumer</t>
        </is>
      </c>
      <c r="F943" t="inlineStr">
        <is>
          <t>Online</t>
        </is>
      </c>
      <c r="G943" t="inlineStr">
        <is>
          <t>Technology</t>
        </is>
      </c>
      <c r="H943" t="inlineStr">
        <is>
          <t>Monitor</t>
        </is>
      </c>
      <c r="I943" t="n">
        <v>3</v>
      </c>
      <c r="J943" s="12" t="n">
        <v>13404.89</v>
      </c>
      <c r="K943" s="13" t="n">
        <v>0.1</v>
      </c>
      <c r="L943" s="12" t="n">
        <v>36193.2</v>
      </c>
      <c r="M943" s="12" t="n">
        <v>32976.03</v>
      </c>
      <c r="N943" s="12" t="n">
        <v>3217.17</v>
      </c>
      <c r="O943" t="inlineStr">
        <is>
          <t>Cash</t>
        </is>
      </c>
      <c r="P943" t="inlineStr">
        <is>
          <t>Rohan Verma</t>
        </is>
      </c>
    </row>
    <row r="944">
      <c r="A944" t="inlineStr">
        <is>
          <t>ORD-2512-0943</t>
        </is>
      </c>
      <c r="B944" s="11" t="n">
        <v>46014</v>
      </c>
      <c r="C944" t="inlineStr">
        <is>
          <t>South</t>
        </is>
      </c>
      <c r="D944" t="inlineStr">
        <is>
          <t>Hyderabad</t>
        </is>
      </c>
      <c r="E944" t="inlineStr">
        <is>
          <t>Consumer</t>
        </is>
      </c>
      <c r="F944" t="inlineStr">
        <is>
          <t>Partner</t>
        </is>
      </c>
      <c r="G944" t="inlineStr">
        <is>
          <t>Technology</t>
        </is>
      </c>
      <c r="H944" t="inlineStr">
        <is>
          <t>Laptop</t>
        </is>
      </c>
      <c r="I944" t="n">
        <v>8</v>
      </c>
      <c r="J944" s="12" t="n">
        <v>45175.03</v>
      </c>
      <c r="K944" s="13" t="n">
        <v>0</v>
      </c>
      <c r="L944" s="12" t="n">
        <v>361400.24</v>
      </c>
      <c r="M944" s="12" t="n">
        <v>318032.21</v>
      </c>
      <c r="N944" s="12" t="n">
        <v>43368.03</v>
      </c>
      <c r="O944" t="inlineStr">
        <is>
          <t>Debit Card</t>
        </is>
      </c>
      <c r="P944" t="inlineStr">
        <is>
          <t>Anaya Rao</t>
        </is>
      </c>
    </row>
    <row r="945">
      <c r="A945" t="inlineStr">
        <is>
          <t>ORD-2512-0944</t>
        </is>
      </c>
      <c r="B945" s="11" t="n">
        <v>46008</v>
      </c>
      <c r="C945" t="inlineStr">
        <is>
          <t>Central</t>
        </is>
      </c>
      <c r="D945" t="inlineStr">
        <is>
          <t>Bhopal</t>
        </is>
      </c>
      <c r="E945" t="inlineStr">
        <is>
          <t>Corporate</t>
        </is>
      </c>
      <c r="F945" t="inlineStr">
        <is>
          <t>Retail Store</t>
        </is>
      </c>
      <c r="G945" t="inlineStr">
        <is>
          <t>Technology</t>
        </is>
      </c>
      <c r="H945" t="inlineStr">
        <is>
          <t>Keyboard</t>
        </is>
      </c>
      <c r="I945" t="n">
        <v>2</v>
      </c>
      <c r="J945" s="12" t="n">
        <v>1414</v>
      </c>
      <c r="K945" s="13" t="n">
        <v>0.1</v>
      </c>
      <c r="L945" s="12" t="n">
        <v>2545.2</v>
      </c>
      <c r="M945" s="12" t="n">
        <v>2121</v>
      </c>
      <c r="N945" s="12" t="n">
        <v>424.2</v>
      </c>
      <c r="O945" t="inlineStr">
        <is>
          <t>Cash</t>
        </is>
      </c>
      <c r="P945" t="inlineStr">
        <is>
          <t>Rohan Verma</t>
        </is>
      </c>
    </row>
    <row r="946">
      <c r="A946" t="inlineStr">
        <is>
          <t>ORD-2504-0945</t>
        </is>
      </c>
      <c r="B946" s="11" t="n">
        <v>45763</v>
      </c>
      <c r="C946" t="inlineStr">
        <is>
          <t>South</t>
        </is>
      </c>
      <c r="D946" t="inlineStr">
        <is>
          <t>Bengaluru</t>
        </is>
      </c>
      <c r="E946" t="inlineStr">
        <is>
          <t>Small Business</t>
        </is>
      </c>
      <c r="F946" t="inlineStr">
        <is>
          <t>Retail Store</t>
        </is>
      </c>
      <c r="G946" t="inlineStr">
        <is>
          <t>Technology</t>
        </is>
      </c>
      <c r="H946" t="inlineStr">
        <is>
          <t>Keyboard</t>
        </is>
      </c>
      <c r="I946" t="n">
        <v>3</v>
      </c>
      <c r="J946" s="12" t="n">
        <v>1289.98</v>
      </c>
      <c r="K946" s="13" t="n">
        <v>0.1</v>
      </c>
      <c r="L946" s="12" t="n">
        <v>3482.95</v>
      </c>
      <c r="M946" s="12" t="n">
        <v>2902.45</v>
      </c>
      <c r="N946" s="12" t="n">
        <v>580.5</v>
      </c>
      <c r="O946" t="inlineStr">
        <is>
          <t>Cash</t>
        </is>
      </c>
      <c r="P946" t="inlineStr">
        <is>
          <t>Rohan Verma</t>
        </is>
      </c>
    </row>
    <row r="947">
      <c r="A947" t="inlineStr">
        <is>
          <t>ORD-2506-0946</t>
        </is>
      </c>
      <c r="B947" s="11" t="n">
        <v>45813</v>
      </c>
      <c r="C947" t="inlineStr">
        <is>
          <t>South</t>
        </is>
      </c>
      <c r="D947" t="inlineStr">
        <is>
          <t>Hyderabad</t>
        </is>
      </c>
      <c r="E947" t="inlineStr">
        <is>
          <t>Small Business</t>
        </is>
      </c>
      <c r="F947" t="inlineStr">
        <is>
          <t>Online</t>
        </is>
      </c>
      <c r="G947" t="inlineStr">
        <is>
          <t>Office Supplies</t>
        </is>
      </c>
      <c r="H947" t="inlineStr">
        <is>
          <t>Paper Ream</t>
        </is>
      </c>
      <c r="I947" t="n">
        <v>2</v>
      </c>
      <c r="J947" s="12" t="n">
        <v>401.45</v>
      </c>
      <c r="K947" s="13" t="n">
        <v>0</v>
      </c>
      <c r="L947" s="12" t="n">
        <v>802.9</v>
      </c>
      <c r="M947" s="12" t="n">
        <v>618.23</v>
      </c>
      <c r="N947" s="12" t="n">
        <v>184.67</v>
      </c>
      <c r="O947" t="inlineStr">
        <is>
          <t>Net Banking</t>
        </is>
      </c>
      <c r="P947" t="inlineStr">
        <is>
          <t>Aarav Sharma</t>
        </is>
      </c>
    </row>
    <row r="948">
      <c r="A948" t="inlineStr">
        <is>
          <t>ORD-2511-0947</t>
        </is>
      </c>
      <c r="B948" s="11" t="n">
        <v>45985</v>
      </c>
      <c r="C948" t="inlineStr">
        <is>
          <t>South</t>
        </is>
      </c>
      <c r="D948" t="inlineStr">
        <is>
          <t>Hyderabad</t>
        </is>
      </c>
      <c r="E948" t="inlineStr">
        <is>
          <t>Consumer</t>
        </is>
      </c>
      <c r="F948" t="inlineStr">
        <is>
          <t>Online</t>
        </is>
      </c>
      <c r="G948" t="inlineStr">
        <is>
          <t>Technology</t>
        </is>
      </c>
      <c r="H948" t="inlineStr">
        <is>
          <t>Keyboard</t>
        </is>
      </c>
      <c r="I948" t="n">
        <v>2</v>
      </c>
      <c r="J948" s="12" t="n">
        <v>1431.9</v>
      </c>
      <c r="K948" s="13" t="n">
        <v>0.15</v>
      </c>
      <c r="L948" s="12" t="n">
        <v>2434.23</v>
      </c>
      <c r="M948" s="12" t="n">
        <v>2147.85</v>
      </c>
      <c r="N948" s="12" t="n">
        <v>286.38</v>
      </c>
      <c r="O948" t="inlineStr">
        <is>
          <t>Cash</t>
        </is>
      </c>
      <c r="P948" t="inlineStr">
        <is>
          <t>Diya Patel</t>
        </is>
      </c>
    </row>
    <row r="949">
      <c r="A949" t="inlineStr">
        <is>
          <t>ORD-2501-0948</t>
        </is>
      </c>
      <c r="B949" s="11" t="n">
        <v>45658</v>
      </c>
      <c r="C949" t="inlineStr">
        <is>
          <t>East</t>
        </is>
      </c>
      <c r="D949" t="inlineStr">
        <is>
          <t>Bhubaneswar</t>
        </is>
      </c>
      <c r="E949" t="inlineStr">
        <is>
          <t>Small Business</t>
        </is>
      </c>
      <c r="F949" t="inlineStr">
        <is>
          <t>Online</t>
        </is>
      </c>
      <c r="G949" t="inlineStr">
        <is>
          <t>Furniture</t>
        </is>
      </c>
      <c r="H949" t="inlineStr">
        <is>
          <t>Office Chair</t>
        </is>
      </c>
      <c r="I949" t="n">
        <v>1</v>
      </c>
      <c r="J949" s="12" t="n">
        <v>6853.61</v>
      </c>
      <c r="K949" s="13" t="n">
        <v>0.1</v>
      </c>
      <c r="L949" s="12" t="n">
        <v>6168.25</v>
      </c>
      <c r="M949" s="12" t="n">
        <v>4934.6</v>
      </c>
      <c r="N949" s="12" t="n">
        <v>1233.65</v>
      </c>
      <c r="O949" t="inlineStr">
        <is>
          <t>Debit Card</t>
        </is>
      </c>
      <c r="P949" t="inlineStr">
        <is>
          <t>Rohan Verma</t>
        </is>
      </c>
    </row>
    <row r="950">
      <c r="A950" t="inlineStr">
        <is>
          <t>ORD-2506-0949</t>
        </is>
      </c>
      <c r="B950" s="11" t="n">
        <v>45824</v>
      </c>
      <c r="C950" t="inlineStr">
        <is>
          <t>North</t>
        </is>
      </c>
      <c r="D950" t="inlineStr">
        <is>
          <t>Delhi</t>
        </is>
      </c>
      <c r="E950" t="inlineStr">
        <is>
          <t>Corporate</t>
        </is>
      </c>
      <c r="F950" t="inlineStr">
        <is>
          <t>Online</t>
        </is>
      </c>
      <c r="G950" t="inlineStr">
        <is>
          <t>Office Supplies</t>
        </is>
      </c>
      <c r="H950" t="inlineStr">
        <is>
          <t>Stapler</t>
        </is>
      </c>
      <c r="I950" t="n">
        <v>2</v>
      </c>
      <c r="J950" s="12" t="n">
        <v>250.84</v>
      </c>
      <c r="K950" s="13" t="n">
        <v>0.1</v>
      </c>
      <c r="L950" s="12" t="n">
        <v>451.51</v>
      </c>
      <c r="M950" s="12" t="n">
        <v>351.18</v>
      </c>
      <c r="N950" s="12" t="n">
        <v>100.33</v>
      </c>
      <c r="O950" t="inlineStr">
        <is>
          <t>Cash</t>
        </is>
      </c>
      <c r="P950" t="inlineStr">
        <is>
          <t>Diya Patel</t>
        </is>
      </c>
    </row>
    <row r="951">
      <c r="A951" t="inlineStr">
        <is>
          <t>ORD-2512-0950</t>
        </is>
      </c>
      <c r="B951" s="11" t="n">
        <v>46010</v>
      </c>
      <c r="C951" t="inlineStr">
        <is>
          <t>West</t>
        </is>
      </c>
      <c r="D951" t="inlineStr">
        <is>
          <t>Ahmedabad</t>
        </is>
      </c>
      <c r="E951" t="inlineStr">
        <is>
          <t>Corporate</t>
        </is>
      </c>
      <c r="F951" t="inlineStr">
        <is>
          <t>Online</t>
        </is>
      </c>
      <c r="G951" t="inlineStr">
        <is>
          <t>Office Supplies</t>
        </is>
      </c>
      <c r="H951" t="inlineStr">
        <is>
          <t>Stapler</t>
        </is>
      </c>
      <c r="I951" t="n">
        <v>3</v>
      </c>
      <c r="J951" s="12" t="n">
        <v>247.78</v>
      </c>
      <c r="K951" s="13" t="n">
        <v>0.1</v>
      </c>
      <c r="L951" s="12" t="n">
        <v>669.01</v>
      </c>
      <c r="M951" s="12" t="n">
        <v>520.34</v>
      </c>
      <c r="N951" s="12" t="n">
        <v>148.67</v>
      </c>
      <c r="O951" t="inlineStr">
        <is>
          <t>Net Banking</t>
        </is>
      </c>
      <c r="P951" t="inlineStr">
        <is>
          <t>Rohan Verma</t>
        </is>
      </c>
    </row>
    <row r="952">
      <c r="A952" t="inlineStr">
        <is>
          <t>ORD-2504-0951</t>
        </is>
      </c>
      <c r="B952" s="11" t="n">
        <v>45762</v>
      </c>
      <c r="C952" t="inlineStr">
        <is>
          <t>Central</t>
        </is>
      </c>
      <c r="D952" t="inlineStr">
        <is>
          <t>Nagpur</t>
        </is>
      </c>
      <c r="E952" t="inlineStr">
        <is>
          <t>Consumer</t>
        </is>
      </c>
      <c r="F952" t="inlineStr">
        <is>
          <t>Retail Store</t>
        </is>
      </c>
      <c r="G952" t="inlineStr">
        <is>
          <t>Technology</t>
        </is>
      </c>
      <c r="H952" t="inlineStr">
        <is>
          <t>Keyboard</t>
        </is>
      </c>
      <c r="I952" t="n">
        <v>3</v>
      </c>
      <c r="J952" s="12" t="n">
        <v>1385.19</v>
      </c>
      <c r="K952" s="13" t="n">
        <v>0.1</v>
      </c>
      <c r="L952" s="12" t="n">
        <v>3740.01</v>
      </c>
      <c r="M952" s="12" t="n">
        <v>3116.68</v>
      </c>
      <c r="N952" s="12" t="n">
        <v>623.33</v>
      </c>
      <c r="O952" t="inlineStr">
        <is>
          <t>Credit Card</t>
        </is>
      </c>
      <c r="P952" t="inlineStr">
        <is>
          <t>Anaya Rao</t>
        </is>
      </c>
    </row>
    <row r="953">
      <c r="A953" t="inlineStr">
        <is>
          <t>ORD-2504-0952</t>
        </is>
      </c>
      <c r="B953" s="11" t="n">
        <v>45750</v>
      </c>
      <c r="C953" t="inlineStr">
        <is>
          <t>West</t>
        </is>
      </c>
      <c r="D953" t="inlineStr">
        <is>
          <t>Pune</t>
        </is>
      </c>
      <c r="E953" t="inlineStr">
        <is>
          <t>Small Business</t>
        </is>
      </c>
      <c r="F953" t="inlineStr">
        <is>
          <t>Online</t>
        </is>
      </c>
      <c r="G953" t="inlineStr">
        <is>
          <t>Office Supplies</t>
        </is>
      </c>
      <c r="H953" t="inlineStr">
        <is>
          <t>Stapler</t>
        </is>
      </c>
      <c r="I953" t="n">
        <v>5</v>
      </c>
      <c r="J953" s="12" t="n">
        <v>259.61</v>
      </c>
      <c r="K953" s="13" t="n">
        <v>0</v>
      </c>
      <c r="L953" s="12" t="n">
        <v>1298.05</v>
      </c>
      <c r="M953" s="12" t="n">
        <v>908.64</v>
      </c>
      <c r="N953" s="12" t="n">
        <v>389.41</v>
      </c>
      <c r="O953" t="inlineStr">
        <is>
          <t>Net Banking</t>
        </is>
      </c>
      <c r="P953" t="inlineStr">
        <is>
          <t>Aarav Sharma</t>
        </is>
      </c>
    </row>
    <row r="954">
      <c r="A954" t="inlineStr">
        <is>
          <t>ORD-2506-0953</t>
        </is>
      </c>
      <c r="B954" s="11" t="n">
        <v>45816</v>
      </c>
      <c r="C954" t="inlineStr">
        <is>
          <t>South</t>
        </is>
      </c>
      <c r="D954" t="inlineStr">
        <is>
          <t>Chennai</t>
        </is>
      </c>
      <c r="E954" t="inlineStr">
        <is>
          <t>Consumer</t>
        </is>
      </c>
      <c r="F954" t="inlineStr">
        <is>
          <t>Retail Store</t>
        </is>
      </c>
      <c r="G954" t="inlineStr">
        <is>
          <t>Office Supplies</t>
        </is>
      </c>
      <c r="H954" t="inlineStr">
        <is>
          <t>Stapler</t>
        </is>
      </c>
      <c r="I954" t="n">
        <v>2</v>
      </c>
      <c r="J954" s="12" t="n">
        <v>242.09</v>
      </c>
      <c r="K954" s="13" t="n">
        <v>0.1</v>
      </c>
      <c r="L954" s="12" t="n">
        <v>435.76</v>
      </c>
      <c r="M954" s="12" t="n">
        <v>338.93</v>
      </c>
      <c r="N954" s="12" t="n">
        <v>96.83</v>
      </c>
      <c r="O954" t="inlineStr">
        <is>
          <t>UPI</t>
        </is>
      </c>
      <c r="P954" t="inlineStr">
        <is>
          <t>Anaya Rao</t>
        </is>
      </c>
    </row>
    <row r="955">
      <c r="A955" t="inlineStr">
        <is>
          <t>ORD-2511-0954</t>
        </is>
      </c>
      <c r="B955" s="11" t="n">
        <v>45988</v>
      </c>
      <c r="C955" t="inlineStr">
        <is>
          <t>West</t>
        </is>
      </c>
      <c r="D955" t="inlineStr">
        <is>
          <t>Mumbai</t>
        </is>
      </c>
      <c r="E955" t="inlineStr">
        <is>
          <t>Small Business</t>
        </is>
      </c>
      <c r="F955" t="inlineStr">
        <is>
          <t>Online</t>
        </is>
      </c>
      <c r="G955" t="inlineStr">
        <is>
          <t>Office Supplies</t>
        </is>
      </c>
      <c r="H955" t="inlineStr">
        <is>
          <t>Paper Ream</t>
        </is>
      </c>
      <c r="I955" t="n">
        <v>3</v>
      </c>
      <c r="J955" s="12" t="n">
        <v>440.7</v>
      </c>
      <c r="K955" s="13" t="n">
        <v>0.1</v>
      </c>
      <c r="L955" s="12" t="n">
        <v>1189.89</v>
      </c>
      <c r="M955" s="12" t="n">
        <v>1018.02</v>
      </c>
      <c r="N955" s="12" t="n">
        <v>171.87</v>
      </c>
      <c r="O955" t="inlineStr">
        <is>
          <t>Debit Card</t>
        </is>
      </c>
      <c r="P955" t="inlineStr">
        <is>
          <t>Vivaan Gupta</t>
        </is>
      </c>
    </row>
    <row r="956">
      <c r="A956" t="inlineStr">
        <is>
          <t>ORD-2501-0955</t>
        </is>
      </c>
      <c r="B956" s="11" t="n">
        <v>45668</v>
      </c>
      <c r="C956" t="inlineStr">
        <is>
          <t>North</t>
        </is>
      </c>
      <c r="D956" t="inlineStr">
        <is>
          <t>Delhi</t>
        </is>
      </c>
      <c r="E956" t="inlineStr">
        <is>
          <t>Consumer</t>
        </is>
      </c>
      <c r="F956" t="inlineStr">
        <is>
          <t>Retail Store</t>
        </is>
      </c>
      <c r="G956" t="inlineStr">
        <is>
          <t>Office Supplies</t>
        </is>
      </c>
      <c r="H956" t="inlineStr">
        <is>
          <t>File Folder</t>
        </is>
      </c>
      <c r="I956" t="n">
        <v>5</v>
      </c>
      <c r="J956" s="12" t="n">
        <v>84.7</v>
      </c>
      <c r="K956" s="13" t="n">
        <v>0.15</v>
      </c>
      <c r="L956" s="12" t="n">
        <v>359.97</v>
      </c>
      <c r="M956" s="12" t="n">
        <v>262.57</v>
      </c>
      <c r="N956" s="12" t="n">
        <v>97.40000000000001</v>
      </c>
      <c r="O956" t="inlineStr">
        <is>
          <t>UPI</t>
        </is>
      </c>
      <c r="P956" t="inlineStr">
        <is>
          <t>Aarav Sharma</t>
        </is>
      </c>
    </row>
    <row r="957">
      <c r="A957" t="inlineStr">
        <is>
          <t>ORD-2501-0956</t>
        </is>
      </c>
      <c r="B957" s="11" t="n">
        <v>45662</v>
      </c>
      <c r="C957" t="inlineStr">
        <is>
          <t>North</t>
        </is>
      </c>
      <c r="D957" t="inlineStr">
        <is>
          <t>Chandigarh</t>
        </is>
      </c>
      <c r="E957" t="inlineStr">
        <is>
          <t>Small Business</t>
        </is>
      </c>
      <c r="F957" t="inlineStr">
        <is>
          <t>Retail Store</t>
        </is>
      </c>
      <c r="G957" t="inlineStr">
        <is>
          <t>Office Supplies</t>
        </is>
      </c>
      <c r="H957" t="inlineStr">
        <is>
          <t>Stapler</t>
        </is>
      </c>
      <c r="I957" t="n">
        <v>4</v>
      </c>
      <c r="J957" s="12" t="n">
        <v>259.19</v>
      </c>
      <c r="K957" s="13" t="n">
        <v>0</v>
      </c>
      <c r="L957" s="12" t="n">
        <v>1036.76</v>
      </c>
      <c r="M957" s="12" t="n">
        <v>725.73</v>
      </c>
      <c r="N957" s="12" t="n">
        <v>311.03</v>
      </c>
      <c r="O957" t="inlineStr">
        <is>
          <t>UPI</t>
        </is>
      </c>
      <c r="P957" t="inlineStr">
        <is>
          <t>Rohan Verma</t>
        </is>
      </c>
    </row>
    <row r="958">
      <c r="A958" t="inlineStr">
        <is>
          <t>ORD-2506-0957</t>
        </is>
      </c>
      <c r="B958" s="11" t="n">
        <v>45827</v>
      </c>
      <c r="C958" t="inlineStr">
        <is>
          <t>West</t>
        </is>
      </c>
      <c r="D958" t="inlineStr">
        <is>
          <t>Pune</t>
        </is>
      </c>
      <c r="E958" t="inlineStr">
        <is>
          <t>Consumer</t>
        </is>
      </c>
      <c r="F958" t="inlineStr">
        <is>
          <t>Online</t>
        </is>
      </c>
      <c r="G958" t="inlineStr">
        <is>
          <t>Technology</t>
        </is>
      </c>
      <c r="H958" t="inlineStr">
        <is>
          <t>Printer</t>
        </is>
      </c>
      <c r="I958" t="n">
        <v>1</v>
      </c>
      <c r="J958" s="12" t="n">
        <v>9693.780000000001</v>
      </c>
      <c r="K958" s="13" t="n">
        <v>0.1</v>
      </c>
      <c r="L958" s="12" t="n">
        <v>8724.4</v>
      </c>
      <c r="M958" s="12" t="n">
        <v>8142.78</v>
      </c>
      <c r="N958" s="12" t="n">
        <v>581.62</v>
      </c>
      <c r="O958" t="inlineStr">
        <is>
          <t>Credit Card</t>
        </is>
      </c>
      <c r="P958" t="inlineStr">
        <is>
          <t>Diya Patel</t>
        </is>
      </c>
    </row>
    <row r="959">
      <c r="A959" t="inlineStr">
        <is>
          <t>ORD-2510-0958</t>
        </is>
      </c>
      <c r="B959" s="11" t="n">
        <v>45936</v>
      </c>
      <c r="C959" t="inlineStr">
        <is>
          <t>East</t>
        </is>
      </c>
      <c r="D959" t="inlineStr">
        <is>
          <t>Kolkata</t>
        </is>
      </c>
      <c r="E959" t="inlineStr">
        <is>
          <t>Consumer</t>
        </is>
      </c>
      <c r="F959" t="inlineStr">
        <is>
          <t>Online</t>
        </is>
      </c>
      <c r="G959" t="inlineStr">
        <is>
          <t>Furniture</t>
        </is>
      </c>
      <c r="H959" t="inlineStr">
        <is>
          <t>Storage Cabinet</t>
        </is>
      </c>
      <c r="I959" t="n">
        <v>6</v>
      </c>
      <c r="J959" s="12" t="n">
        <v>8189.72</v>
      </c>
      <c r="K959" s="13" t="n">
        <v>0.05</v>
      </c>
      <c r="L959" s="12" t="n">
        <v>46681.4</v>
      </c>
      <c r="M959" s="12" t="n">
        <v>39310.66</v>
      </c>
      <c r="N959" s="12" t="n">
        <v>7370.74</v>
      </c>
      <c r="O959" t="inlineStr">
        <is>
          <t>UPI</t>
        </is>
      </c>
      <c r="P959" t="inlineStr">
        <is>
          <t>Vivaan Gupta</t>
        </is>
      </c>
    </row>
    <row r="960">
      <c r="A960" t="inlineStr">
        <is>
          <t>ORD-2507-0959</t>
        </is>
      </c>
      <c r="B960" s="11" t="n">
        <v>45855</v>
      </c>
      <c r="C960" t="inlineStr">
        <is>
          <t>South</t>
        </is>
      </c>
      <c r="D960" t="inlineStr">
        <is>
          <t>Hyderabad</t>
        </is>
      </c>
      <c r="E960" t="inlineStr">
        <is>
          <t>Small Business</t>
        </is>
      </c>
      <c r="F960" t="inlineStr">
        <is>
          <t>Partner</t>
        </is>
      </c>
      <c r="G960" t="inlineStr">
        <is>
          <t>Office Supplies</t>
        </is>
      </c>
      <c r="H960" t="inlineStr">
        <is>
          <t>Pens Box</t>
        </is>
      </c>
      <c r="I960" t="n">
        <v>2</v>
      </c>
      <c r="J960" s="12" t="n">
        <v>185.31</v>
      </c>
      <c r="K960" s="13" t="n">
        <v>0.15</v>
      </c>
      <c r="L960" s="12" t="n">
        <v>315.03</v>
      </c>
      <c r="M960" s="12" t="n">
        <v>240.9</v>
      </c>
      <c r="N960" s="12" t="n">
        <v>74.13</v>
      </c>
      <c r="O960" t="inlineStr">
        <is>
          <t>Credit Card</t>
        </is>
      </c>
      <c r="P960" t="inlineStr">
        <is>
          <t>Anaya Rao</t>
        </is>
      </c>
    </row>
    <row r="961">
      <c r="A961" t="inlineStr">
        <is>
          <t>ORD-2503-0960</t>
        </is>
      </c>
      <c r="B961" s="11" t="n">
        <v>45744</v>
      </c>
      <c r="C961" t="inlineStr">
        <is>
          <t>North</t>
        </is>
      </c>
      <c r="D961" t="inlineStr">
        <is>
          <t>Jaipur</t>
        </is>
      </c>
      <c r="E961" t="inlineStr">
        <is>
          <t>Corporate</t>
        </is>
      </c>
      <c r="F961" t="inlineStr">
        <is>
          <t>Online</t>
        </is>
      </c>
      <c r="G961" t="inlineStr">
        <is>
          <t>Technology</t>
        </is>
      </c>
      <c r="H961" t="inlineStr">
        <is>
          <t>Monitor</t>
        </is>
      </c>
      <c r="I961" t="n">
        <v>8</v>
      </c>
      <c r="J961" s="12" t="n">
        <v>11652.58</v>
      </c>
      <c r="K961" s="13" t="n">
        <v>0.05</v>
      </c>
      <c r="L961" s="12" t="n">
        <v>88559.61</v>
      </c>
      <c r="M961" s="12" t="n">
        <v>76440.92</v>
      </c>
      <c r="N961" s="12" t="n">
        <v>12118.69</v>
      </c>
      <c r="O961" t="inlineStr">
        <is>
          <t>Net Banking</t>
        </is>
      </c>
      <c r="P961" t="inlineStr">
        <is>
          <t>Diya Patel</t>
        </is>
      </c>
    </row>
    <row r="962">
      <c r="A962" t="inlineStr">
        <is>
          <t>ORD-2501-0961</t>
        </is>
      </c>
      <c r="B962" s="11" t="n">
        <v>45680</v>
      </c>
      <c r="C962" t="inlineStr">
        <is>
          <t>Central</t>
        </is>
      </c>
      <c r="D962" t="inlineStr">
        <is>
          <t>Indore</t>
        </is>
      </c>
      <c r="E962" t="inlineStr">
        <is>
          <t>Corporate</t>
        </is>
      </c>
      <c r="F962" t="inlineStr">
        <is>
          <t>Online</t>
        </is>
      </c>
      <c r="G962" t="inlineStr">
        <is>
          <t>Technology</t>
        </is>
      </c>
      <c r="H962" t="inlineStr">
        <is>
          <t>Keyboard</t>
        </is>
      </c>
      <c r="I962" t="n">
        <v>2</v>
      </c>
      <c r="J962" s="12" t="n">
        <v>1328.63</v>
      </c>
      <c r="K962" s="13" t="n">
        <v>0.05</v>
      </c>
      <c r="L962" s="12" t="n">
        <v>2524.4</v>
      </c>
      <c r="M962" s="12" t="n">
        <v>1992.95</v>
      </c>
      <c r="N962" s="12" t="n">
        <v>531.45</v>
      </c>
      <c r="O962" t="inlineStr">
        <is>
          <t>Net Banking</t>
        </is>
      </c>
      <c r="P962" t="inlineStr">
        <is>
          <t>Rohan Verma</t>
        </is>
      </c>
    </row>
    <row r="963">
      <c r="A963" t="inlineStr">
        <is>
          <t>ORD-2506-0962</t>
        </is>
      </c>
      <c r="B963" s="11" t="n">
        <v>45836</v>
      </c>
      <c r="C963" t="inlineStr">
        <is>
          <t>North</t>
        </is>
      </c>
      <c r="D963" t="inlineStr">
        <is>
          <t>Chandigarh</t>
        </is>
      </c>
      <c r="E963" t="inlineStr">
        <is>
          <t>Small Business</t>
        </is>
      </c>
      <c r="F963" t="inlineStr">
        <is>
          <t>Online</t>
        </is>
      </c>
      <c r="G963" t="inlineStr">
        <is>
          <t>Furniture</t>
        </is>
      </c>
      <c r="H963" t="inlineStr">
        <is>
          <t>Bookshelf</t>
        </is>
      </c>
      <c r="I963" t="n">
        <v>4</v>
      </c>
      <c r="J963" s="12" t="n">
        <v>5458.52</v>
      </c>
      <c r="K963" s="13" t="n">
        <v>0.15</v>
      </c>
      <c r="L963" s="12" t="n">
        <v>18558.97</v>
      </c>
      <c r="M963" s="12" t="n">
        <v>16157.22</v>
      </c>
      <c r="N963" s="12" t="n">
        <v>2401.75</v>
      </c>
      <c r="O963" t="inlineStr">
        <is>
          <t>Credit Card</t>
        </is>
      </c>
      <c r="P963" t="inlineStr">
        <is>
          <t>Kabir Singh</t>
        </is>
      </c>
    </row>
    <row r="964">
      <c r="A964" t="inlineStr">
        <is>
          <t>ORD-2512-0963</t>
        </is>
      </c>
      <c r="B964" s="11" t="n">
        <v>45993</v>
      </c>
      <c r="C964" t="inlineStr">
        <is>
          <t>South</t>
        </is>
      </c>
      <c r="D964" t="inlineStr">
        <is>
          <t>Hyderabad</t>
        </is>
      </c>
      <c r="E964" t="inlineStr">
        <is>
          <t>Corporate</t>
        </is>
      </c>
      <c r="F964" t="inlineStr">
        <is>
          <t>Online</t>
        </is>
      </c>
      <c r="G964" t="inlineStr">
        <is>
          <t>Technology</t>
        </is>
      </c>
      <c r="H964" t="inlineStr">
        <is>
          <t>Keyboard</t>
        </is>
      </c>
      <c r="I964" t="n">
        <v>2</v>
      </c>
      <c r="J964" s="12" t="n">
        <v>1463.96</v>
      </c>
      <c r="K964" s="13" t="n">
        <v>0.1</v>
      </c>
      <c r="L964" s="12" t="n">
        <v>2635.13</v>
      </c>
      <c r="M964" s="12" t="n">
        <v>2195.94</v>
      </c>
      <c r="N964" s="12" t="n">
        <v>439.19</v>
      </c>
      <c r="O964" t="inlineStr">
        <is>
          <t>Credit Card</t>
        </is>
      </c>
      <c r="P964" t="inlineStr">
        <is>
          <t>Vivaan Gupta</t>
        </is>
      </c>
    </row>
    <row r="965">
      <c r="A965" t="inlineStr">
        <is>
          <t>ORD-2505-0964</t>
        </is>
      </c>
      <c r="B965" s="11" t="n">
        <v>45800</v>
      </c>
      <c r="C965" t="inlineStr">
        <is>
          <t>South</t>
        </is>
      </c>
      <c r="D965" t="inlineStr">
        <is>
          <t>Bengaluru</t>
        </is>
      </c>
      <c r="E965" t="inlineStr">
        <is>
          <t>Corporate</t>
        </is>
      </c>
      <c r="F965" t="inlineStr">
        <is>
          <t>Retail Store</t>
        </is>
      </c>
      <c r="G965" t="inlineStr">
        <is>
          <t>Furniture</t>
        </is>
      </c>
      <c r="H965" t="inlineStr">
        <is>
          <t>Office Chair</t>
        </is>
      </c>
      <c r="I965" t="n">
        <v>10</v>
      </c>
      <c r="J965" s="12" t="n">
        <v>6674.9</v>
      </c>
      <c r="K965" s="13" t="n">
        <v>0</v>
      </c>
      <c r="L965" s="12" t="n">
        <v>66749</v>
      </c>
      <c r="M965" s="12" t="n">
        <v>48059.28</v>
      </c>
      <c r="N965" s="12" t="n">
        <v>18689.72</v>
      </c>
      <c r="O965" t="inlineStr">
        <is>
          <t>Debit Card</t>
        </is>
      </c>
      <c r="P965" t="inlineStr">
        <is>
          <t>Anaya Rao</t>
        </is>
      </c>
    </row>
    <row r="966">
      <c r="A966" t="inlineStr">
        <is>
          <t>ORD-2512-0965</t>
        </is>
      </c>
      <c r="B966" s="11" t="n">
        <v>46013</v>
      </c>
      <c r="C966" t="inlineStr">
        <is>
          <t>West</t>
        </is>
      </c>
      <c r="D966" t="inlineStr">
        <is>
          <t>Ahmedabad</t>
        </is>
      </c>
      <c r="E966" t="inlineStr">
        <is>
          <t>Corporate</t>
        </is>
      </c>
      <c r="F966" t="inlineStr">
        <is>
          <t>Partner</t>
        </is>
      </c>
      <c r="G966" t="inlineStr">
        <is>
          <t>Technology</t>
        </is>
      </c>
      <c r="H966" t="inlineStr">
        <is>
          <t>Keyboard</t>
        </is>
      </c>
      <c r="I966" t="n">
        <v>5</v>
      </c>
      <c r="J966" s="12" t="n">
        <v>1343.08</v>
      </c>
      <c r="K966" s="13" t="n">
        <v>0.1</v>
      </c>
      <c r="L966" s="12" t="n">
        <v>6043.86</v>
      </c>
      <c r="M966" s="12" t="n">
        <v>5036.55</v>
      </c>
      <c r="N966" s="12" t="n">
        <v>1007.31</v>
      </c>
      <c r="O966" t="inlineStr">
        <is>
          <t>Debit Card</t>
        </is>
      </c>
      <c r="P966" t="inlineStr">
        <is>
          <t>Anaya Rao</t>
        </is>
      </c>
    </row>
    <row r="967">
      <c r="A967" t="inlineStr">
        <is>
          <t>ORD-2509-0966</t>
        </is>
      </c>
      <c r="B967" s="11" t="n">
        <v>45930</v>
      </c>
      <c r="C967" t="inlineStr">
        <is>
          <t>Central</t>
        </is>
      </c>
      <c r="D967" t="inlineStr">
        <is>
          <t>Indore</t>
        </is>
      </c>
      <c r="E967" t="inlineStr">
        <is>
          <t>Small Business</t>
        </is>
      </c>
      <c r="F967" t="inlineStr">
        <is>
          <t>Partner</t>
        </is>
      </c>
      <c r="G967" t="inlineStr">
        <is>
          <t>Furniture</t>
        </is>
      </c>
      <c r="H967" t="inlineStr">
        <is>
          <t>Desk</t>
        </is>
      </c>
      <c r="I967" t="n">
        <v>1</v>
      </c>
      <c r="J967" s="12" t="n">
        <v>11549.58</v>
      </c>
      <c r="K967" s="13" t="n">
        <v>0.1</v>
      </c>
      <c r="L967" s="12" t="n">
        <v>10394.62</v>
      </c>
      <c r="M967" s="12" t="n">
        <v>8777.68</v>
      </c>
      <c r="N967" s="12" t="n">
        <v>1616.94</v>
      </c>
      <c r="O967" t="inlineStr">
        <is>
          <t>UPI</t>
        </is>
      </c>
      <c r="P967" t="inlineStr">
        <is>
          <t>Diya Patel</t>
        </is>
      </c>
    </row>
    <row r="968">
      <c r="A968" t="inlineStr">
        <is>
          <t>ORD-2505-0967</t>
        </is>
      </c>
      <c r="B968" s="11" t="n">
        <v>45778</v>
      </c>
      <c r="C968" t="inlineStr">
        <is>
          <t>East</t>
        </is>
      </c>
      <c r="D968" t="inlineStr">
        <is>
          <t>Kolkata</t>
        </is>
      </c>
      <c r="E968" t="inlineStr">
        <is>
          <t>Consumer</t>
        </is>
      </c>
      <c r="F968" t="inlineStr">
        <is>
          <t>Online</t>
        </is>
      </c>
      <c r="G968" t="inlineStr">
        <is>
          <t>Technology</t>
        </is>
      </c>
      <c r="H968" t="inlineStr">
        <is>
          <t>Printer</t>
        </is>
      </c>
      <c r="I968" t="n">
        <v>10</v>
      </c>
      <c r="J968" s="12" t="n">
        <v>9588.73</v>
      </c>
      <c r="K968" s="13" t="n">
        <v>0</v>
      </c>
      <c r="L968" s="12" t="n">
        <v>95887.3</v>
      </c>
      <c r="M968" s="12" t="n">
        <v>80545.33</v>
      </c>
      <c r="N968" s="12" t="n">
        <v>15341.97</v>
      </c>
      <c r="O968" t="inlineStr">
        <is>
          <t>Credit Card</t>
        </is>
      </c>
      <c r="P968" t="inlineStr">
        <is>
          <t>Sara Khan</t>
        </is>
      </c>
    </row>
    <row r="969">
      <c r="A969" t="inlineStr">
        <is>
          <t>ORD-2507-0968</t>
        </is>
      </c>
      <c r="B969" s="11" t="n">
        <v>45842</v>
      </c>
      <c r="C969" t="inlineStr">
        <is>
          <t>South</t>
        </is>
      </c>
      <c r="D969" t="inlineStr">
        <is>
          <t>Hyderabad</t>
        </is>
      </c>
      <c r="E969" t="inlineStr">
        <is>
          <t>Corporate</t>
        </is>
      </c>
      <c r="F969" t="inlineStr">
        <is>
          <t>Online</t>
        </is>
      </c>
      <c r="G969" t="inlineStr">
        <is>
          <t>Furniture</t>
        </is>
      </c>
      <c r="H969" t="inlineStr">
        <is>
          <t>Bookshelf</t>
        </is>
      </c>
      <c r="I969" t="n">
        <v>1</v>
      </c>
      <c r="J969" s="12" t="n">
        <v>5592.55</v>
      </c>
      <c r="K969" s="13" t="n">
        <v>0.15</v>
      </c>
      <c r="L969" s="12" t="n">
        <v>4753.67</v>
      </c>
      <c r="M969" s="12" t="n">
        <v>4138.49</v>
      </c>
      <c r="N969" s="12" t="n">
        <v>615.1799999999999</v>
      </c>
      <c r="O969" t="inlineStr">
        <is>
          <t>UPI</t>
        </is>
      </c>
      <c r="P969" t="inlineStr">
        <is>
          <t>Meera Joshi</t>
        </is>
      </c>
    </row>
    <row r="970">
      <c r="A970" t="inlineStr">
        <is>
          <t>ORD-2501-0969</t>
        </is>
      </c>
      <c r="B970" s="11" t="n">
        <v>45686</v>
      </c>
      <c r="C970" t="inlineStr">
        <is>
          <t>South</t>
        </is>
      </c>
      <c r="D970" t="inlineStr">
        <is>
          <t>Bengaluru</t>
        </is>
      </c>
      <c r="E970" t="inlineStr">
        <is>
          <t>Corporate</t>
        </is>
      </c>
      <c r="F970" t="inlineStr">
        <is>
          <t>Retail Store</t>
        </is>
      </c>
      <c r="G970" t="inlineStr">
        <is>
          <t>Office Supplies</t>
        </is>
      </c>
      <c r="H970" t="inlineStr">
        <is>
          <t>Paper Ream</t>
        </is>
      </c>
      <c r="I970" t="n">
        <v>4</v>
      </c>
      <c r="J970" s="12" t="n">
        <v>388.17</v>
      </c>
      <c r="K970" s="13" t="n">
        <v>0.05</v>
      </c>
      <c r="L970" s="12" t="n">
        <v>1475.05</v>
      </c>
      <c r="M970" s="12" t="n">
        <v>1195.56</v>
      </c>
      <c r="N970" s="12" t="n">
        <v>279.49</v>
      </c>
      <c r="O970" t="inlineStr">
        <is>
          <t>Credit Card</t>
        </is>
      </c>
      <c r="P970" t="inlineStr">
        <is>
          <t>Diya Patel</t>
        </is>
      </c>
    </row>
    <row r="971">
      <c r="A971" t="inlineStr">
        <is>
          <t>ORD-2512-0970</t>
        </is>
      </c>
      <c r="B971" s="11" t="n">
        <v>45997</v>
      </c>
      <c r="C971" t="inlineStr">
        <is>
          <t>Central</t>
        </is>
      </c>
      <c r="D971" t="inlineStr">
        <is>
          <t>Bhopal</t>
        </is>
      </c>
      <c r="E971" t="inlineStr">
        <is>
          <t>Corporate</t>
        </is>
      </c>
      <c r="F971" t="inlineStr">
        <is>
          <t>Online</t>
        </is>
      </c>
      <c r="G971" t="inlineStr">
        <is>
          <t>Furniture</t>
        </is>
      </c>
      <c r="H971" t="inlineStr">
        <is>
          <t>Bookshelf</t>
        </is>
      </c>
      <c r="I971" t="n">
        <v>5</v>
      </c>
      <c r="J971" s="12" t="n">
        <v>4809.11</v>
      </c>
      <c r="K971" s="13" t="n">
        <v>0.15</v>
      </c>
      <c r="L971" s="12" t="n">
        <v>20438.72</v>
      </c>
      <c r="M971" s="12" t="n">
        <v>17793.71</v>
      </c>
      <c r="N971" s="12" t="n">
        <v>2645.01</v>
      </c>
      <c r="O971" t="inlineStr">
        <is>
          <t>Credit Card</t>
        </is>
      </c>
      <c r="P971" t="inlineStr">
        <is>
          <t>Meera Joshi</t>
        </is>
      </c>
    </row>
    <row r="972">
      <c r="A972" t="inlineStr">
        <is>
          <t>ORD-2502-0971</t>
        </is>
      </c>
      <c r="B972" s="11" t="n">
        <v>45697</v>
      </c>
      <c r="C972" t="inlineStr">
        <is>
          <t>North</t>
        </is>
      </c>
      <c r="D972" t="inlineStr">
        <is>
          <t>Lucknow</t>
        </is>
      </c>
      <c r="E972" t="inlineStr">
        <is>
          <t>Small Business</t>
        </is>
      </c>
      <c r="F972" t="inlineStr">
        <is>
          <t>Partner</t>
        </is>
      </c>
      <c r="G972" t="inlineStr">
        <is>
          <t>Technology</t>
        </is>
      </c>
      <c r="H972" t="inlineStr">
        <is>
          <t>Keyboard</t>
        </is>
      </c>
      <c r="I972" t="n">
        <v>4</v>
      </c>
      <c r="J972" s="12" t="n">
        <v>1319.39</v>
      </c>
      <c r="K972" s="13" t="n">
        <v>0.05</v>
      </c>
      <c r="L972" s="12" t="n">
        <v>5013.68</v>
      </c>
      <c r="M972" s="12" t="n">
        <v>3958.17</v>
      </c>
      <c r="N972" s="12" t="n">
        <v>1055.51</v>
      </c>
      <c r="O972" t="inlineStr">
        <is>
          <t>Net Banking</t>
        </is>
      </c>
      <c r="P972" t="inlineStr">
        <is>
          <t>Anaya Rao</t>
        </is>
      </c>
    </row>
    <row r="973">
      <c r="A973" t="inlineStr">
        <is>
          <t>ORD-2507-0972</t>
        </is>
      </c>
      <c r="B973" s="11" t="n">
        <v>45868</v>
      </c>
      <c r="C973" t="inlineStr">
        <is>
          <t>East</t>
        </is>
      </c>
      <c r="D973" t="inlineStr">
        <is>
          <t>Guwahati</t>
        </is>
      </c>
      <c r="E973" t="inlineStr">
        <is>
          <t>Consumer</t>
        </is>
      </c>
      <c r="F973" t="inlineStr">
        <is>
          <t>Partner</t>
        </is>
      </c>
      <c r="G973" t="inlineStr">
        <is>
          <t>Office Supplies</t>
        </is>
      </c>
      <c r="H973" t="inlineStr">
        <is>
          <t>File Folder</t>
        </is>
      </c>
      <c r="I973" t="n">
        <v>4</v>
      </c>
      <c r="J973" s="12" t="n">
        <v>84.40000000000001</v>
      </c>
      <c r="K973" s="13" t="n">
        <v>0</v>
      </c>
      <c r="L973" s="12" t="n">
        <v>337.6</v>
      </c>
      <c r="M973" s="12" t="n">
        <v>209.31</v>
      </c>
      <c r="N973" s="12" t="n">
        <v>128.29</v>
      </c>
      <c r="O973" t="inlineStr">
        <is>
          <t>Credit Card</t>
        </is>
      </c>
      <c r="P973" t="inlineStr">
        <is>
          <t>Kabir Singh</t>
        </is>
      </c>
    </row>
    <row r="974">
      <c r="A974" t="inlineStr">
        <is>
          <t>ORD-2509-0973</t>
        </is>
      </c>
      <c r="B974" s="11" t="n">
        <v>45915</v>
      </c>
      <c r="C974" t="inlineStr">
        <is>
          <t>South</t>
        </is>
      </c>
      <c r="D974" t="inlineStr">
        <is>
          <t>Bengaluru</t>
        </is>
      </c>
      <c r="E974" t="inlineStr">
        <is>
          <t>Small Business</t>
        </is>
      </c>
      <c r="F974" t="inlineStr">
        <is>
          <t>Partner</t>
        </is>
      </c>
      <c r="G974" t="inlineStr">
        <is>
          <t>Furniture</t>
        </is>
      </c>
      <c r="H974" t="inlineStr">
        <is>
          <t>Desk</t>
        </is>
      </c>
      <c r="I974" t="n">
        <v>5</v>
      </c>
      <c r="J974" s="12" t="n">
        <v>12191.8</v>
      </c>
      <c r="K974" s="13" t="n">
        <v>0.1</v>
      </c>
      <c r="L974" s="12" t="n">
        <v>54863.1</v>
      </c>
      <c r="M974" s="12" t="n">
        <v>46328.84</v>
      </c>
      <c r="N974" s="12" t="n">
        <v>8534.26</v>
      </c>
      <c r="O974" t="inlineStr">
        <is>
          <t>Net Banking</t>
        </is>
      </c>
      <c r="P974" t="inlineStr">
        <is>
          <t>Rohan Verma</t>
        </is>
      </c>
    </row>
    <row r="975">
      <c r="A975" t="inlineStr">
        <is>
          <t>ORD-2512-0974</t>
        </is>
      </c>
      <c r="B975" s="11" t="n">
        <v>46021</v>
      </c>
      <c r="C975" t="inlineStr">
        <is>
          <t>South</t>
        </is>
      </c>
      <c r="D975" t="inlineStr">
        <is>
          <t>Kochi</t>
        </is>
      </c>
      <c r="E975" t="inlineStr">
        <is>
          <t>Consumer</t>
        </is>
      </c>
      <c r="F975" t="inlineStr">
        <is>
          <t>Partner</t>
        </is>
      </c>
      <c r="G975" t="inlineStr">
        <is>
          <t>Technology</t>
        </is>
      </c>
      <c r="H975" t="inlineStr">
        <is>
          <t>Keyboard</t>
        </is>
      </c>
      <c r="I975" t="n">
        <v>2</v>
      </c>
      <c r="J975" s="12" t="n">
        <v>1372.57</v>
      </c>
      <c r="K975" s="13" t="n">
        <v>0</v>
      </c>
      <c r="L975" s="12" t="n">
        <v>2745.14</v>
      </c>
      <c r="M975" s="12" t="n">
        <v>2058.86</v>
      </c>
      <c r="N975" s="12" t="n">
        <v>686.28</v>
      </c>
      <c r="O975" t="inlineStr">
        <is>
          <t>UPI</t>
        </is>
      </c>
      <c r="P975" t="inlineStr">
        <is>
          <t>Vivaan Gupta</t>
        </is>
      </c>
    </row>
    <row r="976">
      <c r="A976" t="inlineStr">
        <is>
          <t>ORD-2511-0975</t>
        </is>
      </c>
      <c r="B976" s="11" t="n">
        <v>45974</v>
      </c>
      <c r="C976" t="inlineStr">
        <is>
          <t>North</t>
        </is>
      </c>
      <c r="D976" t="inlineStr">
        <is>
          <t>Jaipur</t>
        </is>
      </c>
      <c r="E976" t="inlineStr">
        <is>
          <t>Consumer</t>
        </is>
      </c>
      <c r="F976" t="inlineStr">
        <is>
          <t>Partner</t>
        </is>
      </c>
      <c r="G976" t="inlineStr">
        <is>
          <t>Furniture</t>
        </is>
      </c>
      <c r="H976" t="inlineStr">
        <is>
          <t>Desk</t>
        </is>
      </c>
      <c r="I976" t="n">
        <v>1</v>
      </c>
      <c r="J976" s="12" t="n">
        <v>11609.1</v>
      </c>
      <c r="K976" s="13" t="n">
        <v>0.1</v>
      </c>
      <c r="L976" s="12" t="n">
        <v>10448.19</v>
      </c>
      <c r="M976" s="12" t="n">
        <v>8822.92</v>
      </c>
      <c r="N976" s="12" t="n">
        <v>1625.27</v>
      </c>
      <c r="O976" t="inlineStr">
        <is>
          <t>Debit Card</t>
        </is>
      </c>
      <c r="P976" t="inlineStr">
        <is>
          <t>Anaya Rao</t>
        </is>
      </c>
    </row>
    <row r="977">
      <c r="A977" t="inlineStr">
        <is>
          <t>ORD-2506-0976</t>
        </is>
      </c>
      <c r="B977" s="11" t="n">
        <v>45818</v>
      </c>
      <c r="C977" t="inlineStr">
        <is>
          <t>West</t>
        </is>
      </c>
      <c r="D977" t="inlineStr">
        <is>
          <t>Surat</t>
        </is>
      </c>
      <c r="E977" t="inlineStr">
        <is>
          <t>Corporate</t>
        </is>
      </c>
      <c r="F977" t="inlineStr">
        <is>
          <t>Online</t>
        </is>
      </c>
      <c r="G977" t="inlineStr">
        <is>
          <t>Technology</t>
        </is>
      </c>
      <c r="H977" t="inlineStr">
        <is>
          <t>Keyboard</t>
        </is>
      </c>
      <c r="I977" t="n">
        <v>1</v>
      </c>
      <c r="J977" s="12" t="n">
        <v>1383.03</v>
      </c>
      <c r="K977" s="13" t="n">
        <v>0.05</v>
      </c>
      <c r="L977" s="12" t="n">
        <v>1313.88</v>
      </c>
      <c r="M977" s="12" t="n">
        <v>1037.27</v>
      </c>
      <c r="N977" s="12" t="n">
        <v>276.61</v>
      </c>
      <c r="O977" t="inlineStr">
        <is>
          <t>Credit Card</t>
        </is>
      </c>
      <c r="P977" t="inlineStr">
        <is>
          <t>Diya Patel</t>
        </is>
      </c>
    </row>
    <row r="978">
      <c r="A978" t="inlineStr">
        <is>
          <t>ORD-2507-0977</t>
        </is>
      </c>
      <c r="B978" s="11" t="n">
        <v>45843</v>
      </c>
      <c r="C978" t="inlineStr">
        <is>
          <t>Central</t>
        </is>
      </c>
      <c r="D978" t="inlineStr">
        <is>
          <t>Raipur</t>
        </is>
      </c>
      <c r="E978" t="inlineStr">
        <is>
          <t>Consumer</t>
        </is>
      </c>
      <c r="F978" t="inlineStr">
        <is>
          <t>Partner</t>
        </is>
      </c>
      <c r="G978" t="inlineStr">
        <is>
          <t>Technology</t>
        </is>
      </c>
      <c r="H978" t="inlineStr">
        <is>
          <t>Laptop</t>
        </is>
      </c>
      <c r="I978" t="n">
        <v>2</v>
      </c>
      <c r="J978" s="12" t="n">
        <v>39355.44</v>
      </c>
      <c r="K978" s="13" t="n">
        <v>0</v>
      </c>
      <c r="L978" s="12" t="n">
        <v>78710.88</v>
      </c>
      <c r="M978" s="12" t="n">
        <v>69265.57000000001</v>
      </c>
      <c r="N978" s="12" t="n">
        <v>9445.309999999999</v>
      </c>
      <c r="O978" t="inlineStr">
        <is>
          <t>Credit Card</t>
        </is>
      </c>
      <c r="P978" t="inlineStr">
        <is>
          <t>Rohan Verma</t>
        </is>
      </c>
    </row>
    <row r="979">
      <c r="A979" t="inlineStr">
        <is>
          <t>ORD-2504-0978</t>
        </is>
      </c>
      <c r="B979" s="11" t="n">
        <v>45754</v>
      </c>
      <c r="C979" t="inlineStr">
        <is>
          <t>Central</t>
        </is>
      </c>
      <c r="D979" t="inlineStr">
        <is>
          <t>Indore</t>
        </is>
      </c>
      <c r="E979" t="inlineStr">
        <is>
          <t>Small Business</t>
        </is>
      </c>
      <c r="F979" t="inlineStr">
        <is>
          <t>Partner</t>
        </is>
      </c>
      <c r="G979" t="inlineStr">
        <is>
          <t>Office Supplies</t>
        </is>
      </c>
      <c r="H979" t="inlineStr">
        <is>
          <t>Pens Box</t>
        </is>
      </c>
      <c r="I979" t="n">
        <v>6</v>
      </c>
      <c r="J979" s="12" t="n">
        <v>168.05</v>
      </c>
      <c r="K979" s="13" t="n">
        <v>0</v>
      </c>
      <c r="L979" s="12" t="n">
        <v>1008.3</v>
      </c>
      <c r="M979" s="12" t="n">
        <v>655.4</v>
      </c>
      <c r="N979" s="12" t="n">
        <v>352.9</v>
      </c>
      <c r="O979" t="inlineStr">
        <is>
          <t>Credit Card</t>
        </is>
      </c>
      <c r="P979" t="inlineStr">
        <is>
          <t>Anaya Rao</t>
        </is>
      </c>
    </row>
    <row r="980">
      <c r="A980" t="inlineStr">
        <is>
          <t>ORD-2501-0979</t>
        </is>
      </c>
      <c r="B980" s="11" t="n">
        <v>45681</v>
      </c>
      <c r="C980" t="inlineStr">
        <is>
          <t>North</t>
        </is>
      </c>
      <c r="D980" t="inlineStr">
        <is>
          <t>Chandigarh</t>
        </is>
      </c>
      <c r="E980" t="inlineStr">
        <is>
          <t>Corporate</t>
        </is>
      </c>
      <c r="F980" t="inlineStr">
        <is>
          <t>Retail Store</t>
        </is>
      </c>
      <c r="G980" t="inlineStr">
        <is>
          <t>Technology</t>
        </is>
      </c>
      <c r="H980" t="inlineStr">
        <is>
          <t>Monitor</t>
        </is>
      </c>
      <c r="I980" t="n">
        <v>8</v>
      </c>
      <c r="J980" s="12" t="n">
        <v>12213.3</v>
      </c>
      <c r="K980" s="13" t="n">
        <v>0</v>
      </c>
      <c r="L980" s="12" t="n">
        <v>97706.39999999999</v>
      </c>
      <c r="M980" s="12" t="n">
        <v>80119.25</v>
      </c>
      <c r="N980" s="12" t="n">
        <v>17587.15</v>
      </c>
      <c r="O980" t="inlineStr">
        <is>
          <t>Cash</t>
        </is>
      </c>
      <c r="P980" t="inlineStr">
        <is>
          <t>Meera Joshi</t>
        </is>
      </c>
    </row>
    <row r="981">
      <c r="A981" t="inlineStr">
        <is>
          <t>ORD-2506-0980</t>
        </is>
      </c>
      <c r="B981" s="11" t="n">
        <v>45819</v>
      </c>
      <c r="C981" t="inlineStr">
        <is>
          <t>West</t>
        </is>
      </c>
      <c r="D981" t="inlineStr">
        <is>
          <t>Ahmedabad</t>
        </is>
      </c>
      <c r="E981" t="inlineStr">
        <is>
          <t>Small Business</t>
        </is>
      </c>
      <c r="F981" t="inlineStr">
        <is>
          <t>Partner</t>
        </is>
      </c>
      <c r="G981" t="inlineStr">
        <is>
          <t>Technology</t>
        </is>
      </c>
      <c r="H981" t="inlineStr">
        <is>
          <t>Keyboard</t>
        </is>
      </c>
      <c r="I981" t="n">
        <v>4</v>
      </c>
      <c r="J981" s="12" t="n">
        <v>1379.23</v>
      </c>
      <c r="K981" s="13" t="n">
        <v>0</v>
      </c>
      <c r="L981" s="12" t="n">
        <v>5516.92</v>
      </c>
      <c r="M981" s="12" t="n">
        <v>4137.69</v>
      </c>
      <c r="N981" s="12" t="n">
        <v>1379.23</v>
      </c>
      <c r="O981" t="inlineStr">
        <is>
          <t>Credit Card</t>
        </is>
      </c>
      <c r="P981" t="inlineStr">
        <is>
          <t>Kabir Singh</t>
        </is>
      </c>
    </row>
    <row r="982">
      <c r="A982" t="inlineStr">
        <is>
          <t>ORD-2501-0981</t>
        </is>
      </c>
      <c r="B982" s="11" t="n">
        <v>45670</v>
      </c>
      <c r="C982" t="inlineStr">
        <is>
          <t>Central</t>
        </is>
      </c>
      <c r="D982" t="inlineStr">
        <is>
          <t>Nagpur</t>
        </is>
      </c>
      <c r="E982" t="inlineStr">
        <is>
          <t>Consumer</t>
        </is>
      </c>
      <c r="F982" t="inlineStr">
        <is>
          <t>Partner</t>
        </is>
      </c>
      <c r="G982" t="inlineStr">
        <is>
          <t>Furniture</t>
        </is>
      </c>
      <c r="H982" t="inlineStr">
        <is>
          <t>Bookshelf</t>
        </is>
      </c>
      <c r="I982" t="n">
        <v>3</v>
      </c>
      <c r="J982" s="12" t="n">
        <v>5025.38</v>
      </c>
      <c r="K982" s="13" t="n">
        <v>0.15</v>
      </c>
      <c r="L982" s="12" t="n">
        <v>12814.72</v>
      </c>
      <c r="M982" s="12" t="n">
        <v>11156.34</v>
      </c>
      <c r="N982" s="12" t="n">
        <v>1658.38</v>
      </c>
      <c r="O982" t="inlineStr">
        <is>
          <t>Debit Card</t>
        </is>
      </c>
      <c r="P982" t="inlineStr">
        <is>
          <t>Diya Patel</t>
        </is>
      </c>
    </row>
    <row r="983">
      <c r="A983" t="inlineStr">
        <is>
          <t>ORD-2511-0982</t>
        </is>
      </c>
      <c r="B983" s="11" t="n">
        <v>45978</v>
      </c>
      <c r="C983" t="inlineStr">
        <is>
          <t>North</t>
        </is>
      </c>
      <c r="D983" t="inlineStr">
        <is>
          <t>Jaipur</t>
        </is>
      </c>
      <c r="E983" t="inlineStr">
        <is>
          <t>Consumer</t>
        </is>
      </c>
      <c r="F983" t="inlineStr">
        <is>
          <t>Partner</t>
        </is>
      </c>
      <c r="G983" t="inlineStr">
        <is>
          <t>Technology</t>
        </is>
      </c>
      <c r="H983" t="inlineStr">
        <is>
          <t>Printer</t>
        </is>
      </c>
      <c r="I983" t="n">
        <v>5</v>
      </c>
      <c r="J983" s="12" t="n">
        <v>9908.620000000001</v>
      </c>
      <c r="K983" s="13" t="n">
        <v>0.1</v>
      </c>
      <c r="L983" s="12" t="n">
        <v>44588.79</v>
      </c>
      <c r="M983" s="12" t="n">
        <v>41616.2</v>
      </c>
      <c r="N983" s="12" t="n">
        <v>2972.59</v>
      </c>
      <c r="O983" t="inlineStr">
        <is>
          <t>Cash</t>
        </is>
      </c>
      <c r="P983" t="inlineStr">
        <is>
          <t>Sara Khan</t>
        </is>
      </c>
    </row>
    <row r="984">
      <c r="A984" t="inlineStr">
        <is>
          <t>ORD-2508-0983</t>
        </is>
      </c>
      <c r="B984" s="11" t="n">
        <v>45887</v>
      </c>
      <c r="C984" t="inlineStr">
        <is>
          <t>South</t>
        </is>
      </c>
      <c r="D984" t="inlineStr">
        <is>
          <t>Hyderabad</t>
        </is>
      </c>
      <c r="E984" t="inlineStr">
        <is>
          <t>Small Business</t>
        </is>
      </c>
      <c r="F984" t="inlineStr">
        <is>
          <t>Partner</t>
        </is>
      </c>
      <c r="G984" t="inlineStr">
        <is>
          <t>Technology</t>
        </is>
      </c>
      <c r="H984" t="inlineStr">
        <is>
          <t>Headphones</t>
        </is>
      </c>
      <c r="I984" t="n">
        <v>2</v>
      </c>
      <c r="J984" s="12" t="n">
        <v>2175.68</v>
      </c>
      <c r="K984" s="13" t="n">
        <v>0.15</v>
      </c>
      <c r="L984" s="12" t="n">
        <v>3698.66</v>
      </c>
      <c r="M984" s="12" t="n">
        <v>3394.06</v>
      </c>
      <c r="N984" s="12" t="n">
        <v>304.6</v>
      </c>
      <c r="O984" t="inlineStr">
        <is>
          <t>Debit Card</t>
        </is>
      </c>
      <c r="P984" t="inlineStr">
        <is>
          <t>Meera Joshi</t>
        </is>
      </c>
    </row>
    <row r="985">
      <c r="A985" t="inlineStr">
        <is>
          <t>ORD-2504-0984</t>
        </is>
      </c>
      <c r="B985" s="11" t="n">
        <v>45764</v>
      </c>
      <c r="C985" t="inlineStr">
        <is>
          <t>Central</t>
        </is>
      </c>
      <c r="D985" t="inlineStr">
        <is>
          <t>Bhopal</t>
        </is>
      </c>
      <c r="E985" t="inlineStr">
        <is>
          <t>Consumer</t>
        </is>
      </c>
      <c r="F985" t="inlineStr">
        <is>
          <t>Online</t>
        </is>
      </c>
      <c r="G985" t="inlineStr">
        <is>
          <t>Technology</t>
        </is>
      </c>
      <c r="H985" t="inlineStr">
        <is>
          <t>Keyboard</t>
        </is>
      </c>
      <c r="I985" t="n">
        <v>3</v>
      </c>
      <c r="J985" s="12" t="n">
        <v>1309.82</v>
      </c>
      <c r="K985" s="13" t="n">
        <v>0.2</v>
      </c>
      <c r="L985" s="12" t="n">
        <v>3143.57</v>
      </c>
      <c r="M985" s="12" t="n">
        <v>2947.1</v>
      </c>
      <c r="N985" s="12" t="n">
        <v>196.47</v>
      </c>
      <c r="O985" t="inlineStr">
        <is>
          <t>Net Banking</t>
        </is>
      </c>
      <c r="P985" t="inlineStr">
        <is>
          <t>Diya Patel</t>
        </is>
      </c>
    </row>
    <row r="986">
      <c r="A986" t="inlineStr">
        <is>
          <t>ORD-2509-0985</t>
        </is>
      </c>
      <c r="B986" s="11" t="n">
        <v>45913</v>
      </c>
      <c r="C986" t="inlineStr">
        <is>
          <t>North</t>
        </is>
      </c>
      <c r="D986" t="inlineStr">
        <is>
          <t>Lucknow</t>
        </is>
      </c>
      <c r="E986" t="inlineStr">
        <is>
          <t>Small Business</t>
        </is>
      </c>
      <c r="F986" t="inlineStr">
        <is>
          <t>Retail Store</t>
        </is>
      </c>
      <c r="G986" t="inlineStr">
        <is>
          <t>Furniture</t>
        </is>
      </c>
      <c r="H986" t="inlineStr">
        <is>
          <t>Office Chair</t>
        </is>
      </c>
      <c r="I986" t="n">
        <v>1</v>
      </c>
      <c r="J986" s="12" t="n">
        <v>6330.16</v>
      </c>
      <c r="K986" s="13" t="n">
        <v>0.05</v>
      </c>
      <c r="L986" s="12" t="n">
        <v>6013.65</v>
      </c>
      <c r="M986" s="12" t="n">
        <v>4557.72</v>
      </c>
      <c r="N986" s="12" t="n">
        <v>1455.93</v>
      </c>
      <c r="O986" t="inlineStr">
        <is>
          <t>Net Banking</t>
        </is>
      </c>
      <c r="P986" t="inlineStr">
        <is>
          <t>Diya Patel</t>
        </is>
      </c>
    </row>
    <row r="987">
      <c r="A987" t="inlineStr">
        <is>
          <t>ORD-2502-0986</t>
        </is>
      </c>
      <c r="B987" s="11" t="n">
        <v>45694</v>
      </c>
      <c r="C987" t="inlineStr">
        <is>
          <t>South</t>
        </is>
      </c>
      <c r="D987" t="inlineStr">
        <is>
          <t>Kochi</t>
        </is>
      </c>
      <c r="E987" t="inlineStr">
        <is>
          <t>Corporate</t>
        </is>
      </c>
      <c r="F987" t="inlineStr">
        <is>
          <t>Partner</t>
        </is>
      </c>
      <c r="G987" t="inlineStr">
        <is>
          <t>Technology</t>
        </is>
      </c>
      <c r="H987" t="inlineStr">
        <is>
          <t>Headphones</t>
        </is>
      </c>
      <c r="I987" t="n">
        <v>10</v>
      </c>
      <c r="J987" s="12" t="n">
        <v>2292.63</v>
      </c>
      <c r="K987" s="13" t="n">
        <v>0.2</v>
      </c>
      <c r="L987" s="12" t="n">
        <v>18341.04</v>
      </c>
      <c r="M987" s="12" t="n">
        <v>17882.51</v>
      </c>
      <c r="N987" s="12" t="n">
        <v>458.53</v>
      </c>
      <c r="O987" t="inlineStr">
        <is>
          <t>UPI</t>
        </is>
      </c>
      <c r="P987" t="inlineStr">
        <is>
          <t>Diya Patel</t>
        </is>
      </c>
    </row>
    <row r="988">
      <c r="A988" t="inlineStr">
        <is>
          <t>ORD-2510-0987</t>
        </is>
      </c>
      <c r="B988" s="11" t="n">
        <v>45949</v>
      </c>
      <c r="C988" t="inlineStr">
        <is>
          <t>West</t>
        </is>
      </c>
      <c r="D988" t="inlineStr">
        <is>
          <t>Mumbai</t>
        </is>
      </c>
      <c r="E988" t="inlineStr">
        <is>
          <t>Small Business</t>
        </is>
      </c>
      <c r="F988" t="inlineStr">
        <is>
          <t>Online</t>
        </is>
      </c>
      <c r="G988" t="inlineStr">
        <is>
          <t>Furniture</t>
        </is>
      </c>
      <c r="H988" t="inlineStr">
        <is>
          <t>Office Chair</t>
        </is>
      </c>
      <c r="I988" t="n">
        <v>5</v>
      </c>
      <c r="J988" s="12" t="n">
        <v>7188.42</v>
      </c>
      <c r="K988" s="13" t="n">
        <v>0.05</v>
      </c>
      <c r="L988" s="12" t="n">
        <v>34144.99</v>
      </c>
      <c r="M988" s="12" t="n">
        <v>25878.31</v>
      </c>
      <c r="N988" s="12" t="n">
        <v>8266.68</v>
      </c>
      <c r="O988" t="inlineStr">
        <is>
          <t>Debit Card</t>
        </is>
      </c>
      <c r="P988" t="inlineStr">
        <is>
          <t>Sara Khan</t>
        </is>
      </c>
    </row>
    <row r="989">
      <c r="A989" t="inlineStr">
        <is>
          <t>ORD-2509-0988</t>
        </is>
      </c>
      <c r="B989" s="11" t="n">
        <v>45920</v>
      </c>
      <c r="C989" t="inlineStr">
        <is>
          <t>Central</t>
        </is>
      </c>
      <c r="D989" t="inlineStr">
        <is>
          <t>Raipur</t>
        </is>
      </c>
      <c r="E989" t="inlineStr">
        <is>
          <t>Small Business</t>
        </is>
      </c>
      <c r="F989" t="inlineStr">
        <is>
          <t>Online</t>
        </is>
      </c>
      <c r="G989" t="inlineStr">
        <is>
          <t>Furniture</t>
        </is>
      </c>
      <c r="H989" t="inlineStr">
        <is>
          <t>Office Chair</t>
        </is>
      </c>
      <c r="I989" t="n">
        <v>1</v>
      </c>
      <c r="J989" s="12" t="n">
        <v>6745.7</v>
      </c>
      <c r="K989" s="13" t="n">
        <v>0.05</v>
      </c>
      <c r="L989" s="12" t="n">
        <v>6408.41</v>
      </c>
      <c r="M989" s="12" t="n">
        <v>4856.9</v>
      </c>
      <c r="N989" s="12" t="n">
        <v>1551.51</v>
      </c>
      <c r="O989" t="inlineStr">
        <is>
          <t>Cash</t>
        </is>
      </c>
      <c r="P989" t="inlineStr">
        <is>
          <t>Aarav Sharma</t>
        </is>
      </c>
    </row>
    <row r="990">
      <c r="A990" t="inlineStr">
        <is>
          <t>ORD-2505-0989</t>
        </is>
      </c>
      <c r="B990" s="11" t="n">
        <v>45783</v>
      </c>
      <c r="C990" t="inlineStr">
        <is>
          <t>Central</t>
        </is>
      </c>
      <c r="D990" t="inlineStr">
        <is>
          <t>Bhopal</t>
        </is>
      </c>
      <c r="E990" t="inlineStr">
        <is>
          <t>Corporate</t>
        </is>
      </c>
      <c r="F990" t="inlineStr">
        <is>
          <t>Online</t>
        </is>
      </c>
      <c r="G990" t="inlineStr">
        <is>
          <t>Technology</t>
        </is>
      </c>
      <c r="H990" t="inlineStr">
        <is>
          <t>Keyboard</t>
        </is>
      </c>
      <c r="I990" t="n">
        <v>5</v>
      </c>
      <c r="J990" s="12" t="n">
        <v>1323.44</v>
      </c>
      <c r="K990" s="13" t="n">
        <v>0.05</v>
      </c>
      <c r="L990" s="12" t="n">
        <v>6286.34</v>
      </c>
      <c r="M990" s="12" t="n">
        <v>4962.9</v>
      </c>
      <c r="N990" s="12" t="n">
        <v>1323.44</v>
      </c>
      <c r="O990" t="inlineStr">
        <is>
          <t>UPI</t>
        </is>
      </c>
      <c r="P990" t="inlineStr">
        <is>
          <t>Vivaan Gupta</t>
        </is>
      </c>
    </row>
    <row r="991">
      <c r="A991" t="inlineStr">
        <is>
          <t>ORD-2508-0990</t>
        </is>
      </c>
      <c r="B991" s="11" t="n">
        <v>45894</v>
      </c>
      <c r="C991" t="inlineStr">
        <is>
          <t>North</t>
        </is>
      </c>
      <c r="D991" t="inlineStr">
        <is>
          <t>Chandigarh</t>
        </is>
      </c>
      <c r="E991" t="inlineStr">
        <is>
          <t>Consumer</t>
        </is>
      </c>
      <c r="F991" t="inlineStr">
        <is>
          <t>Online</t>
        </is>
      </c>
      <c r="G991" t="inlineStr">
        <is>
          <t>Furniture</t>
        </is>
      </c>
      <c r="H991" t="inlineStr">
        <is>
          <t>Bookshelf</t>
        </is>
      </c>
      <c r="I991" t="n">
        <v>3</v>
      </c>
      <c r="J991" s="12" t="n">
        <v>5464.82</v>
      </c>
      <c r="K991" s="13" t="n">
        <v>0.1</v>
      </c>
      <c r="L991" s="12" t="n">
        <v>14755.01</v>
      </c>
      <c r="M991" s="12" t="n">
        <v>12131.9</v>
      </c>
      <c r="N991" s="12" t="n">
        <v>2623.11</v>
      </c>
      <c r="O991" t="inlineStr">
        <is>
          <t>UPI</t>
        </is>
      </c>
      <c r="P991" t="inlineStr">
        <is>
          <t>Diya Patel</t>
        </is>
      </c>
    </row>
    <row r="992">
      <c r="A992" t="inlineStr">
        <is>
          <t>ORD-2507-0991</t>
        </is>
      </c>
      <c r="B992" s="11" t="n">
        <v>45861</v>
      </c>
      <c r="C992" t="inlineStr">
        <is>
          <t>West</t>
        </is>
      </c>
      <c r="D992" t="inlineStr">
        <is>
          <t>Pune</t>
        </is>
      </c>
      <c r="E992" t="inlineStr">
        <is>
          <t>Corporate</t>
        </is>
      </c>
      <c r="F992" t="inlineStr">
        <is>
          <t>Online</t>
        </is>
      </c>
      <c r="G992" t="inlineStr">
        <is>
          <t>Furniture</t>
        </is>
      </c>
      <c r="H992" t="inlineStr">
        <is>
          <t>Desk</t>
        </is>
      </c>
      <c r="I992" t="n">
        <v>2</v>
      </c>
      <c r="J992" s="12" t="n">
        <v>12413.45</v>
      </c>
      <c r="K992" s="13" t="n">
        <v>0.05</v>
      </c>
      <c r="L992" s="12" t="n">
        <v>23585.56</v>
      </c>
      <c r="M992" s="12" t="n">
        <v>18868.44</v>
      </c>
      <c r="N992" s="12" t="n">
        <v>4717.12</v>
      </c>
      <c r="O992" t="inlineStr">
        <is>
          <t>Debit Card</t>
        </is>
      </c>
      <c r="P992" t="inlineStr">
        <is>
          <t>Diya Patel</t>
        </is>
      </c>
    </row>
    <row r="993">
      <c r="A993" t="inlineStr">
        <is>
          <t>ORD-2505-0992</t>
        </is>
      </c>
      <c r="B993" s="11" t="n">
        <v>45800</v>
      </c>
      <c r="C993" t="inlineStr">
        <is>
          <t>West</t>
        </is>
      </c>
      <c r="D993" t="inlineStr">
        <is>
          <t>Mumbai</t>
        </is>
      </c>
      <c r="E993" t="inlineStr">
        <is>
          <t>Corporate</t>
        </is>
      </c>
      <c r="F993" t="inlineStr">
        <is>
          <t>Partner</t>
        </is>
      </c>
      <c r="G993" t="inlineStr">
        <is>
          <t>Furniture</t>
        </is>
      </c>
      <c r="H993" t="inlineStr">
        <is>
          <t>Storage Cabinet</t>
        </is>
      </c>
      <c r="I993" t="n">
        <v>1</v>
      </c>
      <c r="J993" s="12" t="n">
        <v>9099.67</v>
      </c>
      <c r="K993" s="13" t="n">
        <v>0.05</v>
      </c>
      <c r="L993" s="12" t="n">
        <v>8644.690000000001</v>
      </c>
      <c r="M993" s="12" t="n">
        <v>7279.74</v>
      </c>
      <c r="N993" s="12" t="n">
        <v>1364.95</v>
      </c>
      <c r="O993" t="inlineStr">
        <is>
          <t>Credit Card</t>
        </is>
      </c>
      <c r="P993" t="inlineStr">
        <is>
          <t>Vivaan Gupta</t>
        </is>
      </c>
    </row>
    <row r="994">
      <c r="A994" t="inlineStr">
        <is>
          <t>ORD-2502-0993</t>
        </is>
      </c>
      <c r="B994" s="11" t="n">
        <v>45689</v>
      </c>
      <c r="C994" t="inlineStr">
        <is>
          <t>East</t>
        </is>
      </c>
      <c r="D994" t="inlineStr">
        <is>
          <t>Guwahati</t>
        </is>
      </c>
      <c r="E994" t="inlineStr">
        <is>
          <t>Small Business</t>
        </is>
      </c>
      <c r="F994" t="inlineStr">
        <is>
          <t>Retail Store</t>
        </is>
      </c>
      <c r="G994" t="inlineStr">
        <is>
          <t>Furniture</t>
        </is>
      </c>
      <c r="H994" t="inlineStr">
        <is>
          <t>Bookshelf</t>
        </is>
      </c>
      <c r="I994" t="n">
        <v>2</v>
      </c>
      <c r="J994" s="12" t="n">
        <v>4803.09</v>
      </c>
      <c r="K994" s="13" t="n">
        <v>0</v>
      </c>
      <c r="L994" s="12" t="n">
        <v>9606.18</v>
      </c>
      <c r="M994" s="12" t="n">
        <v>7108.57</v>
      </c>
      <c r="N994" s="12" t="n">
        <v>2497.61</v>
      </c>
      <c r="O994" t="inlineStr">
        <is>
          <t>Net Banking</t>
        </is>
      </c>
      <c r="P994" t="inlineStr">
        <is>
          <t>Rohan Verma</t>
        </is>
      </c>
    </row>
    <row r="995">
      <c r="A995" t="inlineStr">
        <is>
          <t>ORD-2511-0994</t>
        </is>
      </c>
      <c r="B995" s="11" t="n">
        <v>45983</v>
      </c>
      <c r="C995" t="inlineStr">
        <is>
          <t>South</t>
        </is>
      </c>
      <c r="D995" t="inlineStr">
        <is>
          <t>Bengaluru</t>
        </is>
      </c>
      <c r="E995" t="inlineStr">
        <is>
          <t>Small Business</t>
        </is>
      </c>
      <c r="F995" t="inlineStr">
        <is>
          <t>Retail Store</t>
        </is>
      </c>
      <c r="G995" t="inlineStr">
        <is>
          <t>Technology</t>
        </is>
      </c>
      <c r="H995" t="inlineStr">
        <is>
          <t>Keyboard</t>
        </is>
      </c>
      <c r="I995" t="n">
        <v>1</v>
      </c>
      <c r="J995" s="12" t="n">
        <v>1354.83</v>
      </c>
      <c r="K995" s="13" t="n">
        <v>0.05</v>
      </c>
      <c r="L995" s="12" t="n">
        <v>1287.09</v>
      </c>
      <c r="M995" s="12" t="n">
        <v>1016.12</v>
      </c>
      <c r="N995" s="12" t="n">
        <v>270.97</v>
      </c>
      <c r="O995" t="inlineStr">
        <is>
          <t>Debit Card</t>
        </is>
      </c>
      <c r="P995" t="inlineStr">
        <is>
          <t>Meera Joshi</t>
        </is>
      </c>
    </row>
    <row r="996">
      <c r="A996" t="inlineStr">
        <is>
          <t>ORD-2512-0995</t>
        </is>
      </c>
      <c r="B996" s="11" t="n">
        <v>46000</v>
      </c>
      <c r="C996" t="inlineStr">
        <is>
          <t>East</t>
        </is>
      </c>
      <c r="D996" t="inlineStr">
        <is>
          <t>Patna</t>
        </is>
      </c>
      <c r="E996" t="inlineStr">
        <is>
          <t>Corporate</t>
        </is>
      </c>
      <c r="F996" t="inlineStr">
        <is>
          <t>Online</t>
        </is>
      </c>
      <c r="G996" t="inlineStr">
        <is>
          <t>Office Supplies</t>
        </is>
      </c>
      <c r="H996" t="inlineStr">
        <is>
          <t>Stapler</t>
        </is>
      </c>
      <c r="I996" t="n">
        <v>1</v>
      </c>
      <c r="J996" s="12" t="n">
        <v>257.03</v>
      </c>
      <c r="K996" s="13" t="n">
        <v>0.15</v>
      </c>
      <c r="L996" s="12" t="n">
        <v>218.48</v>
      </c>
      <c r="M996" s="12" t="n">
        <v>179.92</v>
      </c>
      <c r="N996" s="12" t="n">
        <v>38.56</v>
      </c>
      <c r="O996" t="inlineStr">
        <is>
          <t>UPI</t>
        </is>
      </c>
      <c r="P996" t="inlineStr">
        <is>
          <t>Sara Khan</t>
        </is>
      </c>
    </row>
    <row r="997">
      <c r="A997" t="inlineStr">
        <is>
          <t>ORD-2508-0996</t>
        </is>
      </c>
      <c r="B997" s="11" t="n">
        <v>45872</v>
      </c>
      <c r="C997" t="inlineStr">
        <is>
          <t>West</t>
        </is>
      </c>
      <c r="D997" t="inlineStr">
        <is>
          <t>Surat</t>
        </is>
      </c>
      <c r="E997" t="inlineStr">
        <is>
          <t>Corporate</t>
        </is>
      </c>
      <c r="F997" t="inlineStr">
        <is>
          <t>Partner</t>
        </is>
      </c>
      <c r="G997" t="inlineStr">
        <is>
          <t>Furniture</t>
        </is>
      </c>
      <c r="H997" t="inlineStr">
        <is>
          <t>Storage Cabinet</t>
        </is>
      </c>
      <c r="I997" t="n">
        <v>4</v>
      </c>
      <c r="J997" s="12" t="n">
        <v>9180.09</v>
      </c>
      <c r="K997" s="13" t="n">
        <v>0</v>
      </c>
      <c r="L997" s="12" t="n">
        <v>36720.36</v>
      </c>
      <c r="M997" s="12" t="n">
        <v>29376.29</v>
      </c>
      <c r="N997" s="12" t="n">
        <v>7344.07</v>
      </c>
      <c r="O997" t="inlineStr">
        <is>
          <t>Cash</t>
        </is>
      </c>
      <c r="P997" t="inlineStr">
        <is>
          <t>Vivaan Gupta</t>
        </is>
      </c>
    </row>
    <row r="998">
      <c r="A998" t="inlineStr">
        <is>
          <t>ORD-2501-0997</t>
        </is>
      </c>
      <c r="B998" s="11" t="n">
        <v>45663</v>
      </c>
      <c r="C998" t="inlineStr">
        <is>
          <t>Central</t>
        </is>
      </c>
      <c r="D998" t="inlineStr">
        <is>
          <t>Indore</t>
        </is>
      </c>
      <c r="E998" t="inlineStr">
        <is>
          <t>Small Business</t>
        </is>
      </c>
      <c r="F998" t="inlineStr">
        <is>
          <t>Partner</t>
        </is>
      </c>
      <c r="G998" t="inlineStr">
        <is>
          <t>Technology</t>
        </is>
      </c>
      <c r="H998" t="inlineStr">
        <is>
          <t>Monitor</t>
        </is>
      </c>
      <c r="I998" t="n">
        <v>4</v>
      </c>
      <c r="J998" s="12" t="n">
        <v>11789.23</v>
      </c>
      <c r="K998" s="13" t="n">
        <v>0.1</v>
      </c>
      <c r="L998" s="12" t="n">
        <v>42441.23</v>
      </c>
      <c r="M998" s="12" t="n">
        <v>38668.67</v>
      </c>
      <c r="N998" s="12" t="n">
        <v>3772.56</v>
      </c>
      <c r="O998" t="inlineStr">
        <is>
          <t>Net Banking</t>
        </is>
      </c>
      <c r="P998" t="inlineStr">
        <is>
          <t>Aarav Sharma</t>
        </is>
      </c>
    </row>
    <row r="999">
      <c r="A999" t="inlineStr">
        <is>
          <t>ORD-2503-0998</t>
        </is>
      </c>
      <c r="B999" s="11" t="n">
        <v>45735</v>
      </c>
      <c r="C999" t="inlineStr">
        <is>
          <t>West</t>
        </is>
      </c>
      <c r="D999" t="inlineStr">
        <is>
          <t>Pune</t>
        </is>
      </c>
      <c r="E999" t="inlineStr">
        <is>
          <t>Corporate</t>
        </is>
      </c>
      <c r="F999" t="inlineStr">
        <is>
          <t>Retail Store</t>
        </is>
      </c>
      <c r="G999" t="inlineStr">
        <is>
          <t>Furniture</t>
        </is>
      </c>
      <c r="H999" t="inlineStr">
        <is>
          <t>Bookshelf</t>
        </is>
      </c>
      <c r="I999" t="n">
        <v>5</v>
      </c>
      <c r="J999" s="12" t="n">
        <v>5591.02</v>
      </c>
      <c r="K999" s="13" t="n">
        <v>0</v>
      </c>
      <c r="L999" s="12" t="n">
        <v>27955.1</v>
      </c>
      <c r="M999" s="12" t="n">
        <v>20686.77</v>
      </c>
      <c r="N999" s="12" t="n">
        <v>7268.33</v>
      </c>
      <c r="O999" t="inlineStr">
        <is>
          <t>Cash</t>
        </is>
      </c>
      <c r="P999" t="inlineStr">
        <is>
          <t>Aarav Sharma</t>
        </is>
      </c>
    </row>
    <row r="1000">
      <c r="A1000" t="inlineStr">
        <is>
          <t>ORD-2508-0999</t>
        </is>
      </c>
      <c r="B1000" s="11" t="n">
        <v>45888</v>
      </c>
      <c r="C1000" t="inlineStr">
        <is>
          <t>South</t>
        </is>
      </c>
      <c r="D1000" t="inlineStr">
        <is>
          <t>Kochi</t>
        </is>
      </c>
      <c r="E1000" t="inlineStr">
        <is>
          <t>Consumer</t>
        </is>
      </c>
      <c r="F1000" t="inlineStr">
        <is>
          <t>Retail Store</t>
        </is>
      </c>
      <c r="G1000" t="inlineStr">
        <is>
          <t>Office Supplies</t>
        </is>
      </c>
      <c r="H1000" t="inlineStr">
        <is>
          <t>Pens Box</t>
        </is>
      </c>
      <c r="I1000" t="n">
        <v>8</v>
      </c>
      <c r="J1000" s="12" t="n">
        <v>171.9</v>
      </c>
      <c r="K1000" s="13" t="n">
        <v>0</v>
      </c>
      <c r="L1000" s="12" t="n">
        <v>1375.2</v>
      </c>
      <c r="M1000" s="12" t="n">
        <v>893.88</v>
      </c>
      <c r="N1000" s="12" t="n">
        <v>481.32</v>
      </c>
      <c r="O1000" t="inlineStr">
        <is>
          <t>Cash</t>
        </is>
      </c>
      <c r="P1000" t="inlineStr">
        <is>
          <t>Kabir Singh</t>
        </is>
      </c>
    </row>
    <row r="1001">
      <c r="A1001" t="inlineStr">
        <is>
          <t>ORD-2511-1000</t>
        </is>
      </c>
      <c r="B1001" s="11" t="n">
        <v>45965</v>
      </c>
      <c r="C1001" t="inlineStr">
        <is>
          <t>West</t>
        </is>
      </c>
      <c r="D1001" t="inlineStr">
        <is>
          <t>Pune</t>
        </is>
      </c>
      <c r="E1001" t="inlineStr">
        <is>
          <t>Consumer</t>
        </is>
      </c>
      <c r="F1001" t="inlineStr">
        <is>
          <t>Retail Store</t>
        </is>
      </c>
      <c r="G1001" t="inlineStr">
        <is>
          <t>Furniture</t>
        </is>
      </c>
      <c r="H1001" t="inlineStr">
        <is>
          <t>Office Chair</t>
        </is>
      </c>
      <c r="I1001" t="n">
        <v>2</v>
      </c>
      <c r="J1001" s="12" t="n">
        <v>6995.44</v>
      </c>
      <c r="K1001" s="13" t="n">
        <v>0</v>
      </c>
      <c r="L1001" s="12" t="n">
        <v>13990.88</v>
      </c>
      <c r="M1001" s="12" t="n">
        <v>10073.43</v>
      </c>
      <c r="N1001" s="12" t="n">
        <v>3917.45</v>
      </c>
      <c r="O1001" t="inlineStr">
        <is>
          <t>Net Banking</t>
        </is>
      </c>
      <c r="P1001" t="inlineStr">
        <is>
          <t>Aarav Sharma</t>
        </is>
      </c>
    </row>
    <row r="1002">
      <c r="A1002" t="inlineStr">
        <is>
          <t>ORD-2506-1001</t>
        </is>
      </c>
      <c r="B1002" s="11" t="n">
        <v>45812</v>
      </c>
      <c r="C1002" t="inlineStr">
        <is>
          <t>East</t>
        </is>
      </c>
      <c r="D1002" t="inlineStr">
        <is>
          <t>Kolkata</t>
        </is>
      </c>
      <c r="E1002" t="inlineStr">
        <is>
          <t>Corporate</t>
        </is>
      </c>
      <c r="F1002" t="inlineStr">
        <is>
          <t>Retail Store</t>
        </is>
      </c>
      <c r="G1002" t="inlineStr">
        <is>
          <t>Office Supplies</t>
        </is>
      </c>
      <c r="H1002" t="inlineStr">
        <is>
          <t>Paper Ream</t>
        </is>
      </c>
      <c r="I1002" t="n">
        <v>3</v>
      </c>
      <c r="J1002" s="12" t="n">
        <v>414.22</v>
      </c>
      <c r="K1002" s="13" t="n">
        <v>0.2</v>
      </c>
      <c r="L1002" s="12" t="n">
        <v>994.13</v>
      </c>
      <c r="M1002" s="12" t="n">
        <v>956.85</v>
      </c>
      <c r="N1002" s="12" t="n">
        <v>37.28</v>
      </c>
      <c r="O1002" t="inlineStr">
        <is>
          <t>Cash</t>
        </is>
      </c>
      <c r="P1002" t="inlineStr">
        <is>
          <t>Vivaan Gupta</t>
        </is>
      </c>
    </row>
    <row r="1003">
      <c r="A1003" t="inlineStr">
        <is>
          <t>ORD-2509-1002</t>
        </is>
      </c>
      <c r="B1003" s="11" t="n">
        <v>45925</v>
      </c>
      <c r="C1003" t="inlineStr">
        <is>
          <t>East</t>
        </is>
      </c>
      <c r="D1003" t="inlineStr">
        <is>
          <t>Kolkata</t>
        </is>
      </c>
      <c r="E1003" t="inlineStr">
        <is>
          <t>Consumer</t>
        </is>
      </c>
      <c r="F1003" t="inlineStr">
        <is>
          <t>Partner</t>
        </is>
      </c>
      <c r="G1003" t="inlineStr">
        <is>
          <t>Technology</t>
        </is>
      </c>
      <c r="H1003" t="inlineStr">
        <is>
          <t>Keyboard</t>
        </is>
      </c>
      <c r="I1003" t="n">
        <v>3</v>
      </c>
      <c r="J1003" s="12" t="n">
        <v>1411.82</v>
      </c>
      <c r="K1003" s="13" t="n">
        <v>0.05</v>
      </c>
      <c r="L1003" s="12" t="n">
        <v>4023.69</v>
      </c>
      <c r="M1003" s="12" t="n">
        <v>3176.6</v>
      </c>
      <c r="N1003" s="12" t="n">
        <v>847.09</v>
      </c>
      <c r="O1003" t="inlineStr">
        <is>
          <t>Debit Card</t>
        </is>
      </c>
      <c r="P1003" t="inlineStr">
        <is>
          <t>Vivaan Gupta</t>
        </is>
      </c>
    </row>
    <row r="1004">
      <c r="A1004" t="inlineStr">
        <is>
          <t>ORD-2505-1003</t>
        </is>
      </c>
      <c r="B1004" s="11" t="n">
        <v>45803</v>
      </c>
      <c r="C1004" t="inlineStr">
        <is>
          <t>West</t>
        </is>
      </c>
      <c r="D1004" t="inlineStr">
        <is>
          <t>Ahmedabad</t>
        </is>
      </c>
      <c r="E1004" t="inlineStr">
        <is>
          <t>Consumer</t>
        </is>
      </c>
      <c r="F1004" t="inlineStr">
        <is>
          <t>Online</t>
        </is>
      </c>
      <c r="G1004" t="inlineStr">
        <is>
          <t>Office Supplies</t>
        </is>
      </c>
      <c r="H1004" t="inlineStr">
        <is>
          <t>Paper Ream</t>
        </is>
      </c>
      <c r="I1004" t="n">
        <v>3</v>
      </c>
      <c r="J1004" s="12" t="n">
        <v>443.99</v>
      </c>
      <c r="K1004" s="13" t="n">
        <v>0.15</v>
      </c>
      <c r="L1004" s="12" t="n">
        <v>1132.17</v>
      </c>
      <c r="M1004" s="12" t="n">
        <v>1025.62</v>
      </c>
      <c r="N1004" s="12" t="n">
        <v>106.55</v>
      </c>
      <c r="O1004" t="inlineStr">
        <is>
          <t>Credit Card</t>
        </is>
      </c>
      <c r="P1004" t="inlineStr">
        <is>
          <t>Aarav Sharma</t>
        </is>
      </c>
    </row>
    <row r="1005">
      <c r="A1005" t="inlineStr">
        <is>
          <t>ORD-2511-1004</t>
        </is>
      </c>
      <c r="B1005" s="11" t="n">
        <v>45973</v>
      </c>
      <c r="C1005" t="inlineStr">
        <is>
          <t>West</t>
        </is>
      </c>
      <c r="D1005" t="inlineStr">
        <is>
          <t>Mumbai</t>
        </is>
      </c>
      <c r="E1005" t="inlineStr">
        <is>
          <t>Small Business</t>
        </is>
      </c>
      <c r="F1005" t="inlineStr">
        <is>
          <t>Retail Store</t>
        </is>
      </c>
      <c r="G1005" t="inlineStr">
        <is>
          <t>Furniture</t>
        </is>
      </c>
      <c r="H1005" t="inlineStr">
        <is>
          <t>Bookshelf</t>
        </is>
      </c>
      <c r="I1005" t="n">
        <v>4</v>
      </c>
      <c r="J1005" s="12" t="n">
        <v>5237.22</v>
      </c>
      <c r="K1005" s="13" t="n">
        <v>0.1</v>
      </c>
      <c r="L1005" s="12" t="n">
        <v>18853.99</v>
      </c>
      <c r="M1005" s="12" t="n">
        <v>15502.17</v>
      </c>
      <c r="N1005" s="12" t="n">
        <v>3351.82</v>
      </c>
      <c r="O1005" t="inlineStr">
        <is>
          <t>Cash</t>
        </is>
      </c>
      <c r="P1005" t="inlineStr">
        <is>
          <t>Aarav Sharma</t>
        </is>
      </c>
    </row>
    <row r="1006">
      <c r="A1006" t="inlineStr">
        <is>
          <t>ORD-2512-1005</t>
        </is>
      </c>
      <c r="B1006" s="11" t="n">
        <v>45999</v>
      </c>
      <c r="C1006" t="inlineStr">
        <is>
          <t>East</t>
        </is>
      </c>
      <c r="D1006" t="inlineStr">
        <is>
          <t>Guwahati</t>
        </is>
      </c>
      <c r="E1006" t="inlineStr">
        <is>
          <t>Consumer</t>
        </is>
      </c>
      <c r="F1006" t="inlineStr">
        <is>
          <t>Retail Store</t>
        </is>
      </c>
      <c r="G1006" t="inlineStr">
        <is>
          <t>Technology</t>
        </is>
      </c>
      <c r="H1006" t="inlineStr">
        <is>
          <t>Printer</t>
        </is>
      </c>
      <c r="I1006" t="n">
        <v>2</v>
      </c>
      <c r="J1006" s="12" t="n">
        <v>9319.24</v>
      </c>
      <c r="K1006" s="13" t="n">
        <v>0.05</v>
      </c>
      <c r="L1006" s="12" t="n">
        <v>17706.56</v>
      </c>
      <c r="M1006" s="12" t="n">
        <v>15656.32</v>
      </c>
      <c r="N1006" s="12" t="n">
        <v>2050.24</v>
      </c>
      <c r="O1006" t="inlineStr">
        <is>
          <t>Credit Card</t>
        </is>
      </c>
      <c r="P1006" t="inlineStr">
        <is>
          <t>Sara Khan</t>
        </is>
      </c>
    </row>
    <row r="1007">
      <c r="A1007" t="inlineStr">
        <is>
          <t>ORD-2508-1006</t>
        </is>
      </c>
      <c r="B1007" s="11" t="n">
        <v>45895</v>
      </c>
      <c r="C1007" t="inlineStr">
        <is>
          <t>West</t>
        </is>
      </c>
      <c r="D1007" t="inlineStr">
        <is>
          <t>Surat</t>
        </is>
      </c>
      <c r="E1007" t="inlineStr">
        <is>
          <t>Corporate</t>
        </is>
      </c>
      <c r="F1007" t="inlineStr">
        <is>
          <t>Partner</t>
        </is>
      </c>
      <c r="G1007" t="inlineStr">
        <is>
          <t>Technology</t>
        </is>
      </c>
      <c r="H1007" t="inlineStr">
        <is>
          <t>Laptop</t>
        </is>
      </c>
      <c r="I1007" t="n">
        <v>8</v>
      </c>
      <c r="J1007" s="12" t="n">
        <v>42050.81</v>
      </c>
      <c r="K1007" s="13" t="n">
        <v>0.15</v>
      </c>
      <c r="L1007" s="12" t="n">
        <v>285945.51</v>
      </c>
      <c r="M1007" s="12" t="n">
        <v>296037.7</v>
      </c>
      <c r="N1007" s="12" t="n">
        <v>-10092.19</v>
      </c>
      <c r="O1007" t="inlineStr">
        <is>
          <t>Net Banking</t>
        </is>
      </c>
      <c r="P1007" t="inlineStr">
        <is>
          <t>Rohan Verma</t>
        </is>
      </c>
    </row>
    <row r="1008">
      <c r="A1008" t="inlineStr">
        <is>
          <t>ORD-2508-1007</t>
        </is>
      </c>
      <c r="B1008" s="11" t="n">
        <v>45870</v>
      </c>
      <c r="C1008" t="inlineStr">
        <is>
          <t>South</t>
        </is>
      </c>
      <c r="D1008" t="inlineStr">
        <is>
          <t>Bengaluru</t>
        </is>
      </c>
      <c r="E1008" t="inlineStr">
        <is>
          <t>Small Business</t>
        </is>
      </c>
      <c r="F1008" t="inlineStr">
        <is>
          <t>Partner</t>
        </is>
      </c>
      <c r="G1008" t="inlineStr">
        <is>
          <t>Furniture</t>
        </is>
      </c>
      <c r="H1008" t="inlineStr">
        <is>
          <t>Desk</t>
        </is>
      </c>
      <c r="I1008" t="n">
        <v>1</v>
      </c>
      <c r="J1008" s="12" t="n">
        <v>12034.54</v>
      </c>
      <c r="K1008" s="13" t="n">
        <v>0</v>
      </c>
      <c r="L1008" s="12" t="n">
        <v>12034.54</v>
      </c>
      <c r="M1008" s="12" t="n">
        <v>9146.25</v>
      </c>
      <c r="N1008" s="12" t="n">
        <v>2888.29</v>
      </c>
      <c r="O1008" t="inlineStr">
        <is>
          <t>Cash</t>
        </is>
      </c>
      <c r="P1008" t="inlineStr">
        <is>
          <t>Sara Khan</t>
        </is>
      </c>
    </row>
    <row r="1009">
      <c r="A1009" t="inlineStr">
        <is>
          <t>ORD-2506-1008</t>
        </is>
      </c>
      <c r="B1009" s="11" t="n">
        <v>45829</v>
      </c>
      <c r="C1009" t="inlineStr">
        <is>
          <t>South</t>
        </is>
      </c>
      <c r="D1009" t="inlineStr">
        <is>
          <t>Kochi</t>
        </is>
      </c>
      <c r="E1009" t="inlineStr">
        <is>
          <t>Corporate</t>
        </is>
      </c>
      <c r="F1009" t="inlineStr">
        <is>
          <t>Online</t>
        </is>
      </c>
      <c r="G1009" t="inlineStr">
        <is>
          <t>Technology</t>
        </is>
      </c>
      <c r="H1009" t="inlineStr">
        <is>
          <t>Printer</t>
        </is>
      </c>
      <c r="I1009" t="n">
        <v>3</v>
      </c>
      <c r="J1009" s="12" t="n">
        <v>9676.73</v>
      </c>
      <c r="K1009" s="13" t="n">
        <v>0.05</v>
      </c>
      <c r="L1009" s="12" t="n">
        <v>27578.68</v>
      </c>
      <c r="M1009" s="12" t="n">
        <v>24385.36</v>
      </c>
      <c r="N1009" s="12" t="n">
        <v>3193.32</v>
      </c>
      <c r="O1009" t="inlineStr">
        <is>
          <t>Cash</t>
        </is>
      </c>
      <c r="P1009" t="inlineStr">
        <is>
          <t>Vivaan Gupta</t>
        </is>
      </c>
    </row>
    <row r="1010">
      <c r="A1010" t="inlineStr">
        <is>
          <t>ORD-2503-1009</t>
        </is>
      </c>
      <c r="B1010" s="11" t="n">
        <v>45723</v>
      </c>
      <c r="C1010" t="inlineStr">
        <is>
          <t>West</t>
        </is>
      </c>
      <c r="D1010" t="inlineStr">
        <is>
          <t>Pune</t>
        </is>
      </c>
      <c r="E1010" t="inlineStr">
        <is>
          <t>Consumer</t>
        </is>
      </c>
      <c r="F1010" t="inlineStr">
        <is>
          <t>Partner</t>
        </is>
      </c>
      <c r="G1010" t="inlineStr">
        <is>
          <t>Furniture</t>
        </is>
      </c>
      <c r="H1010" t="inlineStr">
        <is>
          <t>Desk</t>
        </is>
      </c>
      <c r="I1010" t="n">
        <v>6</v>
      </c>
      <c r="J1010" s="12" t="n">
        <v>11384.82</v>
      </c>
      <c r="K1010" s="13" t="n">
        <v>0.1</v>
      </c>
      <c r="L1010" s="12" t="n">
        <v>61478.03</v>
      </c>
      <c r="M1010" s="12" t="n">
        <v>51914.78</v>
      </c>
      <c r="N1010" s="12" t="n">
        <v>9563.25</v>
      </c>
      <c r="O1010" t="inlineStr">
        <is>
          <t>UPI</t>
        </is>
      </c>
      <c r="P1010" t="inlineStr">
        <is>
          <t>Diya Patel</t>
        </is>
      </c>
    </row>
    <row r="1011">
      <c r="A1011" t="inlineStr">
        <is>
          <t>ORD-2511-1010</t>
        </is>
      </c>
      <c r="B1011" s="11" t="n">
        <v>45981</v>
      </c>
      <c r="C1011" t="inlineStr">
        <is>
          <t>Central</t>
        </is>
      </c>
      <c r="D1011" t="inlineStr">
        <is>
          <t>Nagpur</t>
        </is>
      </c>
      <c r="E1011" t="inlineStr">
        <is>
          <t>Consumer</t>
        </is>
      </c>
      <c r="F1011" t="inlineStr">
        <is>
          <t>Retail Store</t>
        </is>
      </c>
      <c r="G1011" t="inlineStr">
        <is>
          <t>Office Supplies</t>
        </is>
      </c>
      <c r="H1011" t="inlineStr">
        <is>
          <t>Stapler</t>
        </is>
      </c>
      <c r="I1011" t="n">
        <v>4</v>
      </c>
      <c r="J1011" s="12" t="n">
        <v>274.03</v>
      </c>
      <c r="K1011" s="13" t="n">
        <v>0.15</v>
      </c>
      <c r="L1011" s="12" t="n">
        <v>931.7</v>
      </c>
      <c r="M1011" s="12" t="n">
        <v>767.28</v>
      </c>
      <c r="N1011" s="12" t="n">
        <v>164.42</v>
      </c>
      <c r="O1011" t="inlineStr">
        <is>
          <t>UPI</t>
        </is>
      </c>
      <c r="P1011" t="inlineStr">
        <is>
          <t>Diya Patel</t>
        </is>
      </c>
    </row>
    <row r="1012">
      <c r="A1012" t="inlineStr">
        <is>
          <t>ORD-2502-1011</t>
        </is>
      </c>
      <c r="B1012" s="11" t="n">
        <v>45705</v>
      </c>
      <c r="C1012" t="inlineStr">
        <is>
          <t>North</t>
        </is>
      </c>
      <c r="D1012" t="inlineStr">
        <is>
          <t>Lucknow</t>
        </is>
      </c>
      <c r="E1012" t="inlineStr">
        <is>
          <t>Small Business</t>
        </is>
      </c>
      <c r="F1012" t="inlineStr">
        <is>
          <t>Partner</t>
        </is>
      </c>
      <c r="G1012" t="inlineStr">
        <is>
          <t>Technology</t>
        </is>
      </c>
      <c r="H1012" t="inlineStr">
        <is>
          <t>Laptop</t>
        </is>
      </c>
      <c r="I1012" t="n">
        <v>3</v>
      </c>
      <c r="J1012" s="12" t="n">
        <v>38826.94</v>
      </c>
      <c r="K1012" s="13" t="n">
        <v>0.1</v>
      </c>
      <c r="L1012" s="12" t="n">
        <v>104832.74</v>
      </c>
      <c r="M1012" s="12" t="n">
        <v>102503.12</v>
      </c>
      <c r="N1012" s="12" t="n">
        <v>2329.62</v>
      </c>
      <c r="O1012" t="inlineStr">
        <is>
          <t>Credit Card</t>
        </is>
      </c>
      <c r="P1012" t="inlineStr">
        <is>
          <t>Vivaan Gupta</t>
        </is>
      </c>
    </row>
    <row r="1013">
      <c r="A1013" t="inlineStr">
        <is>
          <t>ORD-2501-1012</t>
        </is>
      </c>
      <c r="B1013" s="11" t="n">
        <v>45670</v>
      </c>
      <c r="C1013" t="inlineStr">
        <is>
          <t>South</t>
        </is>
      </c>
      <c r="D1013" t="inlineStr">
        <is>
          <t>Kochi</t>
        </is>
      </c>
      <c r="E1013" t="inlineStr">
        <is>
          <t>Consumer</t>
        </is>
      </c>
      <c r="F1013" t="inlineStr">
        <is>
          <t>Retail Store</t>
        </is>
      </c>
      <c r="G1013" t="inlineStr">
        <is>
          <t>Office Supplies</t>
        </is>
      </c>
      <c r="H1013" t="inlineStr">
        <is>
          <t>Pens Box</t>
        </is>
      </c>
      <c r="I1013" t="n">
        <v>3</v>
      </c>
      <c r="J1013" s="12" t="n">
        <v>172.5</v>
      </c>
      <c r="K1013" s="13" t="n">
        <v>0.05</v>
      </c>
      <c r="L1013" s="12" t="n">
        <v>491.62</v>
      </c>
      <c r="M1013" s="12" t="n">
        <v>336.38</v>
      </c>
      <c r="N1013" s="12" t="n">
        <v>155.24</v>
      </c>
      <c r="O1013" t="inlineStr">
        <is>
          <t>UPI</t>
        </is>
      </c>
      <c r="P1013" t="inlineStr">
        <is>
          <t>Meera Joshi</t>
        </is>
      </c>
    </row>
    <row r="1014">
      <c r="A1014" t="inlineStr">
        <is>
          <t>ORD-2507-1013</t>
        </is>
      </c>
      <c r="B1014" s="11" t="n">
        <v>45851</v>
      </c>
      <c r="C1014" t="inlineStr">
        <is>
          <t>East</t>
        </is>
      </c>
      <c r="D1014" t="inlineStr">
        <is>
          <t>Kolkata</t>
        </is>
      </c>
      <c r="E1014" t="inlineStr">
        <is>
          <t>Small Business</t>
        </is>
      </c>
      <c r="F1014" t="inlineStr">
        <is>
          <t>Online</t>
        </is>
      </c>
      <c r="G1014" t="inlineStr">
        <is>
          <t>Technology</t>
        </is>
      </c>
      <c r="H1014" t="inlineStr">
        <is>
          <t>Headphones</t>
        </is>
      </c>
      <c r="I1014" t="n">
        <v>1</v>
      </c>
      <c r="J1014" s="12" t="n">
        <v>2032.15</v>
      </c>
      <c r="K1014" s="13" t="n">
        <v>0</v>
      </c>
      <c r="L1014" s="12" t="n">
        <v>2032.15</v>
      </c>
      <c r="M1014" s="12" t="n">
        <v>1585.08</v>
      </c>
      <c r="N1014" s="12" t="n">
        <v>447.07</v>
      </c>
      <c r="O1014" t="inlineStr">
        <is>
          <t>Credit Card</t>
        </is>
      </c>
      <c r="P1014" t="inlineStr">
        <is>
          <t>Anaya Rao</t>
        </is>
      </c>
    </row>
    <row r="1015">
      <c r="A1015" t="inlineStr">
        <is>
          <t>ORD-2511-1014</t>
        </is>
      </c>
      <c r="B1015" s="11" t="n">
        <v>45963</v>
      </c>
      <c r="C1015" t="inlineStr">
        <is>
          <t>North</t>
        </is>
      </c>
      <c r="D1015" t="inlineStr">
        <is>
          <t>Delhi</t>
        </is>
      </c>
      <c r="E1015" t="inlineStr">
        <is>
          <t>Corporate</t>
        </is>
      </c>
      <c r="F1015" t="inlineStr">
        <is>
          <t>Retail Store</t>
        </is>
      </c>
      <c r="G1015" t="inlineStr">
        <is>
          <t>Technology</t>
        </is>
      </c>
      <c r="H1015" t="inlineStr">
        <is>
          <t>Keyboard</t>
        </is>
      </c>
      <c r="I1015" t="n">
        <v>2</v>
      </c>
      <c r="J1015" s="12" t="n">
        <v>1308.78</v>
      </c>
      <c r="K1015" s="13" t="n">
        <v>0.15</v>
      </c>
      <c r="L1015" s="12" t="n">
        <v>2224.93</v>
      </c>
      <c r="M1015" s="12" t="n">
        <v>1963.17</v>
      </c>
      <c r="N1015" s="12" t="n">
        <v>261.76</v>
      </c>
      <c r="O1015" t="inlineStr">
        <is>
          <t>UPI</t>
        </is>
      </c>
      <c r="P1015" t="inlineStr">
        <is>
          <t>Vivaan Gupta</t>
        </is>
      </c>
    </row>
    <row r="1016">
      <c r="A1016" t="inlineStr">
        <is>
          <t>ORD-2502-1015</t>
        </is>
      </c>
      <c r="B1016" s="11" t="n">
        <v>45709</v>
      </c>
      <c r="C1016" t="inlineStr">
        <is>
          <t>West</t>
        </is>
      </c>
      <c r="D1016" t="inlineStr">
        <is>
          <t>Mumbai</t>
        </is>
      </c>
      <c r="E1016" t="inlineStr">
        <is>
          <t>Small Business</t>
        </is>
      </c>
      <c r="F1016" t="inlineStr">
        <is>
          <t>Retail Store</t>
        </is>
      </c>
      <c r="G1016" t="inlineStr">
        <is>
          <t>Furniture</t>
        </is>
      </c>
      <c r="H1016" t="inlineStr">
        <is>
          <t>Desk</t>
        </is>
      </c>
      <c r="I1016" t="n">
        <v>1</v>
      </c>
      <c r="J1016" s="12" t="n">
        <v>10720.42</v>
      </c>
      <c r="K1016" s="13" t="n">
        <v>0.2</v>
      </c>
      <c r="L1016" s="12" t="n">
        <v>8576.34</v>
      </c>
      <c r="M1016" s="12" t="n">
        <v>8147.52</v>
      </c>
      <c r="N1016" s="12" t="n">
        <v>428.82</v>
      </c>
      <c r="O1016" t="inlineStr">
        <is>
          <t>Debit Card</t>
        </is>
      </c>
      <c r="P1016" t="inlineStr">
        <is>
          <t>Sara Khan</t>
        </is>
      </c>
    </row>
    <row r="1017">
      <c r="A1017" t="inlineStr">
        <is>
          <t>ORD-2511-1016</t>
        </is>
      </c>
      <c r="B1017" s="11" t="n">
        <v>45982</v>
      </c>
      <c r="C1017" t="inlineStr">
        <is>
          <t>West</t>
        </is>
      </c>
      <c r="D1017" t="inlineStr">
        <is>
          <t>Pune</t>
        </is>
      </c>
      <c r="E1017" t="inlineStr">
        <is>
          <t>Small Business</t>
        </is>
      </c>
      <c r="F1017" t="inlineStr">
        <is>
          <t>Partner</t>
        </is>
      </c>
      <c r="G1017" t="inlineStr">
        <is>
          <t>Technology</t>
        </is>
      </c>
      <c r="H1017" t="inlineStr">
        <is>
          <t>Keyboard</t>
        </is>
      </c>
      <c r="I1017" t="n">
        <v>2</v>
      </c>
      <c r="J1017" s="12" t="n">
        <v>1435.77</v>
      </c>
      <c r="K1017" s="13" t="n">
        <v>0.15</v>
      </c>
      <c r="L1017" s="12" t="n">
        <v>2440.81</v>
      </c>
      <c r="M1017" s="12" t="n">
        <v>2153.65</v>
      </c>
      <c r="N1017" s="12" t="n">
        <v>287.16</v>
      </c>
      <c r="O1017" t="inlineStr">
        <is>
          <t>Credit Card</t>
        </is>
      </c>
      <c r="P1017" t="inlineStr">
        <is>
          <t>Diya Patel</t>
        </is>
      </c>
    </row>
    <row r="1018">
      <c r="A1018" t="inlineStr">
        <is>
          <t>ORD-2506-1017</t>
        </is>
      </c>
      <c r="B1018" s="11" t="n">
        <v>45833</v>
      </c>
      <c r="C1018" t="inlineStr">
        <is>
          <t>East</t>
        </is>
      </c>
      <c r="D1018" t="inlineStr">
        <is>
          <t>Guwahati</t>
        </is>
      </c>
      <c r="E1018" t="inlineStr">
        <is>
          <t>Corporate</t>
        </is>
      </c>
      <c r="F1018" t="inlineStr">
        <is>
          <t>Online</t>
        </is>
      </c>
      <c r="G1018" t="inlineStr">
        <is>
          <t>Office Supplies</t>
        </is>
      </c>
      <c r="H1018" t="inlineStr">
        <is>
          <t>Notebook Pack</t>
        </is>
      </c>
      <c r="I1018" t="n">
        <v>3</v>
      </c>
      <c r="J1018" s="12" t="n">
        <v>351.22</v>
      </c>
      <c r="K1018" s="13" t="n">
        <v>0</v>
      </c>
      <c r="L1018" s="12" t="n">
        <v>1053.66</v>
      </c>
      <c r="M1018" s="12" t="n">
        <v>716.49</v>
      </c>
      <c r="N1018" s="12" t="n">
        <v>337.17</v>
      </c>
      <c r="O1018" t="inlineStr">
        <is>
          <t>UPI</t>
        </is>
      </c>
      <c r="P1018" t="inlineStr">
        <is>
          <t>Aarav Sharma</t>
        </is>
      </c>
    </row>
    <row r="1019">
      <c r="A1019" t="inlineStr">
        <is>
          <t>ORD-2510-1018</t>
        </is>
      </c>
      <c r="B1019" s="11" t="n">
        <v>45932</v>
      </c>
      <c r="C1019" t="inlineStr">
        <is>
          <t>North</t>
        </is>
      </c>
      <c r="D1019" t="inlineStr">
        <is>
          <t>Jaipur</t>
        </is>
      </c>
      <c r="E1019" t="inlineStr">
        <is>
          <t>Corporate</t>
        </is>
      </c>
      <c r="F1019" t="inlineStr">
        <is>
          <t>Online</t>
        </is>
      </c>
      <c r="G1019" t="inlineStr">
        <is>
          <t>Technology</t>
        </is>
      </c>
      <c r="H1019" t="inlineStr">
        <is>
          <t>Printer</t>
        </is>
      </c>
      <c r="I1019" t="n">
        <v>5</v>
      </c>
      <c r="J1019" s="12" t="n">
        <v>9069.780000000001</v>
      </c>
      <c r="K1019" s="13" t="n">
        <v>0</v>
      </c>
      <c r="L1019" s="12" t="n">
        <v>45348.9</v>
      </c>
      <c r="M1019" s="12" t="n">
        <v>38093.08</v>
      </c>
      <c r="N1019" s="12" t="n">
        <v>7255.82</v>
      </c>
      <c r="O1019" t="inlineStr">
        <is>
          <t>UPI</t>
        </is>
      </c>
      <c r="P1019" t="inlineStr">
        <is>
          <t>Diya Patel</t>
        </is>
      </c>
    </row>
    <row r="1020">
      <c r="A1020" t="inlineStr">
        <is>
          <t>ORD-2512-1019</t>
        </is>
      </c>
      <c r="B1020" s="11" t="n">
        <v>46012</v>
      </c>
      <c r="C1020" t="inlineStr">
        <is>
          <t>South</t>
        </is>
      </c>
      <c r="D1020" t="inlineStr">
        <is>
          <t>Hyderabad</t>
        </is>
      </c>
      <c r="E1020" t="inlineStr">
        <is>
          <t>Small Business</t>
        </is>
      </c>
      <c r="F1020" t="inlineStr">
        <is>
          <t>Partner</t>
        </is>
      </c>
      <c r="G1020" t="inlineStr">
        <is>
          <t>Technology</t>
        </is>
      </c>
      <c r="H1020" t="inlineStr">
        <is>
          <t>Headphones</t>
        </is>
      </c>
      <c r="I1020" t="n">
        <v>3</v>
      </c>
      <c r="J1020" s="12" t="n">
        <v>2146.69</v>
      </c>
      <c r="K1020" s="13" t="n">
        <v>0.2</v>
      </c>
      <c r="L1020" s="12" t="n">
        <v>5152.06</v>
      </c>
      <c r="M1020" s="12" t="n">
        <v>5023.25</v>
      </c>
      <c r="N1020" s="12" t="n">
        <v>128.81</v>
      </c>
      <c r="O1020" t="inlineStr">
        <is>
          <t>Net Banking</t>
        </is>
      </c>
      <c r="P1020" t="inlineStr">
        <is>
          <t>Anaya Rao</t>
        </is>
      </c>
    </row>
    <row r="1021">
      <c r="A1021" t="inlineStr">
        <is>
          <t>ORD-2509-1020</t>
        </is>
      </c>
      <c r="B1021" s="11" t="n">
        <v>45911</v>
      </c>
      <c r="C1021" t="inlineStr">
        <is>
          <t>West</t>
        </is>
      </c>
      <c r="D1021" t="inlineStr">
        <is>
          <t>Surat</t>
        </is>
      </c>
      <c r="E1021" t="inlineStr">
        <is>
          <t>Small Business</t>
        </is>
      </c>
      <c r="F1021" t="inlineStr">
        <is>
          <t>Retail Store</t>
        </is>
      </c>
      <c r="G1021" t="inlineStr">
        <is>
          <t>Technology</t>
        </is>
      </c>
      <c r="H1021" t="inlineStr">
        <is>
          <t>Printer</t>
        </is>
      </c>
      <c r="I1021" t="n">
        <v>2</v>
      </c>
      <c r="J1021" s="12" t="n">
        <v>10025.97</v>
      </c>
      <c r="K1021" s="13" t="n">
        <v>0</v>
      </c>
      <c r="L1021" s="12" t="n">
        <v>20051.94</v>
      </c>
      <c r="M1021" s="12" t="n">
        <v>16843.63</v>
      </c>
      <c r="N1021" s="12" t="n">
        <v>3208.31</v>
      </c>
      <c r="O1021" t="inlineStr">
        <is>
          <t>Debit Card</t>
        </is>
      </c>
      <c r="P1021" t="inlineStr">
        <is>
          <t>Diya Patel</t>
        </is>
      </c>
    </row>
    <row r="1022">
      <c r="A1022" t="inlineStr">
        <is>
          <t>ORD-2510-1021</t>
        </is>
      </c>
      <c r="B1022" s="11" t="n">
        <v>45956</v>
      </c>
      <c r="C1022" t="inlineStr">
        <is>
          <t>Central</t>
        </is>
      </c>
      <c r="D1022" t="inlineStr">
        <is>
          <t>Raipur</t>
        </is>
      </c>
      <c r="E1022" t="inlineStr">
        <is>
          <t>Corporate</t>
        </is>
      </c>
      <c r="F1022" t="inlineStr">
        <is>
          <t>Retail Store</t>
        </is>
      </c>
      <c r="G1022" t="inlineStr">
        <is>
          <t>Technology</t>
        </is>
      </c>
      <c r="H1022" t="inlineStr">
        <is>
          <t>Keyboard</t>
        </is>
      </c>
      <c r="I1022" t="n">
        <v>5</v>
      </c>
      <c r="J1022" s="12" t="n">
        <v>1397.27</v>
      </c>
      <c r="K1022" s="13" t="n">
        <v>0.2</v>
      </c>
      <c r="L1022" s="12" t="n">
        <v>5589.08</v>
      </c>
      <c r="M1022" s="12" t="n">
        <v>5239.76</v>
      </c>
      <c r="N1022" s="12" t="n">
        <v>349.32</v>
      </c>
      <c r="O1022" t="inlineStr">
        <is>
          <t>Cash</t>
        </is>
      </c>
      <c r="P1022" t="inlineStr">
        <is>
          <t>Rohan Verma</t>
        </is>
      </c>
    </row>
    <row r="1023">
      <c r="A1023" t="inlineStr">
        <is>
          <t>ORD-2506-1022</t>
        </is>
      </c>
      <c r="B1023" s="11" t="n">
        <v>45821</v>
      </c>
      <c r="C1023" t="inlineStr">
        <is>
          <t>Central</t>
        </is>
      </c>
      <c r="D1023" t="inlineStr">
        <is>
          <t>Bhopal</t>
        </is>
      </c>
      <c r="E1023" t="inlineStr">
        <is>
          <t>Small Business</t>
        </is>
      </c>
      <c r="F1023" t="inlineStr">
        <is>
          <t>Online</t>
        </is>
      </c>
      <c r="G1023" t="inlineStr">
        <is>
          <t>Office Supplies</t>
        </is>
      </c>
      <c r="H1023" t="inlineStr">
        <is>
          <t>Notebook Pack</t>
        </is>
      </c>
      <c r="I1023" t="n">
        <v>2</v>
      </c>
      <c r="J1023" s="12" t="n">
        <v>341.76</v>
      </c>
      <c r="K1023" s="13" t="n">
        <v>0</v>
      </c>
      <c r="L1023" s="12" t="n">
        <v>683.52</v>
      </c>
      <c r="M1023" s="12" t="n">
        <v>464.79</v>
      </c>
      <c r="N1023" s="12" t="n">
        <v>218.73</v>
      </c>
      <c r="O1023" t="inlineStr">
        <is>
          <t>Debit Card</t>
        </is>
      </c>
      <c r="P1023" t="inlineStr">
        <is>
          <t>Kabir Singh</t>
        </is>
      </c>
    </row>
    <row r="1024">
      <c r="A1024" t="inlineStr">
        <is>
          <t>ORD-2501-1023</t>
        </is>
      </c>
      <c r="B1024" s="11" t="n">
        <v>45675</v>
      </c>
      <c r="C1024" t="inlineStr">
        <is>
          <t>Central</t>
        </is>
      </c>
      <c r="D1024" t="inlineStr">
        <is>
          <t>Raipur</t>
        </is>
      </c>
      <c r="E1024" t="inlineStr">
        <is>
          <t>Small Business</t>
        </is>
      </c>
      <c r="F1024" t="inlineStr">
        <is>
          <t>Retail Store</t>
        </is>
      </c>
      <c r="G1024" t="inlineStr">
        <is>
          <t>Office Supplies</t>
        </is>
      </c>
      <c r="H1024" t="inlineStr">
        <is>
          <t>Notebook Pack</t>
        </is>
      </c>
      <c r="I1024" t="n">
        <v>2</v>
      </c>
      <c r="J1024" s="12" t="n">
        <v>371.13</v>
      </c>
      <c r="K1024" s="13" t="n">
        <v>0.1</v>
      </c>
      <c r="L1024" s="12" t="n">
        <v>668.03</v>
      </c>
      <c r="M1024" s="12" t="n">
        <v>504.74</v>
      </c>
      <c r="N1024" s="12" t="n">
        <v>163.29</v>
      </c>
      <c r="O1024" t="inlineStr">
        <is>
          <t>Debit Card</t>
        </is>
      </c>
      <c r="P1024" t="inlineStr">
        <is>
          <t>Aarav Sharma</t>
        </is>
      </c>
    </row>
    <row r="1025">
      <c r="A1025" t="inlineStr">
        <is>
          <t>ORD-2502-1024</t>
        </is>
      </c>
      <c r="B1025" s="11" t="n">
        <v>45716</v>
      </c>
      <c r="C1025" t="inlineStr">
        <is>
          <t>South</t>
        </is>
      </c>
      <c r="D1025" t="inlineStr">
        <is>
          <t>Hyderabad</t>
        </is>
      </c>
      <c r="E1025" t="inlineStr">
        <is>
          <t>Small Business</t>
        </is>
      </c>
      <c r="F1025" t="inlineStr">
        <is>
          <t>Retail Store</t>
        </is>
      </c>
      <c r="G1025" t="inlineStr">
        <is>
          <t>Furniture</t>
        </is>
      </c>
      <c r="H1025" t="inlineStr">
        <is>
          <t>Desk</t>
        </is>
      </c>
      <c r="I1025" t="n">
        <v>5</v>
      </c>
      <c r="J1025" s="12" t="n">
        <v>10713.66</v>
      </c>
      <c r="K1025" s="13" t="n">
        <v>0.05</v>
      </c>
      <c r="L1025" s="12" t="n">
        <v>50889.89</v>
      </c>
      <c r="M1025" s="12" t="n">
        <v>40711.91</v>
      </c>
      <c r="N1025" s="12" t="n">
        <v>10177.98</v>
      </c>
      <c r="O1025" t="inlineStr">
        <is>
          <t>Net Banking</t>
        </is>
      </c>
      <c r="P1025" t="inlineStr">
        <is>
          <t>Kabir Singh</t>
        </is>
      </c>
    </row>
    <row r="1026">
      <c r="A1026" t="inlineStr">
        <is>
          <t>ORD-2506-1025</t>
        </is>
      </c>
      <c r="B1026" s="11" t="n">
        <v>45818</v>
      </c>
      <c r="C1026" t="inlineStr">
        <is>
          <t>North</t>
        </is>
      </c>
      <c r="D1026" t="inlineStr">
        <is>
          <t>Delhi</t>
        </is>
      </c>
      <c r="E1026" t="inlineStr">
        <is>
          <t>Small Business</t>
        </is>
      </c>
      <c r="F1026" t="inlineStr">
        <is>
          <t>Retail Store</t>
        </is>
      </c>
      <c r="G1026" t="inlineStr">
        <is>
          <t>Furniture</t>
        </is>
      </c>
      <c r="H1026" t="inlineStr">
        <is>
          <t>Office Chair</t>
        </is>
      </c>
      <c r="I1026" t="n">
        <v>4</v>
      </c>
      <c r="J1026" s="12" t="n">
        <v>6488.58</v>
      </c>
      <c r="K1026" s="13" t="n">
        <v>0.1</v>
      </c>
      <c r="L1026" s="12" t="n">
        <v>23358.89</v>
      </c>
      <c r="M1026" s="12" t="n">
        <v>18687.11</v>
      </c>
      <c r="N1026" s="12" t="n">
        <v>4671.78</v>
      </c>
      <c r="O1026" t="inlineStr">
        <is>
          <t>UPI</t>
        </is>
      </c>
      <c r="P1026" t="inlineStr">
        <is>
          <t>Diya Patel</t>
        </is>
      </c>
    </row>
    <row r="1027">
      <c r="A1027" t="inlineStr">
        <is>
          <t>ORD-2507-1026</t>
        </is>
      </c>
      <c r="B1027" s="11" t="n">
        <v>45855</v>
      </c>
      <c r="C1027" t="inlineStr">
        <is>
          <t>East</t>
        </is>
      </c>
      <c r="D1027" t="inlineStr">
        <is>
          <t>Patna</t>
        </is>
      </c>
      <c r="E1027" t="inlineStr">
        <is>
          <t>Small Business</t>
        </is>
      </c>
      <c r="F1027" t="inlineStr">
        <is>
          <t>Online</t>
        </is>
      </c>
      <c r="G1027" t="inlineStr">
        <is>
          <t>Furniture</t>
        </is>
      </c>
      <c r="H1027" t="inlineStr">
        <is>
          <t>Storage Cabinet</t>
        </is>
      </c>
      <c r="I1027" t="n">
        <v>2</v>
      </c>
      <c r="J1027" s="12" t="n">
        <v>9207.959999999999</v>
      </c>
      <c r="K1027" s="13" t="n">
        <v>0.1</v>
      </c>
      <c r="L1027" s="12" t="n">
        <v>16574.33</v>
      </c>
      <c r="M1027" s="12" t="n">
        <v>14732.74</v>
      </c>
      <c r="N1027" s="12" t="n">
        <v>1841.59</v>
      </c>
      <c r="O1027" t="inlineStr">
        <is>
          <t>Cash</t>
        </is>
      </c>
      <c r="P1027" t="inlineStr">
        <is>
          <t>Vivaan Gupta</t>
        </is>
      </c>
    </row>
    <row r="1028">
      <c r="A1028" t="inlineStr">
        <is>
          <t>ORD-2512-1027</t>
        </is>
      </c>
      <c r="B1028" s="11" t="n">
        <v>46007</v>
      </c>
      <c r="C1028" t="inlineStr">
        <is>
          <t>West</t>
        </is>
      </c>
      <c r="D1028" t="inlineStr">
        <is>
          <t>Ahmedabad</t>
        </is>
      </c>
      <c r="E1028" t="inlineStr">
        <is>
          <t>Corporate</t>
        </is>
      </c>
      <c r="F1028" t="inlineStr">
        <is>
          <t>Online</t>
        </is>
      </c>
      <c r="G1028" t="inlineStr">
        <is>
          <t>Office Supplies</t>
        </is>
      </c>
      <c r="H1028" t="inlineStr">
        <is>
          <t>Stapler</t>
        </is>
      </c>
      <c r="I1028" t="n">
        <v>2</v>
      </c>
      <c r="J1028" s="12" t="n">
        <v>272.59</v>
      </c>
      <c r="K1028" s="13" t="n">
        <v>0</v>
      </c>
      <c r="L1028" s="12" t="n">
        <v>545.1799999999999</v>
      </c>
      <c r="M1028" s="12" t="n">
        <v>381.63</v>
      </c>
      <c r="N1028" s="12" t="n">
        <v>163.55</v>
      </c>
      <c r="O1028" t="inlineStr">
        <is>
          <t>Net Banking</t>
        </is>
      </c>
      <c r="P1028" t="inlineStr">
        <is>
          <t>Vivaan Gupta</t>
        </is>
      </c>
    </row>
    <row r="1029">
      <c r="A1029" t="inlineStr">
        <is>
          <t>ORD-2503-1028</t>
        </is>
      </c>
      <c r="B1029" s="11" t="n">
        <v>45719</v>
      </c>
      <c r="C1029" t="inlineStr">
        <is>
          <t>North</t>
        </is>
      </c>
      <c r="D1029" t="inlineStr">
        <is>
          <t>Lucknow</t>
        </is>
      </c>
      <c r="E1029" t="inlineStr">
        <is>
          <t>Consumer</t>
        </is>
      </c>
      <c r="F1029" t="inlineStr">
        <is>
          <t>Retail Store</t>
        </is>
      </c>
      <c r="G1029" t="inlineStr">
        <is>
          <t>Technology</t>
        </is>
      </c>
      <c r="H1029" t="inlineStr">
        <is>
          <t>Keyboard</t>
        </is>
      </c>
      <c r="I1029" t="n">
        <v>3</v>
      </c>
      <c r="J1029" s="12" t="n">
        <v>1340.96</v>
      </c>
      <c r="K1029" s="13" t="n">
        <v>0.1</v>
      </c>
      <c r="L1029" s="12" t="n">
        <v>3620.59</v>
      </c>
      <c r="M1029" s="12" t="n">
        <v>3017.16</v>
      </c>
      <c r="N1029" s="12" t="n">
        <v>603.4299999999999</v>
      </c>
      <c r="O1029" t="inlineStr">
        <is>
          <t>Credit Card</t>
        </is>
      </c>
      <c r="P1029" t="inlineStr">
        <is>
          <t>Aarav Sharma</t>
        </is>
      </c>
    </row>
    <row r="1030">
      <c r="A1030" t="inlineStr">
        <is>
          <t>ORD-2508-1029</t>
        </is>
      </c>
      <c r="B1030" s="11" t="n">
        <v>45894</v>
      </c>
      <c r="C1030" t="inlineStr">
        <is>
          <t>East</t>
        </is>
      </c>
      <c r="D1030" t="inlineStr">
        <is>
          <t>Patna</t>
        </is>
      </c>
      <c r="E1030" t="inlineStr">
        <is>
          <t>Small Business</t>
        </is>
      </c>
      <c r="F1030" t="inlineStr">
        <is>
          <t>Online</t>
        </is>
      </c>
      <c r="G1030" t="inlineStr">
        <is>
          <t>Office Supplies</t>
        </is>
      </c>
      <c r="H1030" t="inlineStr">
        <is>
          <t>Stapler</t>
        </is>
      </c>
      <c r="I1030" t="n">
        <v>8</v>
      </c>
      <c r="J1030" s="12" t="n">
        <v>261.39</v>
      </c>
      <c r="K1030" s="13" t="n">
        <v>0</v>
      </c>
      <c r="L1030" s="12" t="n">
        <v>2091.12</v>
      </c>
      <c r="M1030" s="12" t="n">
        <v>1463.78</v>
      </c>
      <c r="N1030" s="12" t="n">
        <v>627.34</v>
      </c>
      <c r="O1030" t="inlineStr">
        <is>
          <t>Net Banking</t>
        </is>
      </c>
      <c r="P1030" t="inlineStr">
        <is>
          <t>Aarav Sharma</t>
        </is>
      </c>
    </row>
    <row r="1031">
      <c r="A1031" t="inlineStr">
        <is>
          <t>ORD-2502-1030</t>
        </is>
      </c>
      <c r="B1031" s="11" t="n">
        <v>45693</v>
      </c>
      <c r="C1031" t="inlineStr">
        <is>
          <t>West</t>
        </is>
      </c>
      <c r="D1031" t="inlineStr">
        <is>
          <t>Mumbai</t>
        </is>
      </c>
      <c r="E1031" t="inlineStr">
        <is>
          <t>Corporate</t>
        </is>
      </c>
      <c r="F1031" t="inlineStr">
        <is>
          <t>Retail Store</t>
        </is>
      </c>
      <c r="G1031" t="inlineStr">
        <is>
          <t>Office Supplies</t>
        </is>
      </c>
      <c r="H1031" t="inlineStr">
        <is>
          <t>Stapler</t>
        </is>
      </c>
      <c r="I1031" t="n">
        <v>5</v>
      </c>
      <c r="J1031" s="12" t="n">
        <v>250.63</v>
      </c>
      <c r="K1031" s="13" t="n">
        <v>0.1</v>
      </c>
      <c r="L1031" s="12" t="n">
        <v>1127.84</v>
      </c>
      <c r="M1031" s="12" t="n">
        <v>877.21</v>
      </c>
      <c r="N1031" s="12" t="n">
        <v>250.63</v>
      </c>
      <c r="O1031" t="inlineStr">
        <is>
          <t>Credit Card</t>
        </is>
      </c>
      <c r="P1031" t="inlineStr">
        <is>
          <t>Sara Khan</t>
        </is>
      </c>
    </row>
    <row r="1032">
      <c r="A1032" t="inlineStr">
        <is>
          <t>ORD-2509-1031</t>
        </is>
      </c>
      <c r="B1032" s="11" t="n">
        <v>45910</v>
      </c>
      <c r="C1032" t="inlineStr">
        <is>
          <t>Central</t>
        </is>
      </c>
      <c r="D1032" t="inlineStr">
        <is>
          <t>Bhopal</t>
        </is>
      </c>
      <c r="E1032" t="inlineStr">
        <is>
          <t>Small Business</t>
        </is>
      </c>
      <c r="F1032" t="inlineStr">
        <is>
          <t>Online</t>
        </is>
      </c>
      <c r="G1032" t="inlineStr">
        <is>
          <t>Furniture</t>
        </is>
      </c>
      <c r="H1032" t="inlineStr">
        <is>
          <t>Desk</t>
        </is>
      </c>
      <c r="I1032" t="n">
        <v>2</v>
      </c>
      <c r="J1032" s="12" t="n">
        <v>11487.74</v>
      </c>
      <c r="K1032" s="13" t="n">
        <v>0.2</v>
      </c>
      <c r="L1032" s="12" t="n">
        <v>18380.38</v>
      </c>
      <c r="M1032" s="12" t="n">
        <v>17461.36</v>
      </c>
      <c r="N1032" s="12" t="n">
        <v>919.02</v>
      </c>
      <c r="O1032" t="inlineStr">
        <is>
          <t>Net Banking</t>
        </is>
      </c>
      <c r="P1032" t="inlineStr">
        <is>
          <t>Diya Patel</t>
        </is>
      </c>
    </row>
    <row r="1033">
      <c r="A1033" t="inlineStr">
        <is>
          <t>ORD-2501-1032</t>
        </is>
      </c>
      <c r="B1033" s="11" t="n">
        <v>45672</v>
      </c>
      <c r="C1033" t="inlineStr">
        <is>
          <t>South</t>
        </is>
      </c>
      <c r="D1033" t="inlineStr">
        <is>
          <t>Bengaluru</t>
        </is>
      </c>
      <c r="E1033" t="inlineStr">
        <is>
          <t>Small Business</t>
        </is>
      </c>
      <c r="F1033" t="inlineStr">
        <is>
          <t>Partner</t>
        </is>
      </c>
      <c r="G1033" t="inlineStr">
        <is>
          <t>Office Supplies</t>
        </is>
      </c>
      <c r="H1033" t="inlineStr">
        <is>
          <t>Stapler</t>
        </is>
      </c>
      <c r="I1033" t="n">
        <v>1</v>
      </c>
      <c r="J1033" s="12" t="n">
        <v>252.63</v>
      </c>
      <c r="K1033" s="13" t="n">
        <v>0</v>
      </c>
      <c r="L1033" s="12" t="n">
        <v>252.63</v>
      </c>
      <c r="M1033" s="12" t="n">
        <v>176.84</v>
      </c>
      <c r="N1033" s="12" t="n">
        <v>75.79000000000001</v>
      </c>
      <c r="O1033" t="inlineStr">
        <is>
          <t>Debit Card</t>
        </is>
      </c>
      <c r="P1033" t="inlineStr">
        <is>
          <t>Meera Joshi</t>
        </is>
      </c>
    </row>
    <row r="1034">
      <c r="A1034" t="inlineStr">
        <is>
          <t>ORD-2503-1033</t>
        </is>
      </c>
      <c r="B1034" s="11" t="n">
        <v>45745</v>
      </c>
      <c r="C1034" t="inlineStr">
        <is>
          <t>North</t>
        </is>
      </c>
      <c r="D1034" t="inlineStr">
        <is>
          <t>Jaipur</t>
        </is>
      </c>
      <c r="E1034" t="inlineStr">
        <is>
          <t>Consumer</t>
        </is>
      </c>
      <c r="F1034" t="inlineStr">
        <is>
          <t>Partner</t>
        </is>
      </c>
      <c r="G1034" t="inlineStr">
        <is>
          <t>Office Supplies</t>
        </is>
      </c>
      <c r="H1034" t="inlineStr">
        <is>
          <t>Paper Ream</t>
        </is>
      </c>
      <c r="I1034" t="n">
        <v>6</v>
      </c>
      <c r="J1034" s="12" t="n">
        <v>447.07</v>
      </c>
      <c r="K1034" s="13" t="n">
        <v>0.05</v>
      </c>
      <c r="L1034" s="12" t="n">
        <v>2548.3</v>
      </c>
      <c r="M1034" s="12" t="n">
        <v>2065.46</v>
      </c>
      <c r="N1034" s="12" t="n">
        <v>482.84</v>
      </c>
      <c r="O1034" t="inlineStr">
        <is>
          <t>Credit Card</t>
        </is>
      </c>
      <c r="P1034" t="inlineStr">
        <is>
          <t>Rohan Verma</t>
        </is>
      </c>
    </row>
    <row r="1035">
      <c r="A1035" t="inlineStr">
        <is>
          <t>ORD-2501-1034</t>
        </is>
      </c>
      <c r="B1035" s="11" t="n">
        <v>45680</v>
      </c>
      <c r="C1035" t="inlineStr">
        <is>
          <t>North</t>
        </is>
      </c>
      <c r="D1035" t="inlineStr">
        <is>
          <t>Delhi</t>
        </is>
      </c>
      <c r="E1035" t="inlineStr">
        <is>
          <t>Corporate</t>
        </is>
      </c>
      <c r="F1035" t="inlineStr">
        <is>
          <t>Retail Store</t>
        </is>
      </c>
      <c r="G1035" t="inlineStr">
        <is>
          <t>Technology</t>
        </is>
      </c>
      <c r="H1035" t="inlineStr">
        <is>
          <t>Headphones</t>
        </is>
      </c>
      <c r="I1035" t="n">
        <v>1</v>
      </c>
      <c r="J1035" s="12" t="n">
        <v>2239.69</v>
      </c>
      <c r="K1035" s="13" t="n">
        <v>0.05</v>
      </c>
      <c r="L1035" s="12" t="n">
        <v>2127.71</v>
      </c>
      <c r="M1035" s="12" t="n">
        <v>1746.96</v>
      </c>
      <c r="N1035" s="12" t="n">
        <v>380.75</v>
      </c>
      <c r="O1035" t="inlineStr">
        <is>
          <t>UPI</t>
        </is>
      </c>
      <c r="P1035" t="inlineStr">
        <is>
          <t>Kabir Singh</t>
        </is>
      </c>
    </row>
    <row r="1036">
      <c r="A1036" t="inlineStr">
        <is>
          <t>ORD-2510-1035</t>
        </is>
      </c>
      <c r="B1036" s="11" t="n">
        <v>45956</v>
      </c>
      <c r="C1036" t="inlineStr">
        <is>
          <t>West</t>
        </is>
      </c>
      <c r="D1036" t="inlineStr">
        <is>
          <t>Mumbai</t>
        </is>
      </c>
      <c r="E1036" t="inlineStr">
        <is>
          <t>Corporate</t>
        </is>
      </c>
      <c r="F1036" t="inlineStr">
        <is>
          <t>Partner</t>
        </is>
      </c>
      <c r="G1036" t="inlineStr">
        <is>
          <t>Technology</t>
        </is>
      </c>
      <c r="H1036" t="inlineStr">
        <is>
          <t>Keyboard</t>
        </is>
      </c>
      <c r="I1036" t="n">
        <v>2</v>
      </c>
      <c r="J1036" s="12" t="n">
        <v>1418.85</v>
      </c>
      <c r="K1036" s="13" t="n">
        <v>0</v>
      </c>
      <c r="L1036" s="12" t="n">
        <v>2837.7</v>
      </c>
      <c r="M1036" s="12" t="n">
        <v>2128.27</v>
      </c>
      <c r="N1036" s="12" t="n">
        <v>709.4299999999999</v>
      </c>
      <c r="O1036" t="inlineStr">
        <is>
          <t>Debit Card</t>
        </is>
      </c>
      <c r="P1036" t="inlineStr">
        <is>
          <t>Diya Patel</t>
        </is>
      </c>
    </row>
    <row r="1037">
      <c r="A1037" t="inlineStr">
        <is>
          <t>ORD-2509-1036</t>
        </is>
      </c>
      <c r="B1037" s="11" t="n">
        <v>45925</v>
      </c>
      <c r="C1037" t="inlineStr">
        <is>
          <t>Central</t>
        </is>
      </c>
      <c r="D1037" t="inlineStr">
        <is>
          <t>Indore</t>
        </is>
      </c>
      <c r="E1037" t="inlineStr">
        <is>
          <t>Small Business</t>
        </is>
      </c>
      <c r="F1037" t="inlineStr">
        <is>
          <t>Retail Store</t>
        </is>
      </c>
      <c r="G1037" t="inlineStr">
        <is>
          <t>Office Supplies</t>
        </is>
      </c>
      <c r="H1037" t="inlineStr">
        <is>
          <t>Notebook Pack</t>
        </is>
      </c>
      <c r="I1037" t="n">
        <v>3</v>
      </c>
      <c r="J1037" s="12" t="n">
        <v>337.71</v>
      </c>
      <c r="K1037" s="13" t="n">
        <v>0.05</v>
      </c>
      <c r="L1037" s="12" t="n">
        <v>962.47</v>
      </c>
      <c r="M1037" s="12" t="n">
        <v>688.9299999999999</v>
      </c>
      <c r="N1037" s="12" t="n">
        <v>273.54</v>
      </c>
      <c r="O1037" t="inlineStr">
        <is>
          <t>UPI</t>
        </is>
      </c>
      <c r="P1037" t="inlineStr">
        <is>
          <t>Diya Patel</t>
        </is>
      </c>
    </row>
    <row r="1038">
      <c r="A1038" t="inlineStr">
        <is>
          <t>ORD-2505-1037</t>
        </is>
      </c>
      <c r="B1038" s="11" t="n">
        <v>45793</v>
      </c>
      <c r="C1038" t="inlineStr">
        <is>
          <t>East</t>
        </is>
      </c>
      <c r="D1038" t="inlineStr">
        <is>
          <t>Kolkata</t>
        </is>
      </c>
      <c r="E1038" t="inlineStr">
        <is>
          <t>Small Business</t>
        </is>
      </c>
      <c r="F1038" t="inlineStr">
        <is>
          <t>Online</t>
        </is>
      </c>
      <c r="G1038" t="inlineStr">
        <is>
          <t>Furniture</t>
        </is>
      </c>
      <c r="H1038" t="inlineStr">
        <is>
          <t>Office Chair</t>
        </is>
      </c>
      <c r="I1038" t="n">
        <v>3</v>
      </c>
      <c r="J1038" s="12" t="n">
        <v>6973.52</v>
      </c>
      <c r="K1038" s="13" t="n">
        <v>0.15</v>
      </c>
      <c r="L1038" s="12" t="n">
        <v>17782.48</v>
      </c>
      <c r="M1038" s="12" t="n">
        <v>15062.8</v>
      </c>
      <c r="N1038" s="12" t="n">
        <v>2719.68</v>
      </c>
      <c r="O1038" t="inlineStr">
        <is>
          <t>Credit Card</t>
        </is>
      </c>
      <c r="P1038" t="inlineStr">
        <is>
          <t>Diya Patel</t>
        </is>
      </c>
    </row>
    <row r="1039">
      <c r="A1039" t="inlineStr">
        <is>
          <t>ORD-2509-1038</t>
        </is>
      </c>
      <c r="B1039" s="11" t="n">
        <v>45911</v>
      </c>
      <c r="C1039" t="inlineStr">
        <is>
          <t>North</t>
        </is>
      </c>
      <c r="D1039" t="inlineStr">
        <is>
          <t>Jaipur</t>
        </is>
      </c>
      <c r="E1039" t="inlineStr">
        <is>
          <t>Corporate</t>
        </is>
      </c>
      <c r="F1039" t="inlineStr">
        <is>
          <t>Online</t>
        </is>
      </c>
      <c r="G1039" t="inlineStr">
        <is>
          <t>Technology</t>
        </is>
      </c>
      <c r="H1039" t="inlineStr">
        <is>
          <t>Laptop</t>
        </is>
      </c>
      <c r="I1039" t="n">
        <v>4</v>
      </c>
      <c r="J1039" s="12" t="n">
        <v>41227.6</v>
      </c>
      <c r="K1039" s="13" t="n">
        <v>0.05</v>
      </c>
      <c r="L1039" s="12" t="n">
        <v>156664.88</v>
      </c>
      <c r="M1039" s="12" t="n">
        <v>145121.15</v>
      </c>
      <c r="N1039" s="12" t="n">
        <v>11543.73</v>
      </c>
      <c r="O1039" t="inlineStr">
        <is>
          <t>Net Banking</t>
        </is>
      </c>
      <c r="P1039" t="inlineStr">
        <is>
          <t>Meera Joshi</t>
        </is>
      </c>
    </row>
    <row r="1040">
      <c r="A1040" t="inlineStr">
        <is>
          <t>ORD-2510-1039</t>
        </is>
      </c>
      <c r="B1040" s="11" t="n">
        <v>45960</v>
      </c>
      <c r="C1040" t="inlineStr">
        <is>
          <t>Central</t>
        </is>
      </c>
      <c r="D1040" t="inlineStr">
        <is>
          <t>Raipur</t>
        </is>
      </c>
      <c r="E1040" t="inlineStr">
        <is>
          <t>Small Business</t>
        </is>
      </c>
      <c r="F1040" t="inlineStr">
        <is>
          <t>Online</t>
        </is>
      </c>
      <c r="G1040" t="inlineStr">
        <is>
          <t>Office Supplies</t>
        </is>
      </c>
      <c r="H1040" t="inlineStr">
        <is>
          <t>File Folder</t>
        </is>
      </c>
      <c r="I1040" t="n">
        <v>8</v>
      </c>
      <c r="J1040" s="12" t="n">
        <v>92.23999999999999</v>
      </c>
      <c r="K1040" s="13" t="n">
        <v>0.1</v>
      </c>
      <c r="L1040" s="12" t="n">
        <v>664.13</v>
      </c>
      <c r="M1040" s="12" t="n">
        <v>457.51</v>
      </c>
      <c r="N1040" s="12" t="n">
        <v>206.62</v>
      </c>
      <c r="O1040" t="inlineStr">
        <is>
          <t>UPI</t>
        </is>
      </c>
      <c r="P1040" t="inlineStr">
        <is>
          <t>Meera Joshi</t>
        </is>
      </c>
    </row>
    <row r="1041">
      <c r="A1041" t="inlineStr">
        <is>
          <t>ORD-2507-1040</t>
        </is>
      </c>
      <c r="B1041" s="11" t="n">
        <v>45844</v>
      </c>
      <c r="C1041" t="inlineStr">
        <is>
          <t>West</t>
        </is>
      </c>
      <c r="D1041" t="inlineStr">
        <is>
          <t>Surat</t>
        </is>
      </c>
      <c r="E1041" t="inlineStr">
        <is>
          <t>Consumer</t>
        </is>
      </c>
      <c r="F1041" t="inlineStr">
        <is>
          <t>Retail Store</t>
        </is>
      </c>
      <c r="G1041" t="inlineStr">
        <is>
          <t>Office Supplies</t>
        </is>
      </c>
      <c r="H1041" t="inlineStr">
        <is>
          <t>Stapler</t>
        </is>
      </c>
      <c r="I1041" t="n">
        <v>3</v>
      </c>
      <c r="J1041" s="12" t="n">
        <v>255.85</v>
      </c>
      <c r="K1041" s="13" t="n">
        <v>0</v>
      </c>
      <c r="L1041" s="12" t="n">
        <v>767.55</v>
      </c>
      <c r="M1041" s="12" t="n">
        <v>537.28</v>
      </c>
      <c r="N1041" s="12" t="n">
        <v>230.27</v>
      </c>
      <c r="O1041" t="inlineStr">
        <is>
          <t>Debit Card</t>
        </is>
      </c>
      <c r="P1041" t="inlineStr">
        <is>
          <t>Kabir Singh</t>
        </is>
      </c>
    </row>
    <row r="1042">
      <c r="A1042" t="inlineStr">
        <is>
          <t>ORD-2512-1041</t>
        </is>
      </c>
      <c r="B1042" s="11" t="n">
        <v>46009</v>
      </c>
      <c r="C1042" t="inlineStr">
        <is>
          <t>East</t>
        </is>
      </c>
      <c r="D1042" t="inlineStr">
        <is>
          <t>Kolkata</t>
        </is>
      </c>
      <c r="E1042" t="inlineStr">
        <is>
          <t>Consumer</t>
        </is>
      </c>
      <c r="F1042" t="inlineStr">
        <is>
          <t>Retail Store</t>
        </is>
      </c>
      <c r="G1042" t="inlineStr">
        <is>
          <t>Technology</t>
        </is>
      </c>
      <c r="H1042" t="inlineStr">
        <is>
          <t>Keyboard</t>
        </is>
      </c>
      <c r="I1042" t="n">
        <v>3</v>
      </c>
      <c r="J1042" s="12" t="n">
        <v>1312.68</v>
      </c>
      <c r="K1042" s="13" t="n">
        <v>0</v>
      </c>
      <c r="L1042" s="12" t="n">
        <v>3938.04</v>
      </c>
      <c r="M1042" s="12" t="n">
        <v>2953.53</v>
      </c>
      <c r="N1042" s="12" t="n">
        <v>984.51</v>
      </c>
      <c r="O1042" t="inlineStr">
        <is>
          <t>UPI</t>
        </is>
      </c>
      <c r="P1042" t="inlineStr">
        <is>
          <t>Rohan Verma</t>
        </is>
      </c>
    </row>
    <row r="1043">
      <c r="A1043" t="inlineStr">
        <is>
          <t>ORD-2501-1042</t>
        </is>
      </c>
      <c r="B1043" s="11" t="n">
        <v>45672</v>
      </c>
      <c r="C1043" t="inlineStr">
        <is>
          <t>West</t>
        </is>
      </c>
      <c r="D1043" t="inlineStr">
        <is>
          <t>Surat</t>
        </is>
      </c>
      <c r="E1043" t="inlineStr">
        <is>
          <t>Corporate</t>
        </is>
      </c>
      <c r="F1043" t="inlineStr">
        <is>
          <t>Online</t>
        </is>
      </c>
      <c r="G1043" t="inlineStr">
        <is>
          <t>Furniture</t>
        </is>
      </c>
      <c r="H1043" t="inlineStr">
        <is>
          <t>Office Chair</t>
        </is>
      </c>
      <c r="I1043" t="n">
        <v>2</v>
      </c>
      <c r="J1043" s="12" t="n">
        <v>6347.46</v>
      </c>
      <c r="K1043" s="13" t="n">
        <v>0.15</v>
      </c>
      <c r="L1043" s="12" t="n">
        <v>10790.68</v>
      </c>
      <c r="M1043" s="12" t="n">
        <v>9140.34</v>
      </c>
      <c r="N1043" s="12" t="n">
        <v>1650.34</v>
      </c>
      <c r="O1043" t="inlineStr">
        <is>
          <t>UPI</t>
        </is>
      </c>
      <c r="P1043" t="inlineStr">
        <is>
          <t>Vivaan Gupta</t>
        </is>
      </c>
    </row>
    <row r="1044">
      <c r="A1044" t="inlineStr">
        <is>
          <t>ORD-2509-1043</t>
        </is>
      </c>
      <c r="B1044" s="11" t="n">
        <v>45915</v>
      </c>
      <c r="C1044" t="inlineStr">
        <is>
          <t>West</t>
        </is>
      </c>
      <c r="D1044" t="inlineStr">
        <is>
          <t>Ahmedabad</t>
        </is>
      </c>
      <c r="E1044" t="inlineStr">
        <is>
          <t>Corporate</t>
        </is>
      </c>
      <c r="F1044" t="inlineStr">
        <is>
          <t>Partner</t>
        </is>
      </c>
      <c r="G1044" t="inlineStr">
        <is>
          <t>Technology</t>
        </is>
      </c>
      <c r="H1044" t="inlineStr">
        <is>
          <t>Laptop</t>
        </is>
      </c>
      <c r="I1044" t="n">
        <v>3</v>
      </c>
      <c r="J1044" s="12" t="n">
        <v>38970.18</v>
      </c>
      <c r="K1044" s="13" t="n">
        <v>0.05</v>
      </c>
      <c r="L1044" s="12" t="n">
        <v>111065.01</v>
      </c>
      <c r="M1044" s="12" t="n">
        <v>102881.28</v>
      </c>
      <c r="N1044" s="12" t="n">
        <v>8183.73</v>
      </c>
      <c r="O1044" t="inlineStr">
        <is>
          <t>Debit Card</t>
        </is>
      </c>
      <c r="P1044" t="inlineStr">
        <is>
          <t>Meera Joshi</t>
        </is>
      </c>
    </row>
    <row r="1045">
      <c r="A1045" t="inlineStr">
        <is>
          <t>ORD-2505-1044</t>
        </is>
      </c>
      <c r="B1045" s="11" t="n">
        <v>45808</v>
      </c>
      <c r="C1045" t="inlineStr">
        <is>
          <t>South</t>
        </is>
      </c>
      <c r="D1045" t="inlineStr">
        <is>
          <t>Kochi</t>
        </is>
      </c>
      <c r="E1045" t="inlineStr">
        <is>
          <t>Corporate</t>
        </is>
      </c>
      <c r="F1045" t="inlineStr">
        <is>
          <t>Online</t>
        </is>
      </c>
      <c r="G1045" t="inlineStr">
        <is>
          <t>Technology</t>
        </is>
      </c>
      <c r="H1045" t="inlineStr">
        <is>
          <t>Keyboard</t>
        </is>
      </c>
      <c r="I1045" t="n">
        <v>3</v>
      </c>
      <c r="J1045" s="12" t="n">
        <v>1398.57</v>
      </c>
      <c r="K1045" s="13" t="n">
        <v>0.1</v>
      </c>
      <c r="L1045" s="12" t="n">
        <v>3776.14</v>
      </c>
      <c r="M1045" s="12" t="n">
        <v>3146.78</v>
      </c>
      <c r="N1045" s="12" t="n">
        <v>629.36</v>
      </c>
      <c r="O1045" t="inlineStr">
        <is>
          <t>Credit Card</t>
        </is>
      </c>
      <c r="P1045" t="inlineStr">
        <is>
          <t>Meera Joshi</t>
        </is>
      </c>
    </row>
    <row r="1046">
      <c r="A1046" t="inlineStr">
        <is>
          <t>ORD-2502-1045</t>
        </is>
      </c>
      <c r="B1046" s="11" t="n">
        <v>45714</v>
      </c>
      <c r="C1046" t="inlineStr">
        <is>
          <t>South</t>
        </is>
      </c>
      <c r="D1046" t="inlineStr">
        <is>
          <t>Bengaluru</t>
        </is>
      </c>
      <c r="E1046" t="inlineStr">
        <is>
          <t>Small Business</t>
        </is>
      </c>
      <c r="F1046" t="inlineStr">
        <is>
          <t>Online</t>
        </is>
      </c>
      <c r="G1046" t="inlineStr">
        <is>
          <t>Technology</t>
        </is>
      </c>
      <c r="H1046" t="inlineStr">
        <is>
          <t>Laptop</t>
        </is>
      </c>
      <c r="I1046" t="n">
        <v>6</v>
      </c>
      <c r="J1046" s="12" t="n">
        <v>40244.52</v>
      </c>
      <c r="K1046" s="13" t="n">
        <v>0.1</v>
      </c>
      <c r="L1046" s="12" t="n">
        <v>217320.41</v>
      </c>
      <c r="M1046" s="12" t="n">
        <v>212491.07</v>
      </c>
      <c r="N1046" s="12" t="n">
        <v>4829.34</v>
      </c>
      <c r="O1046" t="inlineStr">
        <is>
          <t>Net Banking</t>
        </is>
      </c>
      <c r="P1046" t="inlineStr">
        <is>
          <t>Meera Joshi</t>
        </is>
      </c>
    </row>
    <row r="1047">
      <c r="A1047" t="inlineStr">
        <is>
          <t>ORD-2511-1046</t>
        </is>
      </c>
      <c r="B1047" s="11" t="n">
        <v>45975</v>
      </c>
      <c r="C1047" t="inlineStr">
        <is>
          <t>West</t>
        </is>
      </c>
      <c r="D1047" t="inlineStr">
        <is>
          <t>Surat</t>
        </is>
      </c>
      <c r="E1047" t="inlineStr">
        <is>
          <t>Corporate</t>
        </is>
      </c>
      <c r="F1047" t="inlineStr">
        <is>
          <t>Retail Store</t>
        </is>
      </c>
      <c r="G1047" t="inlineStr">
        <is>
          <t>Furniture</t>
        </is>
      </c>
      <c r="H1047" t="inlineStr">
        <is>
          <t>Desk</t>
        </is>
      </c>
      <c r="I1047" t="n">
        <v>1</v>
      </c>
      <c r="J1047" s="12" t="n">
        <v>12198.33</v>
      </c>
      <c r="K1047" s="13" t="n">
        <v>0.1</v>
      </c>
      <c r="L1047" s="12" t="n">
        <v>10978.5</v>
      </c>
      <c r="M1047" s="12" t="n">
        <v>9270.73</v>
      </c>
      <c r="N1047" s="12" t="n">
        <v>1707.77</v>
      </c>
      <c r="O1047" t="inlineStr">
        <is>
          <t>UPI</t>
        </is>
      </c>
      <c r="P1047" t="inlineStr">
        <is>
          <t>Kabir Singh</t>
        </is>
      </c>
    </row>
    <row r="1048">
      <c r="A1048" t="inlineStr">
        <is>
          <t>ORD-2504-1047</t>
        </is>
      </c>
      <c r="B1048" s="11" t="n">
        <v>45762</v>
      </c>
      <c r="C1048" t="inlineStr">
        <is>
          <t>East</t>
        </is>
      </c>
      <c r="D1048" t="inlineStr">
        <is>
          <t>Bhubaneswar</t>
        </is>
      </c>
      <c r="E1048" t="inlineStr">
        <is>
          <t>Small Business</t>
        </is>
      </c>
      <c r="F1048" t="inlineStr">
        <is>
          <t>Partner</t>
        </is>
      </c>
      <c r="G1048" t="inlineStr">
        <is>
          <t>Office Supplies</t>
        </is>
      </c>
      <c r="H1048" t="inlineStr">
        <is>
          <t>Paper Ream</t>
        </is>
      </c>
      <c r="I1048" t="n">
        <v>3</v>
      </c>
      <c r="J1048" s="12" t="n">
        <v>392.73</v>
      </c>
      <c r="K1048" s="13" t="n">
        <v>0.1</v>
      </c>
      <c r="L1048" s="12" t="n">
        <v>1060.37</v>
      </c>
      <c r="M1048" s="12" t="n">
        <v>907.21</v>
      </c>
      <c r="N1048" s="12" t="n">
        <v>153.16</v>
      </c>
      <c r="O1048" t="inlineStr">
        <is>
          <t>Cash</t>
        </is>
      </c>
      <c r="P1048" t="inlineStr">
        <is>
          <t>Anaya Rao</t>
        </is>
      </c>
    </row>
    <row r="1049">
      <c r="A1049" t="inlineStr">
        <is>
          <t>ORD-2506-1048</t>
        </is>
      </c>
      <c r="B1049" s="11" t="n">
        <v>45814</v>
      </c>
      <c r="C1049" t="inlineStr">
        <is>
          <t>South</t>
        </is>
      </c>
      <c r="D1049" t="inlineStr">
        <is>
          <t>Chennai</t>
        </is>
      </c>
      <c r="E1049" t="inlineStr">
        <is>
          <t>Corporate</t>
        </is>
      </c>
      <c r="F1049" t="inlineStr">
        <is>
          <t>Online</t>
        </is>
      </c>
      <c r="G1049" t="inlineStr">
        <is>
          <t>Furniture</t>
        </is>
      </c>
      <c r="H1049" t="inlineStr">
        <is>
          <t>Office Chair</t>
        </is>
      </c>
      <c r="I1049" t="n">
        <v>4</v>
      </c>
      <c r="J1049" s="12" t="n">
        <v>6617.38</v>
      </c>
      <c r="K1049" s="13" t="n">
        <v>0</v>
      </c>
      <c r="L1049" s="12" t="n">
        <v>26469.52</v>
      </c>
      <c r="M1049" s="12" t="n">
        <v>19058.05</v>
      </c>
      <c r="N1049" s="12" t="n">
        <v>7411.47</v>
      </c>
      <c r="O1049" t="inlineStr">
        <is>
          <t>Credit Card</t>
        </is>
      </c>
      <c r="P1049" t="inlineStr">
        <is>
          <t>Anaya Rao</t>
        </is>
      </c>
    </row>
    <row r="1050">
      <c r="A1050" t="inlineStr">
        <is>
          <t>ORD-2508-1049</t>
        </is>
      </c>
      <c r="B1050" s="11" t="n">
        <v>45877</v>
      </c>
      <c r="C1050" t="inlineStr">
        <is>
          <t>East</t>
        </is>
      </c>
      <c r="D1050" t="inlineStr">
        <is>
          <t>Kolkata</t>
        </is>
      </c>
      <c r="E1050" t="inlineStr">
        <is>
          <t>Consumer</t>
        </is>
      </c>
      <c r="F1050" t="inlineStr">
        <is>
          <t>Partner</t>
        </is>
      </c>
      <c r="G1050" t="inlineStr">
        <is>
          <t>Technology</t>
        </is>
      </c>
      <c r="H1050" t="inlineStr">
        <is>
          <t>Keyboard</t>
        </is>
      </c>
      <c r="I1050" t="n">
        <v>10</v>
      </c>
      <c r="J1050" s="12" t="n">
        <v>1326.24</v>
      </c>
      <c r="K1050" s="13" t="n">
        <v>0.15</v>
      </c>
      <c r="L1050" s="12" t="n">
        <v>11273.04</v>
      </c>
      <c r="M1050" s="12" t="n">
        <v>9946.799999999999</v>
      </c>
      <c r="N1050" s="12" t="n">
        <v>1326.24</v>
      </c>
      <c r="O1050" t="inlineStr">
        <is>
          <t>Net Banking</t>
        </is>
      </c>
      <c r="P1050" t="inlineStr">
        <is>
          <t>Anaya Rao</t>
        </is>
      </c>
    </row>
    <row r="1051">
      <c r="A1051" t="inlineStr">
        <is>
          <t>ORD-2510-1050</t>
        </is>
      </c>
      <c r="B1051" s="11" t="n">
        <v>45956</v>
      </c>
      <c r="C1051" t="inlineStr">
        <is>
          <t>North</t>
        </is>
      </c>
      <c r="D1051" t="inlineStr">
        <is>
          <t>Lucknow</t>
        </is>
      </c>
      <c r="E1051" t="inlineStr">
        <is>
          <t>Small Business</t>
        </is>
      </c>
      <c r="F1051" t="inlineStr">
        <is>
          <t>Partner</t>
        </is>
      </c>
      <c r="G1051" t="inlineStr">
        <is>
          <t>Office Supplies</t>
        </is>
      </c>
      <c r="H1051" t="inlineStr">
        <is>
          <t>Stapler</t>
        </is>
      </c>
      <c r="I1051" t="n">
        <v>2</v>
      </c>
      <c r="J1051" s="12" t="n">
        <v>273.27</v>
      </c>
      <c r="K1051" s="13" t="n">
        <v>0</v>
      </c>
      <c r="L1051" s="12" t="n">
        <v>546.54</v>
      </c>
      <c r="M1051" s="12" t="n">
        <v>382.58</v>
      </c>
      <c r="N1051" s="12" t="n">
        <v>163.96</v>
      </c>
      <c r="O1051" t="inlineStr">
        <is>
          <t>Net Banking</t>
        </is>
      </c>
      <c r="P1051" t="inlineStr">
        <is>
          <t>Meera Joshi</t>
        </is>
      </c>
    </row>
    <row r="1052">
      <c r="A1052" t="inlineStr">
        <is>
          <t>ORD-2509-1051</t>
        </is>
      </c>
      <c r="B1052" s="11" t="n">
        <v>45926</v>
      </c>
      <c r="C1052" t="inlineStr">
        <is>
          <t>Central</t>
        </is>
      </c>
      <c r="D1052" t="inlineStr">
        <is>
          <t>Indore</t>
        </is>
      </c>
      <c r="E1052" t="inlineStr">
        <is>
          <t>Small Business</t>
        </is>
      </c>
      <c r="F1052" t="inlineStr">
        <is>
          <t>Retail Store</t>
        </is>
      </c>
      <c r="G1052" t="inlineStr">
        <is>
          <t>Office Supplies</t>
        </is>
      </c>
      <c r="H1052" t="inlineStr">
        <is>
          <t>File Folder</t>
        </is>
      </c>
      <c r="I1052" t="n">
        <v>1</v>
      </c>
      <c r="J1052" s="12" t="n">
        <v>87.19</v>
      </c>
      <c r="K1052" s="13" t="n">
        <v>0</v>
      </c>
      <c r="L1052" s="12" t="n">
        <v>87.19</v>
      </c>
      <c r="M1052" s="12" t="n">
        <v>54.06</v>
      </c>
      <c r="N1052" s="12" t="n">
        <v>33.13</v>
      </c>
      <c r="O1052" t="inlineStr">
        <is>
          <t>Debit Card</t>
        </is>
      </c>
      <c r="P1052" t="inlineStr">
        <is>
          <t>Anaya Rao</t>
        </is>
      </c>
    </row>
    <row r="1053">
      <c r="A1053" t="inlineStr">
        <is>
          <t>ORD-2506-1052</t>
        </is>
      </c>
      <c r="B1053" s="11" t="n">
        <v>45837</v>
      </c>
      <c r="C1053" t="inlineStr">
        <is>
          <t>Central</t>
        </is>
      </c>
      <c r="D1053" t="inlineStr">
        <is>
          <t>Raipur</t>
        </is>
      </c>
      <c r="E1053" t="inlineStr">
        <is>
          <t>Corporate</t>
        </is>
      </c>
      <c r="F1053" t="inlineStr">
        <is>
          <t>Retail Store</t>
        </is>
      </c>
      <c r="G1053" t="inlineStr">
        <is>
          <t>Office Supplies</t>
        </is>
      </c>
      <c r="H1053" t="inlineStr">
        <is>
          <t>Pens Box</t>
        </is>
      </c>
      <c r="I1053" t="n">
        <v>3</v>
      </c>
      <c r="J1053" s="12" t="n">
        <v>165.99</v>
      </c>
      <c r="K1053" s="13" t="n">
        <v>0.05</v>
      </c>
      <c r="L1053" s="12" t="n">
        <v>473.07</v>
      </c>
      <c r="M1053" s="12" t="n">
        <v>323.68</v>
      </c>
      <c r="N1053" s="12" t="n">
        <v>149.39</v>
      </c>
      <c r="O1053" t="inlineStr">
        <is>
          <t>Net Banking</t>
        </is>
      </c>
      <c r="P1053" t="inlineStr">
        <is>
          <t>Anaya Rao</t>
        </is>
      </c>
    </row>
    <row r="1054">
      <c r="A1054" t="inlineStr">
        <is>
          <t>ORD-2502-1053</t>
        </is>
      </c>
      <c r="B1054" s="11" t="n">
        <v>45715</v>
      </c>
      <c r="C1054" t="inlineStr">
        <is>
          <t>East</t>
        </is>
      </c>
      <c r="D1054" t="inlineStr">
        <is>
          <t>Kolkata</t>
        </is>
      </c>
      <c r="E1054" t="inlineStr">
        <is>
          <t>Consumer</t>
        </is>
      </c>
      <c r="F1054" t="inlineStr">
        <is>
          <t>Retail Store</t>
        </is>
      </c>
      <c r="G1054" t="inlineStr">
        <is>
          <t>Technology</t>
        </is>
      </c>
      <c r="H1054" t="inlineStr">
        <is>
          <t>Keyboard</t>
        </is>
      </c>
      <c r="I1054" t="n">
        <v>10</v>
      </c>
      <c r="J1054" s="12" t="n">
        <v>1435.7</v>
      </c>
      <c r="K1054" s="13" t="n">
        <v>0.15</v>
      </c>
      <c r="L1054" s="12" t="n">
        <v>12203.45</v>
      </c>
      <c r="M1054" s="12" t="n">
        <v>10767.75</v>
      </c>
      <c r="N1054" s="12" t="n">
        <v>1435.7</v>
      </c>
      <c r="O1054" t="inlineStr">
        <is>
          <t>Debit Card</t>
        </is>
      </c>
      <c r="P1054" t="inlineStr">
        <is>
          <t>Aarav Sharma</t>
        </is>
      </c>
    </row>
    <row r="1055">
      <c r="A1055" t="inlineStr">
        <is>
          <t>ORD-2505-1054</t>
        </is>
      </c>
      <c r="B1055" s="11" t="n">
        <v>45783</v>
      </c>
      <c r="C1055" t="inlineStr">
        <is>
          <t>Central</t>
        </is>
      </c>
      <c r="D1055" t="inlineStr">
        <is>
          <t>Nagpur</t>
        </is>
      </c>
      <c r="E1055" t="inlineStr">
        <is>
          <t>Corporate</t>
        </is>
      </c>
      <c r="F1055" t="inlineStr">
        <is>
          <t>Partner</t>
        </is>
      </c>
      <c r="G1055" t="inlineStr">
        <is>
          <t>Furniture</t>
        </is>
      </c>
      <c r="H1055" t="inlineStr">
        <is>
          <t>Office Chair</t>
        </is>
      </c>
      <c r="I1055" t="n">
        <v>2</v>
      </c>
      <c r="J1055" s="12" t="n">
        <v>7257.66</v>
      </c>
      <c r="K1055" s="13" t="n">
        <v>0</v>
      </c>
      <c r="L1055" s="12" t="n">
        <v>14515.32</v>
      </c>
      <c r="M1055" s="12" t="n">
        <v>10451.03</v>
      </c>
      <c r="N1055" s="12" t="n">
        <v>4064.29</v>
      </c>
      <c r="O1055" t="inlineStr">
        <is>
          <t>Credit Card</t>
        </is>
      </c>
      <c r="P1055" t="inlineStr">
        <is>
          <t>Rohan Verma</t>
        </is>
      </c>
    </row>
    <row r="1056">
      <c r="A1056" t="inlineStr">
        <is>
          <t>ORD-2511-1055</t>
        </is>
      </c>
      <c r="B1056" s="11" t="n">
        <v>45978</v>
      </c>
      <c r="C1056" t="inlineStr">
        <is>
          <t>Central</t>
        </is>
      </c>
      <c r="D1056" t="inlineStr">
        <is>
          <t>Nagpur</t>
        </is>
      </c>
      <c r="E1056" t="inlineStr">
        <is>
          <t>Corporate</t>
        </is>
      </c>
      <c r="F1056" t="inlineStr">
        <is>
          <t>Retail Store</t>
        </is>
      </c>
      <c r="G1056" t="inlineStr">
        <is>
          <t>Furniture</t>
        </is>
      </c>
      <c r="H1056" t="inlineStr">
        <is>
          <t>Storage Cabinet</t>
        </is>
      </c>
      <c r="I1056" t="n">
        <v>1</v>
      </c>
      <c r="J1056" s="12" t="n">
        <v>8684.76</v>
      </c>
      <c r="K1056" s="13" t="n">
        <v>0.15</v>
      </c>
      <c r="L1056" s="12" t="n">
        <v>7382.05</v>
      </c>
      <c r="M1056" s="12" t="n">
        <v>6947.81</v>
      </c>
      <c r="N1056" s="12" t="n">
        <v>434.24</v>
      </c>
      <c r="O1056" t="inlineStr">
        <is>
          <t>Cash</t>
        </is>
      </c>
      <c r="P1056" t="inlineStr">
        <is>
          <t>Vivaan Gupta</t>
        </is>
      </c>
    </row>
    <row r="1057">
      <c r="A1057" t="inlineStr">
        <is>
          <t>ORD-2505-1056</t>
        </is>
      </c>
      <c r="B1057" s="11" t="n">
        <v>45799</v>
      </c>
      <c r="C1057" t="inlineStr">
        <is>
          <t>East</t>
        </is>
      </c>
      <c r="D1057" t="inlineStr">
        <is>
          <t>Patna</t>
        </is>
      </c>
      <c r="E1057" t="inlineStr">
        <is>
          <t>Consumer</t>
        </is>
      </c>
      <c r="F1057" t="inlineStr">
        <is>
          <t>Retail Store</t>
        </is>
      </c>
      <c r="G1057" t="inlineStr">
        <is>
          <t>Technology</t>
        </is>
      </c>
      <c r="H1057" t="inlineStr">
        <is>
          <t>Laptop</t>
        </is>
      </c>
      <c r="I1057" t="n">
        <v>3</v>
      </c>
      <c r="J1057" s="12" t="n">
        <v>44245.63</v>
      </c>
      <c r="K1057" s="13" t="n">
        <v>0.1</v>
      </c>
      <c r="L1057" s="12" t="n">
        <v>119463.2</v>
      </c>
      <c r="M1057" s="12" t="n">
        <v>116808.46</v>
      </c>
      <c r="N1057" s="12" t="n">
        <v>2654.74</v>
      </c>
      <c r="O1057" t="inlineStr">
        <is>
          <t>Debit Card</t>
        </is>
      </c>
      <c r="P1057" t="inlineStr">
        <is>
          <t>Sara Khan</t>
        </is>
      </c>
    </row>
    <row r="1058">
      <c r="A1058" t="inlineStr">
        <is>
          <t>ORD-2505-1057</t>
        </is>
      </c>
      <c r="B1058" s="11" t="n">
        <v>45805</v>
      </c>
      <c r="C1058" t="inlineStr">
        <is>
          <t>North</t>
        </is>
      </c>
      <c r="D1058" t="inlineStr">
        <is>
          <t>Delhi</t>
        </is>
      </c>
      <c r="E1058" t="inlineStr">
        <is>
          <t>Small Business</t>
        </is>
      </c>
      <c r="F1058" t="inlineStr">
        <is>
          <t>Retail Store</t>
        </is>
      </c>
      <c r="G1058" t="inlineStr">
        <is>
          <t>Furniture</t>
        </is>
      </c>
      <c r="H1058" t="inlineStr">
        <is>
          <t>Bookshelf</t>
        </is>
      </c>
      <c r="I1058" t="n">
        <v>6</v>
      </c>
      <c r="J1058" s="12" t="n">
        <v>5350.53</v>
      </c>
      <c r="K1058" s="13" t="n">
        <v>0</v>
      </c>
      <c r="L1058" s="12" t="n">
        <v>32103.18</v>
      </c>
      <c r="M1058" s="12" t="n">
        <v>23756.35</v>
      </c>
      <c r="N1058" s="12" t="n">
        <v>8346.83</v>
      </c>
      <c r="O1058" t="inlineStr">
        <is>
          <t>Cash</t>
        </is>
      </c>
      <c r="P1058" t="inlineStr">
        <is>
          <t>Kabir Singh</t>
        </is>
      </c>
    </row>
    <row r="1059">
      <c r="A1059" t="inlineStr">
        <is>
          <t>ORD-2506-1058</t>
        </is>
      </c>
      <c r="B1059" s="11" t="n">
        <v>45813</v>
      </c>
      <c r="C1059" t="inlineStr">
        <is>
          <t>West</t>
        </is>
      </c>
      <c r="D1059" t="inlineStr">
        <is>
          <t>Ahmedabad</t>
        </is>
      </c>
      <c r="E1059" t="inlineStr">
        <is>
          <t>Corporate</t>
        </is>
      </c>
      <c r="F1059" t="inlineStr">
        <is>
          <t>Partner</t>
        </is>
      </c>
      <c r="G1059" t="inlineStr">
        <is>
          <t>Technology</t>
        </is>
      </c>
      <c r="H1059" t="inlineStr">
        <is>
          <t>Monitor</t>
        </is>
      </c>
      <c r="I1059" t="n">
        <v>5</v>
      </c>
      <c r="J1059" s="12" t="n">
        <v>11581.91</v>
      </c>
      <c r="K1059" s="13" t="n">
        <v>0</v>
      </c>
      <c r="L1059" s="12" t="n">
        <v>57909.55</v>
      </c>
      <c r="M1059" s="12" t="n">
        <v>47485.83</v>
      </c>
      <c r="N1059" s="12" t="n">
        <v>10423.72</v>
      </c>
      <c r="O1059" t="inlineStr">
        <is>
          <t>Credit Card</t>
        </is>
      </c>
      <c r="P1059" t="inlineStr">
        <is>
          <t>Aarav Sharma</t>
        </is>
      </c>
    </row>
    <row r="1060">
      <c r="A1060" t="inlineStr">
        <is>
          <t>ORD-2509-1059</t>
        </is>
      </c>
      <c r="B1060" s="11" t="n">
        <v>45908</v>
      </c>
      <c r="C1060" t="inlineStr">
        <is>
          <t>East</t>
        </is>
      </c>
      <c r="D1060" t="inlineStr">
        <is>
          <t>Kolkata</t>
        </is>
      </c>
      <c r="E1060" t="inlineStr">
        <is>
          <t>Consumer</t>
        </is>
      </c>
      <c r="F1060" t="inlineStr">
        <is>
          <t>Retail Store</t>
        </is>
      </c>
      <c r="G1060" t="inlineStr">
        <is>
          <t>Furniture</t>
        </is>
      </c>
      <c r="H1060" t="inlineStr">
        <is>
          <t>Desk</t>
        </is>
      </c>
      <c r="I1060" t="n">
        <v>2</v>
      </c>
      <c r="J1060" s="12" t="n">
        <v>10671.82</v>
      </c>
      <c r="K1060" s="13" t="n">
        <v>0.15</v>
      </c>
      <c r="L1060" s="12" t="n">
        <v>18142.09</v>
      </c>
      <c r="M1060" s="12" t="n">
        <v>16221.17</v>
      </c>
      <c r="N1060" s="12" t="n">
        <v>1920.92</v>
      </c>
      <c r="O1060" t="inlineStr">
        <is>
          <t>Net Banking</t>
        </is>
      </c>
      <c r="P1060" t="inlineStr">
        <is>
          <t>Kabir Singh</t>
        </is>
      </c>
    </row>
    <row r="1061">
      <c r="A1061" t="inlineStr">
        <is>
          <t>ORD-2502-1060</t>
        </is>
      </c>
      <c r="B1061" s="11" t="n">
        <v>45702</v>
      </c>
      <c r="C1061" t="inlineStr">
        <is>
          <t>East</t>
        </is>
      </c>
      <c r="D1061" t="inlineStr">
        <is>
          <t>Patna</t>
        </is>
      </c>
      <c r="E1061" t="inlineStr">
        <is>
          <t>Consumer</t>
        </is>
      </c>
      <c r="F1061" t="inlineStr">
        <is>
          <t>Online</t>
        </is>
      </c>
      <c r="G1061" t="inlineStr">
        <is>
          <t>Office Supplies</t>
        </is>
      </c>
      <c r="H1061" t="inlineStr">
        <is>
          <t>Paper Ream</t>
        </is>
      </c>
      <c r="I1061" t="n">
        <v>1</v>
      </c>
      <c r="J1061" s="12" t="n">
        <v>391.82</v>
      </c>
      <c r="K1061" s="13" t="n">
        <v>0.1</v>
      </c>
      <c r="L1061" s="12" t="n">
        <v>352.64</v>
      </c>
      <c r="M1061" s="12" t="n">
        <v>301.7</v>
      </c>
      <c r="N1061" s="12" t="n">
        <v>50.94</v>
      </c>
      <c r="O1061" t="inlineStr">
        <is>
          <t>Debit Card</t>
        </is>
      </c>
      <c r="P1061" t="inlineStr">
        <is>
          <t>Sara Khan</t>
        </is>
      </c>
    </row>
    <row r="1062">
      <c r="A1062" t="inlineStr">
        <is>
          <t>ORD-2505-1061</t>
        </is>
      </c>
      <c r="B1062" s="11" t="n">
        <v>45785</v>
      </c>
      <c r="C1062" t="inlineStr">
        <is>
          <t>West</t>
        </is>
      </c>
      <c r="D1062" t="inlineStr">
        <is>
          <t>Surat</t>
        </is>
      </c>
      <c r="E1062" t="inlineStr">
        <is>
          <t>Corporate</t>
        </is>
      </c>
      <c r="F1062" t="inlineStr">
        <is>
          <t>Partner</t>
        </is>
      </c>
      <c r="G1062" t="inlineStr">
        <is>
          <t>Furniture</t>
        </is>
      </c>
      <c r="H1062" t="inlineStr">
        <is>
          <t>Desk</t>
        </is>
      </c>
      <c r="I1062" t="n">
        <v>8</v>
      </c>
      <c r="J1062" s="12" t="n">
        <v>11060.72</v>
      </c>
      <c r="K1062" s="13" t="n">
        <v>0</v>
      </c>
      <c r="L1062" s="12" t="n">
        <v>88485.75999999999</v>
      </c>
      <c r="M1062" s="12" t="n">
        <v>67249.17999999999</v>
      </c>
      <c r="N1062" s="12" t="n">
        <v>21236.58</v>
      </c>
      <c r="O1062" t="inlineStr">
        <is>
          <t>Net Banking</t>
        </is>
      </c>
      <c r="P1062" t="inlineStr">
        <is>
          <t>Kabir Singh</t>
        </is>
      </c>
    </row>
    <row r="1063">
      <c r="A1063" t="inlineStr">
        <is>
          <t>ORD-2510-1062</t>
        </is>
      </c>
      <c r="B1063" s="11" t="n">
        <v>45946</v>
      </c>
      <c r="C1063" t="inlineStr">
        <is>
          <t>West</t>
        </is>
      </c>
      <c r="D1063" t="inlineStr">
        <is>
          <t>Ahmedabad</t>
        </is>
      </c>
      <c r="E1063" t="inlineStr">
        <is>
          <t>Consumer</t>
        </is>
      </c>
      <c r="F1063" t="inlineStr">
        <is>
          <t>Retail Store</t>
        </is>
      </c>
      <c r="G1063" t="inlineStr">
        <is>
          <t>Office Supplies</t>
        </is>
      </c>
      <c r="H1063" t="inlineStr">
        <is>
          <t>File Folder</t>
        </is>
      </c>
      <c r="I1063" t="n">
        <v>3</v>
      </c>
      <c r="J1063" s="12" t="n">
        <v>85.67</v>
      </c>
      <c r="K1063" s="13" t="n">
        <v>0.1</v>
      </c>
      <c r="L1063" s="12" t="n">
        <v>231.31</v>
      </c>
      <c r="M1063" s="12" t="n">
        <v>159.35</v>
      </c>
      <c r="N1063" s="12" t="n">
        <v>71.95999999999999</v>
      </c>
      <c r="O1063" t="inlineStr">
        <is>
          <t>Cash</t>
        </is>
      </c>
      <c r="P1063" t="inlineStr">
        <is>
          <t>Meera Joshi</t>
        </is>
      </c>
    </row>
    <row r="1064">
      <c r="A1064" t="inlineStr">
        <is>
          <t>ORD-2506-1063</t>
        </is>
      </c>
      <c r="B1064" s="11" t="n">
        <v>45812</v>
      </c>
      <c r="C1064" t="inlineStr">
        <is>
          <t>East</t>
        </is>
      </c>
      <c r="D1064" t="inlineStr">
        <is>
          <t>Kolkata</t>
        </is>
      </c>
      <c r="E1064" t="inlineStr">
        <is>
          <t>Corporate</t>
        </is>
      </c>
      <c r="F1064" t="inlineStr">
        <is>
          <t>Retail Store</t>
        </is>
      </c>
      <c r="G1064" t="inlineStr">
        <is>
          <t>Technology</t>
        </is>
      </c>
      <c r="H1064" t="inlineStr">
        <is>
          <t>Headphones</t>
        </is>
      </c>
      <c r="I1064" t="n">
        <v>3</v>
      </c>
      <c r="J1064" s="12" t="n">
        <v>2216.13</v>
      </c>
      <c r="K1064" s="13" t="n">
        <v>0.1</v>
      </c>
      <c r="L1064" s="12" t="n">
        <v>5983.55</v>
      </c>
      <c r="M1064" s="12" t="n">
        <v>5185.74</v>
      </c>
      <c r="N1064" s="12" t="n">
        <v>797.8099999999999</v>
      </c>
      <c r="O1064" t="inlineStr">
        <is>
          <t>Credit Card</t>
        </is>
      </c>
      <c r="P1064" t="inlineStr">
        <is>
          <t>Kabir Singh</t>
        </is>
      </c>
    </row>
    <row r="1065">
      <c r="A1065" t="inlineStr">
        <is>
          <t>ORD-2509-1064</t>
        </is>
      </c>
      <c r="B1065" s="11" t="n">
        <v>45927</v>
      </c>
      <c r="C1065" t="inlineStr">
        <is>
          <t>West</t>
        </is>
      </c>
      <c r="D1065" t="inlineStr">
        <is>
          <t>Ahmedabad</t>
        </is>
      </c>
      <c r="E1065" t="inlineStr">
        <is>
          <t>Corporate</t>
        </is>
      </c>
      <c r="F1065" t="inlineStr">
        <is>
          <t>Retail Store</t>
        </is>
      </c>
      <c r="G1065" t="inlineStr">
        <is>
          <t>Furniture</t>
        </is>
      </c>
      <c r="H1065" t="inlineStr">
        <is>
          <t>Storage Cabinet</t>
        </is>
      </c>
      <c r="I1065" t="n">
        <v>8</v>
      </c>
      <c r="J1065" s="12" t="n">
        <v>8854.969999999999</v>
      </c>
      <c r="K1065" s="13" t="n">
        <v>0.1</v>
      </c>
      <c r="L1065" s="12" t="n">
        <v>63755.78</v>
      </c>
      <c r="M1065" s="12" t="n">
        <v>56671.81</v>
      </c>
      <c r="N1065" s="12" t="n">
        <v>7083.97</v>
      </c>
      <c r="O1065" t="inlineStr">
        <is>
          <t>Debit Card</t>
        </is>
      </c>
      <c r="P1065" t="inlineStr">
        <is>
          <t>Vivaan Gupta</t>
        </is>
      </c>
    </row>
    <row r="1066">
      <c r="A1066" t="inlineStr">
        <is>
          <t>ORD-2508-1065</t>
        </is>
      </c>
      <c r="B1066" s="11" t="n">
        <v>45894</v>
      </c>
      <c r="C1066" t="inlineStr">
        <is>
          <t>North</t>
        </is>
      </c>
      <c r="D1066" t="inlineStr">
        <is>
          <t>Delhi</t>
        </is>
      </c>
      <c r="E1066" t="inlineStr">
        <is>
          <t>Corporate</t>
        </is>
      </c>
      <c r="F1066" t="inlineStr">
        <is>
          <t>Online</t>
        </is>
      </c>
      <c r="G1066" t="inlineStr">
        <is>
          <t>Office Supplies</t>
        </is>
      </c>
      <c r="H1066" t="inlineStr">
        <is>
          <t>File Folder</t>
        </is>
      </c>
      <c r="I1066" t="n">
        <v>2</v>
      </c>
      <c r="J1066" s="12" t="n">
        <v>91.66</v>
      </c>
      <c r="K1066" s="13" t="n">
        <v>0.1</v>
      </c>
      <c r="L1066" s="12" t="n">
        <v>164.99</v>
      </c>
      <c r="M1066" s="12" t="n">
        <v>113.66</v>
      </c>
      <c r="N1066" s="12" t="n">
        <v>51.33</v>
      </c>
      <c r="O1066" t="inlineStr">
        <is>
          <t>Cash</t>
        </is>
      </c>
      <c r="P1066" t="inlineStr">
        <is>
          <t>Sara Khan</t>
        </is>
      </c>
    </row>
    <row r="1067">
      <c r="A1067" t="inlineStr">
        <is>
          <t>ORD-2503-1066</t>
        </is>
      </c>
      <c r="B1067" s="11" t="n">
        <v>45723</v>
      </c>
      <c r="C1067" t="inlineStr">
        <is>
          <t>Central</t>
        </is>
      </c>
      <c r="D1067" t="inlineStr">
        <is>
          <t>Raipur</t>
        </is>
      </c>
      <c r="E1067" t="inlineStr">
        <is>
          <t>Consumer</t>
        </is>
      </c>
      <c r="F1067" t="inlineStr">
        <is>
          <t>Retail Store</t>
        </is>
      </c>
      <c r="G1067" t="inlineStr">
        <is>
          <t>Technology</t>
        </is>
      </c>
      <c r="H1067" t="inlineStr">
        <is>
          <t>Laptop</t>
        </is>
      </c>
      <c r="I1067" t="n">
        <v>4</v>
      </c>
      <c r="J1067" s="12" t="n">
        <v>41347.77</v>
      </c>
      <c r="K1067" s="13" t="n">
        <v>0.05</v>
      </c>
      <c r="L1067" s="12" t="n">
        <v>157121.53</v>
      </c>
      <c r="M1067" s="12" t="n">
        <v>145544.15</v>
      </c>
      <c r="N1067" s="12" t="n">
        <v>11577.38</v>
      </c>
      <c r="O1067" t="inlineStr">
        <is>
          <t>Cash</t>
        </is>
      </c>
      <c r="P1067" t="inlineStr">
        <is>
          <t>Anaya Rao</t>
        </is>
      </c>
    </row>
    <row r="1068">
      <c r="A1068" t="inlineStr">
        <is>
          <t>ORD-2501-1067</t>
        </is>
      </c>
      <c r="B1068" s="11" t="n">
        <v>45685</v>
      </c>
      <c r="C1068" t="inlineStr">
        <is>
          <t>North</t>
        </is>
      </c>
      <c r="D1068" t="inlineStr">
        <is>
          <t>Delhi</t>
        </is>
      </c>
      <c r="E1068" t="inlineStr">
        <is>
          <t>Consumer</t>
        </is>
      </c>
      <c r="F1068" t="inlineStr">
        <is>
          <t>Retail Store</t>
        </is>
      </c>
      <c r="G1068" t="inlineStr">
        <is>
          <t>Technology</t>
        </is>
      </c>
      <c r="H1068" t="inlineStr">
        <is>
          <t>Headphones</t>
        </is>
      </c>
      <c r="I1068" t="n">
        <v>5</v>
      </c>
      <c r="J1068" s="12" t="n">
        <v>2141.39</v>
      </c>
      <c r="K1068" s="13" t="n">
        <v>0.1</v>
      </c>
      <c r="L1068" s="12" t="n">
        <v>9636.25</v>
      </c>
      <c r="M1068" s="12" t="n">
        <v>8351.42</v>
      </c>
      <c r="N1068" s="12" t="n">
        <v>1284.83</v>
      </c>
      <c r="O1068" t="inlineStr">
        <is>
          <t>Cash</t>
        </is>
      </c>
      <c r="P1068" t="inlineStr">
        <is>
          <t>Anaya Rao</t>
        </is>
      </c>
    </row>
    <row r="1069">
      <c r="A1069" t="inlineStr">
        <is>
          <t>ORD-2512-1068</t>
        </is>
      </c>
      <c r="B1069" s="11" t="n">
        <v>46011</v>
      </c>
      <c r="C1069" t="inlineStr">
        <is>
          <t>East</t>
        </is>
      </c>
      <c r="D1069" t="inlineStr">
        <is>
          <t>Kolkata</t>
        </is>
      </c>
      <c r="E1069" t="inlineStr">
        <is>
          <t>Consumer</t>
        </is>
      </c>
      <c r="F1069" t="inlineStr">
        <is>
          <t>Partner</t>
        </is>
      </c>
      <c r="G1069" t="inlineStr">
        <is>
          <t>Technology</t>
        </is>
      </c>
      <c r="H1069" t="inlineStr">
        <is>
          <t>Monitor</t>
        </is>
      </c>
      <c r="I1069" t="n">
        <v>4</v>
      </c>
      <c r="J1069" s="12" t="n">
        <v>12978.73</v>
      </c>
      <c r="K1069" s="13" t="n">
        <v>0.1</v>
      </c>
      <c r="L1069" s="12" t="n">
        <v>46723.43</v>
      </c>
      <c r="M1069" s="12" t="n">
        <v>42570.23</v>
      </c>
      <c r="N1069" s="12" t="n">
        <v>4153.2</v>
      </c>
      <c r="O1069" t="inlineStr">
        <is>
          <t>UPI</t>
        </is>
      </c>
      <c r="P1069" t="inlineStr">
        <is>
          <t>Kabir Singh</t>
        </is>
      </c>
    </row>
    <row r="1070">
      <c r="A1070" t="inlineStr">
        <is>
          <t>ORD-2510-1069</t>
        </is>
      </c>
      <c r="B1070" s="11" t="n">
        <v>45945</v>
      </c>
      <c r="C1070" t="inlineStr">
        <is>
          <t>West</t>
        </is>
      </c>
      <c r="D1070" t="inlineStr">
        <is>
          <t>Pune</t>
        </is>
      </c>
      <c r="E1070" t="inlineStr">
        <is>
          <t>Small Business</t>
        </is>
      </c>
      <c r="F1070" t="inlineStr">
        <is>
          <t>Retail Store</t>
        </is>
      </c>
      <c r="G1070" t="inlineStr">
        <is>
          <t>Technology</t>
        </is>
      </c>
      <c r="H1070" t="inlineStr">
        <is>
          <t>Printer</t>
        </is>
      </c>
      <c r="I1070" t="n">
        <v>6</v>
      </c>
      <c r="J1070" s="12" t="n">
        <v>8975.26</v>
      </c>
      <c r="K1070" s="13" t="n">
        <v>0.1</v>
      </c>
      <c r="L1070" s="12" t="n">
        <v>48466.4</v>
      </c>
      <c r="M1070" s="12" t="n">
        <v>45235.31</v>
      </c>
      <c r="N1070" s="12" t="n">
        <v>3231.09</v>
      </c>
      <c r="O1070" t="inlineStr">
        <is>
          <t>Credit Card</t>
        </is>
      </c>
      <c r="P1070" t="inlineStr">
        <is>
          <t>Anaya Rao</t>
        </is>
      </c>
    </row>
    <row r="1071">
      <c r="A1071" t="inlineStr">
        <is>
          <t>ORD-2511-1070</t>
        </is>
      </c>
      <c r="B1071" s="11" t="n">
        <v>45977</v>
      </c>
      <c r="C1071" t="inlineStr">
        <is>
          <t>South</t>
        </is>
      </c>
      <c r="D1071" t="inlineStr">
        <is>
          <t>Bengaluru</t>
        </is>
      </c>
      <c r="E1071" t="inlineStr">
        <is>
          <t>Consumer</t>
        </is>
      </c>
      <c r="F1071" t="inlineStr">
        <is>
          <t>Online</t>
        </is>
      </c>
      <c r="G1071" t="inlineStr">
        <is>
          <t>Technology</t>
        </is>
      </c>
      <c r="H1071" t="inlineStr">
        <is>
          <t>Monitor</t>
        </is>
      </c>
      <c r="I1071" t="n">
        <v>1</v>
      </c>
      <c r="J1071" s="12" t="n">
        <v>11742.07</v>
      </c>
      <c r="K1071" s="13" t="n">
        <v>0.1</v>
      </c>
      <c r="L1071" s="12" t="n">
        <v>10567.86</v>
      </c>
      <c r="M1071" s="12" t="n">
        <v>9628.5</v>
      </c>
      <c r="N1071" s="12" t="n">
        <v>939.36</v>
      </c>
      <c r="O1071" t="inlineStr">
        <is>
          <t>UPI</t>
        </is>
      </c>
      <c r="P1071" t="inlineStr">
        <is>
          <t>Diya Patel</t>
        </is>
      </c>
    </row>
    <row r="1072">
      <c r="A1072" t="inlineStr">
        <is>
          <t>ORD-2508-1071</t>
        </is>
      </c>
      <c r="B1072" s="11" t="n">
        <v>45900</v>
      </c>
      <c r="C1072" t="inlineStr">
        <is>
          <t>North</t>
        </is>
      </c>
      <c r="D1072" t="inlineStr">
        <is>
          <t>Lucknow</t>
        </is>
      </c>
      <c r="E1072" t="inlineStr">
        <is>
          <t>Consumer</t>
        </is>
      </c>
      <c r="F1072" t="inlineStr">
        <is>
          <t>Online</t>
        </is>
      </c>
      <c r="G1072" t="inlineStr">
        <is>
          <t>Furniture</t>
        </is>
      </c>
      <c r="H1072" t="inlineStr">
        <is>
          <t>Desk</t>
        </is>
      </c>
      <c r="I1072" t="n">
        <v>1</v>
      </c>
      <c r="J1072" s="12" t="n">
        <v>11324.39</v>
      </c>
      <c r="K1072" s="13" t="n">
        <v>0</v>
      </c>
      <c r="L1072" s="12" t="n">
        <v>11324.39</v>
      </c>
      <c r="M1072" s="12" t="n">
        <v>8606.540000000001</v>
      </c>
      <c r="N1072" s="12" t="n">
        <v>2717.85</v>
      </c>
      <c r="O1072" t="inlineStr">
        <is>
          <t>Cash</t>
        </is>
      </c>
      <c r="P1072" t="inlineStr">
        <is>
          <t>Rohan Verma</t>
        </is>
      </c>
    </row>
    <row r="1073">
      <c r="A1073" t="inlineStr">
        <is>
          <t>ORD-2511-1072</t>
        </is>
      </c>
      <c r="B1073" s="11" t="n">
        <v>45971</v>
      </c>
      <c r="C1073" t="inlineStr">
        <is>
          <t>West</t>
        </is>
      </c>
      <c r="D1073" t="inlineStr">
        <is>
          <t>Mumbai</t>
        </is>
      </c>
      <c r="E1073" t="inlineStr">
        <is>
          <t>Small Business</t>
        </is>
      </c>
      <c r="F1073" t="inlineStr">
        <is>
          <t>Partner</t>
        </is>
      </c>
      <c r="G1073" t="inlineStr">
        <is>
          <t>Furniture</t>
        </is>
      </c>
      <c r="H1073" t="inlineStr">
        <is>
          <t>Desk</t>
        </is>
      </c>
      <c r="I1073" t="n">
        <v>1</v>
      </c>
      <c r="J1073" s="12" t="n">
        <v>10840.7</v>
      </c>
      <c r="K1073" s="13" t="n">
        <v>0</v>
      </c>
      <c r="L1073" s="12" t="n">
        <v>10840.7</v>
      </c>
      <c r="M1073" s="12" t="n">
        <v>8238.93</v>
      </c>
      <c r="N1073" s="12" t="n">
        <v>2601.77</v>
      </c>
      <c r="O1073" t="inlineStr">
        <is>
          <t>UPI</t>
        </is>
      </c>
      <c r="P1073" t="inlineStr">
        <is>
          <t>Kabir Singh</t>
        </is>
      </c>
    </row>
    <row r="1074">
      <c r="A1074" t="inlineStr">
        <is>
          <t>ORD-2509-1073</t>
        </is>
      </c>
      <c r="B1074" s="11" t="n">
        <v>45919</v>
      </c>
      <c r="C1074" t="inlineStr">
        <is>
          <t>Central</t>
        </is>
      </c>
      <c r="D1074" t="inlineStr">
        <is>
          <t>Indore</t>
        </is>
      </c>
      <c r="E1074" t="inlineStr">
        <is>
          <t>Small Business</t>
        </is>
      </c>
      <c r="F1074" t="inlineStr">
        <is>
          <t>Retail Store</t>
        </is>
      </c>
      <c r="G1074" t="inlineStr">
        <is>
          <t>Furniture</t>
        </is>
      </c>
      <c r="H1074" t="inlineStr">
        <is>
          <t>Bookshelf</t>
        </is>
      </c>
      <c r="I1074" t="n">
        <v>3</v>
      </c>
      <c r="J1074" s="12" t="n">
        <v>4867.22</v>
      </c>
      <c r="K1074" s="13" t="n">
        <v>0.05</v>
      </c>
      <c r="L1074" s="12" t="n">
        <v>13871.58</v>
      </c>
      <c r="M1074" s="12" t="n">
        <v>10805.23</v>
      </c>
      <c r="N1074" s="12" t="n">
        <v>3066.35</v>
      </c>
      <c r="O1074" t="inlineStr">
        <is>
          <t>Net Banking</t>
        </is>
      </c>
      <c r="P1074" t="inlineStr">
        <is>
          <t>Rohan Verma</t>
        </is>
      </c>
    </row>
    <row r="1075">
      <c r="A1075" t="inlineStr">
        <is>
          <t>ORD-2507-1074</t>
        </is>
      </c>
      <c r="B1075" s="11" t="n">
        <v>45858</v>
      </c>
      <c r="C1075" t="inlineStr">
        <is>
          <t>West</t>
        </is>
      </c>
      <c r="D1075" t="inlineStr">
        <is>
          <t>Mumbai</t>
        </is>
      </c>
      <c r="E1075" t="inlineStr">
        <is>
          <t>Corporate</t>
        </is>
      </c>
      <c r="F1075" t="inlineStr">
        <is>
          <t>Online</t>
        </is>
      </c>
      <c r="G1075" t="inlineStr">
        <is>
          <t>Furniture</t>
        </is>
      </c>
      <c r="H1075" t="inlineStr">
        <is>
          <t>Bookshelf</t>
        </is>
      </c>
      <c r="I1075" t="n">
        <v>2</v>
      </c>
      <c r="J1075" s="12" t="n">
        <v>4807.27</v>
      </c>
      <c r="K1075" s="13" t="n">
        <v>0.05</v>
      </c>
      <c r="L1075" s="12" t="n">
        <v>9133.809999999999</v>
      </c>
      <c r="M1075" s="12" t="n">
        <v>7114.76</v>
      </c>
      <c r="N1075" s="12" t="n">
        <v>2019.05</v>
      </c>
      <c r="O1075" t="inlineStr">
        <is>
          <t>Cash</t>
        </is>
      </c>
      <c r="P1075" t="inlineStr">
        <is>
          <t>Vivaan Gupta</t>
        </is>
      </c>
    </row>
    <row r="1076">
      <c r="A1076" t="inlineStr">
        <is>
          <t>ORD-2501-1075</t>
        </is>
      </c>
      <c r="B1076" s="11" t="n">
        <v>45663</v>
      </c>
      <c r="C1076" t="inlineStr">
        <is>
          <t>Central</t>
        </is>
      </c>
      <c r="D1076" t="inlineStr">
        <is>
          <t>Raipur</t>
        </is>
      </c>
      <c r="E1076" t="inlineStr">
        <is>
          <t>Consumer</t>
        </is>
      </c>
      <c r="F1076" t="inlineStr">
        <is>
          <t>Retail Store</t>
        </is>
      </c>
      <c r="G1076" t="inlineStr">
        <is>
          <t>Technology</t>
        </is>
      </c>
      <c r="H1076" t="inlineStr">
        <is>
          <t>Laptop</t>
        </is>
      </c>
      <c r="I1076" t="n">
        <v>4</v>
      </c>
      <c r="J1076" s="12" t="n">
        <v>42805.57</v>
      </c>
      <c r="K1076" s="13" t="n">
        <v>0.15</v>
      </c>
      <c r="L1076" s="12" t="n">
        <v>145538.94</v>
      </c>
      <c r="M1076" s="12" t="n">
        <v>150675.61</v>
      </c>
      <c r="N1076" s="12" t="n">
        <v>-5136.67</v>
      </c>
      <c r="O1076" t="inlineStr">
        <is>
          <t>UPI</t>
        </is>
      </c>
      <c r="P1076" t="inlineStr">
        <is>
          <t>Anaya Rao</t>
        </is>
      </c>
    </row>
    <row r="1077">
      <c r="A1077" t="inlineStr">
        <is>
          <t>ORD-2508-1076</t>
        </is>
      </c>
      <c r="B1077" s="11" t="n">
        <v>45892</v>
      </c>
      <c r="C1077" t="inlineStr">
        <is>
          <t>East</t>
        </is>
      </c>
      <c r="D1077" t="inlineStr">
        <is>
          <t>Kolkata</t>
        </is>
      </c>
      <c r="E1077" t="inlineStr">
        <is>
          <t>Corporate</t>
        </is>
      </c>
      <c r="F1077" t="inlineStr">
        <is>
          <t>Partner</t>
        </is>
      </c>
      <c r="G1077" t="inlineStr">
        <is>
          <t>Technology</t>
        </is>
      </c>
      <c r="H1077" t="inlineStr">
        <is>
          <t>Keyboard</t>
        </is>
      </c>
      <c r="I1077" t="n">
        <v>2</v>
      </c>
      <c r="J1077" s="12" t="n">
        <v>1400.72</v>
      </c>
      <c r="K1077" s="13" t="n">
        <v>0.15</v>
      </c>
      <c r="L1077" s="12" t="n">
        <v>2381.22</v>
      </c>
      <c r="M1077" s="12" t="n">
        <v>2101.08</v>
      </c>
      <c r="N1077" s="12" t="n">
        <v>280.14</v>
      </c>
      <c r="O1077" t="inlineStr">
        <is>
          <t>Cash</t>
        </is>
      </c>
      <c r="P1077" t="inlineStr">
        <is>
          <t>Vivaan Gupta</t>
        </is>
      </c>
    </row>
    <row r="1078">
      <c r="A1078" t="inlineStr">
        <is>
          <t>ORD-2509-1077</t>
        </is>
      </c>
      <c r="B1078" s="11" t="n">
        <v>45920</v>
      </c>
      <c r="C1078" t="inlineStr">
        <is>
          <t>North</t>
        </is>
      </c>
      <c r="D1078" t="inlineStr">
        <is>
          <t>Jaipur</t>
        </is>
      </c>
      <c r="E1078" t="inlineStr">
        <is>
          <t>Corporate</t>
        </is>
      </c>
      <c r="F1078" t="inlineStr">
        <is>
          <t>Partner</t>
        </is>
      </c>
      <c r="G1078" t="inlineStr">
        <is>
          <t>Office Supplies</t>
        </is>
      </c>
      <c r="H1078" t="inlineStr">
        <is>
          <t>Pens Box</t>
        </is>
      </c>
      <c r="I1078" t="n">
        <v>1</v>
      </c>
      <c r="J1078" s="12" t="n">
        <v>181.82</v>
      </c>
      <c r="K1078" s="13" t="n">
        <v>0.1</v>
      </c>
      <c r="L1078" s="12" t="n">
        <v>163.64</v>
      </c>
      <c r="M1078" s="12" t="n">
        <v>118.18</v>
      </c>
      <c r="N1078" s="12" t="n">
        <v>45.46</v>
      </c>
      <c r="O1078" t="inlineStr">
        <is>
          <t>UPI</t>
        </is>
      </c>
      <c r="P1078" t="inlineStr">
        <is>
          <t>Rohan Verma</t>
        </is>
      </c>
    </row>
    <row r="1079">
      <c r="A1079" t="inlineStr">
        <is>
          <t>ORD-2512-1078</t>
        </is>
      </c>
      <c r="B1079" s="11" t="n">
        <v>45995</v>
      </c>
      <c r="C1079" t="inlineStr">
        <is>
          <t>East</t>
        </is>
      </c>
      <c r="D1079" t="inlineStr">
        <is>
          <t>Guwahati</t>
        </is>
      </c>
      <c r="E1079" t="inlineStr">
        <is>
          <t>Corporate</t>
        </is>
      </c>
      <c r="F1079" t="inlineStr">
        <is>
          <t>Partner</t>
        </is>
      </c>
      <c r="G1079" t="inlineStr">
        <is>
          <t>Technology</t>
        </is>
      </c>
      <c r="H1079" t="inlineStr">
        <is>
          <t>Monitor</t>
        </is>
      </c>
      <c r="I1079" t="n">
        <v>6</v>
      </c>
      <c r="J1079" s="12" t="n">
        <v>12253.05</v>
      </c>
      <c r="K1079" s="13" t="n">
        <v>0.1</v>
      </c>
      <c r="L1079" s="12" t="n">
        <v>66166.47</v>
      </c>
      <c r="M1079" s="12" t="n">
        <v>60285.01</v>
      </c>
      <c r="N1079" s="12" t="n">
        <v>5881.46</v>
      </c>
      <c r="O1079" t="inlineStr">
        <is>
          <t>UPI</t>
        </is>
      </c>
      <c r="P1079" t="inlineStr">
        <is>
          <t>Rohan Verma</t>
        </is>
      </c>
    </row>
    <row r="1080">
      <c r="A1080" t="inlineStr">
        <is>
          <t>ORD-2503-1079</t>
        </is>
      </c>
      <c r="B1080" s="11" t="n">
        <v>45724</v>
      </c>
      <c r="C1080" t="inlineStr">
        <is>
          <t>East</t>
        </is>
      </c>
      <c r="D1080" t="inlineStr">
        <is>
          <t>Bhubaneswar</t>
        </is>
      </c>
      <c r="E1080" t="inlineStr">
        <is>
          <t>Small Business</t>
        </is>
      </c>
      <c r="F1080" t="inlineStr">
        <is>
          <t>Online</t>
        </is>
      </c>
      <c r="G1080" t="inlineStr">
        <is>
          <t>Office Supplies</t>
        </is>
      </c>
      <c r="H1080" t="inlineStr">
        <is>
          <t>Notebook Pack</t>
        </is>
      </c>
      <c r="I1080" t="n">
        <v>3</v>
      </c>
      <c r="J1080" s="12" t="n">
        <v>324.52</v>
      </c>
      <c r="K1080" s="13" t="n">
        <v>0.05</v>
      </c>
      <c r="L1080" s="12" t="n">
        <v>924.88</v>
      </c>
      <c r="M1080" s="12" t="n">
        <v>662.02</v>
      </c>
      <c r="N1080" s="12" t="n">
        <v>262.86</v>
      </c>
      <c r="O1080" t="inlineStr">
        <is>
          <t>UPI</t>
        </is>
      </c>
      <c r="P1080" t="inlineStr">
        <is>
          <t>Diya Patel</t>
        </is>
      </c>
    </row>
    <row r="1081">
      <c r="A1081" t="inlineStr">
        <is>
          <t>ORD-2512-1080</t>
        </is>
      </c>
      <c r="B1081" s="11" t="n">
        <v>45998</v>
      </c>
      <c r="C1081" t="inlineStr">
        <is>
          <t>North</t>
        </is>
      </c>
      <c r="D1081" t="inlineStr">
        <is>
          <t>Lucknow</t>
        </is>
      </c>
      <c r="E1081" t="inlineStr">
        <is>
          <t>Small Business</t>
        </is>
      </c>
      <c r="F1081" t="inlineStr">
        <is>
          <t>Online</t>
        </is>
      </c>
      <c r="G1081" t="inlineStr">
        <is>
          <t>Office Supplies</t>
        </is>
      </c>
      <c r="H1081" t="inlineStr">
        <is>
          <t>Pens Box</t>
        </is>
      </c>
      <c r="I1081" t="n">
        <v>3</v>
      </c>
      <c r="J1081" s="12" t="n">
        <v>193.86</v>
      </c>
      <c r="K1081" s="13" t="n">
        <v>0.1</v>
      </c>
      <c r="L1081" s="12" t="n">
        <v>523.42</v>
      </c>
      <c r="M1081" s="12" t="n">
        <v>378.03</v>
      </c>
      <c r="N1081" s="12" t="n">
        <v>145.39</v>
      </c>
      <c r="O1081" t="inlineStr">
        <is>
          <t>Credit Card</t>
        </is>
      </c>
      <c r="P1081" t="inlineStr">
        <is>
          <t>Kabir Singh</t>
        </is>
      </c>
    </row>
    <row r="1082">
      <c r="A1082" t="inlineStr">
        <is>
          <t>ORD-2507-1081</t>
        </is>
      </c>
      <c r="B1082" s="11" t="n">
        <v>45854</v>
      </c>
      <c r="C1082" t="inlineStr">
        <is>
          <t>West</t>
        </is>
      </c>
      <c r="D1082" t="inlineStr">
        <is>
          <t>Mumbai</t>
        </is>
      </c>
      <c r="E1082" t="inlineStr">
        <is>
          <t>Consumer</t>
        </is>
      </c>
      <c r="F1082" t="inlineStr">
        <is>
          <t>Retail Store</t>
        </is>
      </c>
      <c r="G1082" t="inlineStr">
        <is>
          <t>Technology</t>
        </is>
      </c>
      <c r="H1082" t="inlineStr">
        <is>
          <t>Laptop</t>
        </is>
      </c>
      <c r="I1082" t="n">
        <v>3</v>
      </c>
      <c r="J1082" s="12" t="n">
        <v>44330.51</v>
      </c>
      <c r="K1082" s="13" t="n">
        <v>0</v>
      </c>
      <c r="L1082" s="12" t="n">
        <v>132991.53</v>
      </c>
      <c r="M1082" s="12" t="n">
        <v>117032.55</v>
      </c>
      <c r="N1082" s="12" t="n">
        <v>15958.98</v>
      </c>
      <c r="O1082" t="inlineStr">
        <is>
          <t>Net Banking</t>
        </is>
      </c>
      <c r="P1082" t="inlineStr">
        <is>
          <t>Aarav Sharma</t>
        </is>
      </c>
    </row>
    <row r="1083">
      <c r="A1083" t="inlineStr">
        <is>
          <t>ORD-2503-1082</t>
        </is>
      </c>
      <c r="B1083" s="11" t="n">
        <v>45747</v>
      </c>
      <c r="C1083" t="inlineStr">
        <is>
          <t>East</t>
        </is>
      </c>
      <c r="D1083" t="inlineStr">
        <is>
          <t>Kolkata</t>
        </is>
      </c>
      <c r="E1083" t="inlineStr">
        <is>
          <t>Small Business</t>
        </is>
      </c>
      <c r="F1083" t="inlineStr">
        <is>
          <t>Online</t>
        </is>
      </c>
      <c r="G1083" t="inlineStr">
        <is>
          <t>Office Supplies</t>
        </is>
      </c>
      <c r="H1083" t="inlineStr">
        <is>
          <t>Paper Ream</t>
        </is>
      </c>
      <c r="I1083" t="n">
        <v>3</v>
      </c>
      <c r="J1083" s="12" t="n">
        <v>429.23</v>
      </c>
      <c r="K1083" s="13" t="n">
        <v>0</v>
      </c>
      <c r="L1083" s="12" t="n">
        <v>1287.69</v>
      </c>
      <c r="M1083" s="12" t="n">
        <v>991.52</v>
      </c>
      <c r="N1083" s="12" t="n">
        <v>296.17</v>
      </c>
      <c r="O1083" t="inlineStr">
        <is>
          <t>UPI</t>
        </is>
      </c>
      <c r="P1083" t="inlineStr">
        <is>
          <t>Rohan Verma</t>
        </is>
      </c>
    </row>
    <row r="1084">
      <c r="A1084" t="inlineStr">
        <is>
          <t>ORD-2509-1083</t>
        </is>
      </c>
      <c r="B1084" s="11" t="n">
        <v>45909</v>
      </c>
      <c r="C1084" t="inlineStr">
        <is>
          <t>West</t>
        </is>
      </c>
      <c r="D1084" t="inlineStr">
        <is>
          <t>Ahmedabad</t>
        </is>
      </c>
      <c r="E1084" t="inlineStr">
        <is>
          <t>Consumer</t>
        </is>
      </c>
      <c r="F1084" t="inlineStr">
        <is>
          <t>Online</t>
        </is>
      </c>
      <c r="G1084" t="inlineStr">
        <is>
          <t>Technology</t>
        </is>
      </c>
      <c r="H1084" t="inlineStr">
        <is>
          <t>Printer</t>
        </is>
      </c>
      <c r="I1084" t="n">
        <v>2</v>
      </c>
      <c r="J1084" s="12" t="n">
        <v>9977.030000000001</v>
      </c>
      <c r="K1084" s="13" t="n">
        <v>0</v>
      </c>
      <c r="L1084" s="12" t="n">
        <v>19954.06</v>
      </c>
      <c r="M1084" s="12" t="n">
        <v>16761.41</v>
      </c>
      <c r="N1084" s="12" t="n">
        <v>3192.65</v>
      </c>
      <c r="O1084" t="inlineStr">
        <is>
          <t>Cash</t>
        </is>
      </c>
      <c r="P1084" t="inlineStr">
        <is>
          <t>Aarav Sharma</t>
        </is>
      </c>
    </row>
    <row r="1085">
      <c r="A1085" t="inlineStr">
        <is>
          <t>ORD-2511-1084</t>
        </is>
      </c>
      <c r="B1085" s="11" t="n">
        <v>45980</v>
      </c>
      <c r="C1085" t="inlineStr">
        <is>
          <t>North</t>
        </is>
      </c>
      <c r="D1085" t="inlineStr">
        <is>
          <t>Jaipur</t>
        </is>
      </c>
      <c r="E1085" t="inlineStr">
        <is>
          <t>Corporate</t>
        </is>
      </c>
      <c r="F1085" t="inlineStr">
        <is>
          <t>Partner</t>
        </is>
      </c>
      <c r="G1085" t="inlineStr">
        <is>
          <t>Technology</t>
        </is>
      </c>
      <c r="H1085" t="inlineStr">
        <is>
          <t>Laptop</t>
        </is>
      </c>
      <c r="I1085" t="n">
        <v>5</v>
      </c>
      <c r="J1085" s="12" t="n">
        <v>41056.25</v>
      </c>
      <c r="K1085" s="13" t="n">
        <v>0.15</v>
      </c>
      <c r="L1085" s="12" t="n">
        <v>174489.06</v>
      </c>
      <c r="M1085" s="12" t="n">
        <v>180647.5</v>
      </c>
      <c r="N1085" s="12" t="n">
        <v>-6158.44</v>
      </c>
      <c r="O1085" t="inlineStr">
        <is>
          <t>Cash</t>
        </is>
      </c>
      <c r="P1085" t="inlineStr">
        <is>
          <t>Diya Patel</t>
        </is>
      </c>
    </row>
    <row r="1086">
      <c r="A1086" t="inlineStr">
        <is>
          <t>ORD-2506-1085</t>
        </is>
      </c>
      <c r="B1086" s="11" t="n">
        <v>45832</v>
      </c>
      <c r="C1086" t="inlineStr">
        <is>
          <t>South</t>
        </is>
      </c>
      <c r="D1086" t="inlineStr">
        <is>
          <t>Kochi</t>
        </is>
      </c>
      <c r="E1086" t="inlineStr">
        <is>
          <t>Corporate</t>
        </is>
      </c>
      <c r="F1086" t="inlineStr">
        <is>
          <t>Retail Store</t>
        </is>
      </c>
      <c r="G1086" t="inlineStr">
        <is>
          <t>Technology</t>
        </is>
      </c>
      <c r="H1086" t="inlineStr">
        <is>
          <t>Printer</t>
        </is>
      </c>
      <c r="I1086" t="n">
        <v>5</v>
      </c>
      <c r="J1086" s="12" t="n">
        <v>9460.07</v>
      </c>
      <c r="K1086" s="13" t="n">
        <v>0.1</v>
      </c>
      <c r="L1086" s="12" t="n">
        <v>42570.32</v>
      </c>
      <c r="M1086" s="12" t="n">
        <v>39732.29</v>
      </c>
      <c r="N1086" s="12" t="n">
        <v>2838.03</v>
      </c>
      <c r="O1086" t="inlineStr">
        <is>
          <t>Cash</t>
        </is>
      </c>
      <c r="P1086" t="inlineStr">
        <is>
          <t>Kabir Singh</t>
        </is>
      </c>
    </row>
    <row r="1087">
      <c r="A1087" t="inlineStr">
        <is>
          <t>ORD-2502-1086</t>
        </is>
      </c>
      <c r="B1087" s="11" t="n">
        <v>45692</v>
      </c>
      <c r="C1087" t="inlineStr">
        <is>
          <t>West</t>
        </is>
      </c>
      <c r="D1087" t="inlineStr">
        <is>
          <t>Surat</t>
        </is>
      </c>
      <c r="E1087" t="inlineStr">
        <is>
          <t>Small Business</t>
        </is>
      </c>
      <c r="F1087" t="inlineStr">
        <is>
          <t>Retail Store</t>
        </is>
      </c>
      <c r="G1087" t="inlineStr">
        <is>
          <t>Office Supplies</t>
        </is>
      </c>
      <c r="H1087" t="inlineStr">
        <is>
          <t>Pens Box</t>
        </is>
      </c>
      <c r="I1087" t="n">
        <v>2</v>
      </c>
      <c r="J1087" s="12" t="n">
        <v>167.85</v>
      </c>
      <c r="K1087" s="13" t="n">
        <v>0</v>
      </c>
      <c r="L1087" s="12" t="n">
        <v>335.7</v>
      </c>
      <c r="M1087" s="12" t="n">
        <v>218.21</v>
      </c>
      <c r="N1087" s="12" t="n">
        <v>117.49</v>
      </c>
      <c r="O1087" t="inlineStr">
        <is>
          <t>Credit Card</t>
        </is>
      </c>
      <c r="P1087" t="inlineStr">
        <is>
          <t>Diya Patel</t>
        </is>
      </c>
    </row>
    <row r="1088">
      <c r="A1088" t="inlineStr">
        <is>
          <t>ORD-2509-1087</t>
        </is>
      </c>
      <c r="B1088" s="11" t="n">
        <v>45913</v>
      </c>
      <c r="C1088" t="inlineStr">
        <is>
          <t>South</t>
        </is>
      </c>
      <c r="D1088" t="inlineStr">
        <is>
          <t>Bengaluru</t>
        </is>
      </c>
      <c r="E1088" t="inlineStr">
        <is>
          <t>Corporate</t>
        </is>
      </c>
      <c r="F1088" t="inlineStr">
        <is>
          <t>Retail Store</t>
        </is>
      </c>
      <c r="G1088" t="inlineStr">
        <is>
          <t>Office Supplies</t>
        </is>
      </c>
      <c r="H1088" t="inlineStr">
        <is>
          <t>Notebook Pack</t>
        </is>
      </c>
      <c r="I1088" t="n">
        <v>3</v>
      </c>
      <c r="J1088" s="12" t="n">
        <v>367.99</v>
      </c>
      <c r="K1088" s="13" t="n">
        <v>0</v>
      </c>
      <c r="L1088" s="12" t="n">
        <v>1103.97</v>
      </c>
      <c r="M1088" s="12" t="n">
        <v>750.7</v>
      </c>
      <c r="N1088" s="12" t="n">
        <v>353.27</v>
      </c>
      <c r="O1088" t="inlineStr">
        <is>
          <t>Debit Card</t>
        </is>
      </c>
      <c r="P1088" t="inlineStr">
        <is>
          <t>Sara Khan</t>
        </is>
      </c>
    </row>
    <row r="1089">
      <c r="A1089" t="inlineStr">
        <is>
          <t>ORD-2502-1088</t>
        </is>
      </c>
      <c r="B1089" s="11" t="n">
        <v>45692</v>
      </c>
      <c r="C1089" t="inlineStr">
        <is>
          <t>South</t>
        </is>
      </c>
      <c r="D1089" t="inlineStr">
        <is>
          <t>Hyderabad</t>
        </is>
      </c>
      <c r="E1089" t="inlineStr">
        <is>
          <t>Small Business</t>
        </is>
      </c>
      <c r="F1089" t="inlineStr">
        <is>
          <t>Partner</t>
        </is>
      </c>
      <c r="G1089" t="inlineStr">
        <is>
          <t>Technology</t>
        </is>
      </c>
      <c r="H1089" t="inlineStr">
        <is>
          <t>Monitor</t>
        </is>
      </c>
      <c r="I1089" t="n">
        <v>3</v>
      </c>
      <c r="J1089" s="12" t="n">
        <v>12535.52</v>
      </c>
      <c r="K1089" s="13" t="n">
        <v>0</v>
      </c>
      <c r="L1089" s="12" t="n">
        <v>37606.56</v>
      </c>
      <c r="M1089" s="12" t="n">
        <v>30837.38</v>
      </c>
      <c r="N1089" s="12" t="n">
        <v>6769.18</v>
      </c>
      <c r="O1089" t="inlineStr">
        <is>
          <t>Net Banking</t>
        </is>
      </c>
      <c r="P1089" t="inlineStr">
        <is>
          <t>Vivaan Gupta</t>
        </is>
      </c>
    </row>
    <row r="1090">
      <c r="A1090" t="inlineStr">
        <is>
          <t>ORD-2511-1089</t>
        </is>
      </c>
      <c r="B1090" s="11" t="n">
        <v>45974</v>
      </c>
      <c r="C1090" t="inlineStr">
        <is>
          <t>North</t>
        </is>
      </c>
      <c r="D1090" t="inlineStr">
        <is>
          <t>Delhi</t>
        </is>
      </c>
      <c r="E1090" t="inlineStr">
        <is>
          <t>Consumer</t>
        </is>
      </c>
      <c r="F1090" t="inlineStr">
        <is>
          <t>Online</t>
        </is>
      </c>
      <c r="G1090" t="inlineStr">
        <is>
          <t>Office Supplies</t>
        </is>
      </c>
      <c r="H1090" t="inlineStr">
        <is>
          <t>Notebook Pack</t>
        </is>
      </c>
      <c r="I1090" t="n">
        <v>3</v>
      </c>
      <c r="J1090" s="12" t="n">
        <v>336.73</v>
      </c>
      <c r="K1090" s="13" t="n">
        <v>0.15</v>
      </c>
      <c r="L1090" s="12" t="n">
        <v>858.66</v>
      </c>
      <c r="M1090" s="12" t="n">
        <v>686.9299999999999</v>
      </c>
      <c r="N1090" s="12" t="n">
        <v>171.73</v>
      </c>
      <c r="O1090" t="inlineStr">
        <is>
          <t>Net Banking</t>
        </is>
      </c>
      <c r="P1090" t="inlineStr">
        <is>
          <t>Vivaan Gupta</t>
        </is>
      </c>
    </row>
    <row r="1091">
      <c r="A1091" t="inlineStr">
        <is>
          <t>ORD-2505-1090</t>
        </is>
      </c>
      <c r="B1091" s="11" t="n">
        <v>45791</v>
      </c>
      <c r="C1091" t="inlineStr">
        <is>
          <t>South</t>
        </is>
      </c>
      <c r="D1091" t="inlineStr">
        <is>
          <t>Hyderabad</t>
        </is>
      </c>
      <c r="E1091" t="inlineStr">
        <is>
          <t>Corporate</t>
        </is>
      </c>
      <c r="F1091" t="inlineStr">
        <is>
          <t>Partner</t>
        </is>
      </c>
      <c r="G1091" t="inlineStr">
        <is>
          <t>Office Supplies</t>
        </is>
      </c>
      <c r="H1091" t="inlineStr">
        <is>
          <t>File Folder</t>
        </is>
      </c>
      <c r="I1091" t="n">
        <v>1</v>
      </c>
      <c r="J1091" s="12" t="n">
        <v>94.56</v>
      </c>
      <c r="K1091" s="13" t="n">
        <v>0</v>
      </c>
      <c r="L1091" s="12" t="n">
        <v>94.56</v>
      </c>
      <c r="M1091" s="12" t="n">
        <v>58.63</v>
      </c>
      <c r="N1091" s="12" t="n">
        <v>35.93</v>
      </c>
      <c r="O1091" t="inlineStr">
        <is>
          <t>Credit Card</t>
        </is>
      </c>
      <c r="P1091" t="inlineStr">
        <is>
          <t>Meera Joshi</t>
        </is>
      </c>
    </row>
    <row r="1092">
      <c r="A1092" t="inlineStr">
        <is>
          <t>ORD-2509-1091</t>
        </is>
      </c>
      <c r="B1092" s="11" t="n">
        <v>45910</v>
      </c>
      <c r="C1092" t="inlineStr">
        <is>
          <t>North</t>
        </is>
      </c>
      <c r="D1092" t="inlineStr">
        <is>
          <t>Delhi</t>
        </is>
      </c>
      <c r="E1092" t="inlineStr">
        <is>
          <t>Small Business</t>
        </is>
      </c>
      <c r="F1092" t="inlineStr">
        <is>
          <t>Online</t>
        </is>
      </c>
      <c r="G1092" t="inlineStr">
        <is>
          <t>Furniture</t>
        </is>
      </c>
      <c r="H1092" t="inlineStr">
        <is>
          <t>Office Chair</t>
        </is>
      </c>
      <c r="I1092" t="n">
        <v>10</v>
      </c>
      <c r="J1092" s="12" t="n">
        <v>6906.78</v>
      </c>
      <c r="K1092" s="13" t="n">
        <v>0.2</v>
      </c>
      <c r="L1092" s="12" t="n">
        <v>55254.24</v>
      </c>
      <c r="M1092" s="12" t="n">
        <v>49728.82</v>
      </c>
      <c r="N1092" s="12" t="n">
        <v>5525.42</v>
      </c>
      <c r="O1092" t="inlineStr">
        <is>
          <t>Cash</t>
        </is>
      </c>
      <c r="P1092" t="inlineStr">
        <is>
          <t>Anaya Rao</t>
        </is>
      </c>
    </row>
    <row r="1093">
      <c r="A1093" t="inlineStr">
        <is>
          <t>ORD-2503-1092</t>
        </is>
      </c>
      <c r="B1093" s="11" t="n">
        <v>45724</v>
      </c>
      <c r="C1093" t="inlineStr">
        <is>
          <t>East</t>
        </is>
      </c>
      <c r="D1093" t="inlineStr">
        <is>
          <t>Kolkata</t>
        </is>
      </c>
      <c r="E1093" t="inlineStr">
        <is>
          <t>Corporate</t>
        </is>
      </c>
      <c r="F1093" t="inlineStr">
        <is>
          <t>Retail Store</t>
        </is>
      </c>
      <c r="G1093" t="inlineStr">
        <is>
          <t>Technology</t>
        </is>
      </c>
      <c r="H1093" t="inlineStr">
        <is>
          <t>Monitor</t>
        </is>
      </c>
      <c r="I1093" t="n">
        <v>1</v>
      </c>
      <c r="J1093" s="12" t="n">
        <v>12800.67</v>
      </c>
      <c r="K1093" s="13" t="n">
        <v>0.1</v>
      </c>
      <c r="L1093" s="12" t="n">
        <v>11520.6</v>
      </c>
      <c r="M1093" s="12" t="n">
        <v>10496.55</v>
      </c>
      <c r="N1093" s="12" t="n">
        <v>1024.05</v>
      </c>
      <c r="O1093" t="inlineStr">
        <is>
          <t>Net Banking</t>
        </is>
      </c>
      <c r="P1093" t="inlineStr">
        <is>
          <t>Meera Joshi</t>
        </is>
      </c>
    </row>
    <row r="1094">
      <c r="A1094" t="inlineStr">
        <is>
          <t>ORD-2501-1093</t>
        </is>
      </c>
      <c r="B1094" s="11" t="n">
        <v>45668</v>
      </c>
      <c r="C1094" t="inlineStr">
        <is>
          <t>North</t>
        </is>
      </c>
      <c r="D1094" t="inlineStr">
        <is>
          <t>Delhi</t>
        </is>
      </c>
      <c r="E1094" t="inlineStr">
        <is>
          <t>Corporate</t>
        </is>
      </c>
      <c r="F1094" t="inlineStr">
        <is>
          <t>Partner</t>
        </is>
      </c>
      <c r="G1094" t="inlineStr">
        <is>
          <t>Office Supplies</t>
        </is>
      </c>
      <c r="H1094" t="inlineStr">
        <is>
          <t>File Folder</t>
        </is>
      </c>
      <c r="I1094" t="n">
        <v>5</v>
      </c>
      <c r="J1094" s="12" t="n">
        <v>91.56</v>
      </c>
      <c r="K1094" s="13" t="n">
        <v>0</v>
      </c>
      <c r="L1094" s="12" t="n">
        <v>457.8</v>
      </c>
      <c r="M1094" s="12" t="n">
        <v>283.84</v>
      </c>
      <c r="N1094" s="12" t="n">
        <v>173.96</v>
      </c>
      <c r="O1094" t="inlineStr">
        <is>
          <t>Credit Card</t>
        </is>
      </c>
      <c r="P1094" t="inlineStr">
        <is>
          <t>Anaya Rao</t>
        </is>
      </c>
    </row>
    <row r="1095">
      <c r="A1095" t="inlineStr">
        <is>
          <t>ORD-2501-1094</t>
        </is>
      </c>
      <c r="B1095" s="11" t="n">
        <v>45684</v>
      </c>
      <c r="C1095" t="inlineStr">
        <is>
          <t>West</t>
        </is>
      </c>
      <c r="D1095" t="inlineStr">
        <is>
          <t>Surat</t>
        </is>
      </c>
      <c r="E1095" t="inlineStr">
        <is>
          <t>Consumer</t>
        </is>
      </c>
      <c r="F1095" t="inlineStr">
        <is>
          <t>Retail Store</t>
        </is>
      </c>
      <c r="G1095" t="inlineStr">
        <is>
          <t>Office Supplies</t>
        </is>
      </c>
      <c r="H1095" t="inlineStr">
        <is>
          <t>Paper Ream</t>
        </is>
      </c>
      <c r="I1095" t="n">
        <v>1</v>
      </c>
      <c r="J1095" s="12" t="n">
        <v>423.33</v>
      </c>
      <c r="K1095" s="13" t="n">
        <v>0.1</v>
      </c>
      <c r="L1095" s="12" t="n">
        <v>381</v>
      </c>
      <c r="M1095" s="12" t="n">
        <v>325.96</v>
      </c>
      <c r="N1095" s="12" t="n">
        <v>55.04</v>
      </c>
      <c r="O1095" t="inlineStr">
        <is>
          <t>Credit Card</t>
        </is>
      </c>
      <c r="P1095" t="inlineStr">
        <is>
          <t>Sara Khan</t>
        </is>
      </c>
    </row>
    <row r="1096">
      <c r="A1096" t="inlineStr">
        <is>
          <t>ORD-2506-1095</t>
        </is>
      </c>
      <c r="B1096" s="11" t="n">
        <v>45838</v>
      </c>
      <c r="C1096" t="inlineStr">
        <is>
          <t>South</t>
        </is>
      </c>
      <c r="D1096" t="inlineStr">
        <is>
          <t>Hyderabad</t>
        </is>
      </c>
      <c r="E1096" t="inlineStr">
        <is>
          <t>Consumer</t>
        </is>
      </c>
      <c r="F1096" t="inlineStr">
        <is>
          <t>Online</t>
        </is>
      </c>
      <c r="G1096" t="inlineStr">
        <is>
          <t>Furniture</t>
        </is>
      </c>
      <c r="H1096" t="inlineStr">
        <is>
          <t>Desk</t>
        </is>
      </c>
      <c r="I1096" t="n">
        <v>6</v>
      </c>
      <c r="J1096" s="12" t="n">
        <v>10749.26</v>
      </c>
      <c r="K1096" s="13" t="n">
        <v>0</v>
      </c>
      <c r="L1096" s="12" t="n">
        <v>64495.56</v>
      </c>
      <c r="M1096" s="12" t="n">
        <v>49016.63</v>
      </c>
      <c r="N1096" s="12" t="n">
        <v>15478.93</v>
      </c>
      <c r="O1096" t="inlineStr">
        <is>
          <t>Debit Card</t>
        </is>
      </c>
      <c r="P1096" t="inlineStr">
        <is>
          <t>Aarav Sharma</t>
        </is>
      </c>
    </row>
    <row r="1097">
      <c r="A1097" t="inlineStr">
        <is>
          <t>ORD-2501-1096</t>
        </is>
      </c>
      <c r="B1097" s="11" t="n">
        <v>45665</v>
      </c>
      <c r="C1097" t="inlineStr">
        <is>
          <t>South</t>
        </is>
      </c>
      <c r="D1097" t="inlineStr">
        <is>
          <t>Bengaluru</t>
        </is>
      </c>
      <c r="E1097" t="inlineStr">
        <is>
          <t>Corporate</t>
        </is>
      </c>
      <c r="F1097" t="inlineStr">
        <is>
          <t>Retail Store</t>
        </is>
      </c>
      <c r="G1097" t="inlineStr">
        <is>
          <t>Technology</t>
        </is>
      </c>
      <c r="H1097" t="inlineStr">
        <is>
          <t>Monitor</t>
        </is>
      </c>
      <c r="I1097" t="n">
        <v>1</v>
      </c>
      <c r="J1097" s="12" t="n">
        <v>12065.19</v>
      </c>
      <c r="K1097" s="13" t="n">
        <v>0.05</v>
      </c>
      <c r="L1097" s="12" t="n">
        <v>11461.93</v>
      </c>
      <c r="M1097" s="12" t="n">
        <v>9893.459999999999</v>
      </c>
      <c r="N1097" s="12" t="n">
        <v>1568.47</v>
      </c>
      <c r="O1097" t="inlineStr">
        <is>
          <t>Cash</t>
        </is>
      </c>
      <c r="P1097" t="inlineStr">
        <is>
          <t>Meera Joshi</t>
        </is>
      </c>
    </row>
    <row r="1098">
      <c r="A1098" t="inlineStr">
        <is>
          <t>ORD-2505-1097</t>
        </is>
      </c>
      <c r="B1098" s="11" t="n">
        <v>45807</v>
      </c>
      <c r="C1098" t="inlineStr">
        <is>
          <t>South</t>
        </is>
      </c>
      <c r="D1098" t="inlineStr">
        <is>
          <t>Kochi</t>
        </is>
      </c>
      <c r="E1098" t="inlineStr">
        <is>
          <t>Small Business</t>
        </is>
      </c>
      <c r="F1098" t="inlineStr">
        <is>
          <t>Online</t>
        </is>
      </c>
      <c r="G1098" t="inlineStr">
        <is>
          <t>Furniture</t>
        </is>
      </c>
      <c r="H1098" t="inlineStr">
        <is>
          <t>Bookshelf</t>
        </is>
      </c>
      <c r="I1098" t="n">
        <v>4</v>
      </c>
      <c r="J1098" s="12" t="n">
        <v>4847.55</v>
      </c>
      <c r="K1098" s="13" t="n">
        <v>0.1</v>
      </c>
      <c r="L1098" s="12" t="n">
        <v>17451.18</v>
      </c>
      <c r="M1098" s="12" t="n">
        <v>14348.75</v>
      </c>
      <c r="N1098" s="12" t="n">
        <v>3102.43</v>
      </c>
      <c r="O1098" t="inlineStr">
        <is>
          <t>Debit Card</t>
        </is>
      </c>
      <c r="P1098" t="inlineStr">
        <is>
          <t>Sara Khan</t>
        </is>
      </c>
    </row>
    <row r="1099">
      <c r="A1099" t="inlineStr">
        <is>
          <t>ORD-2504-1098</t>
        </is>
      </c>
      <c r="B1099" s="11" t="n">
        <v>45770</v>
      </c>
      <c r="C1099" t="inlineStr">
        <is>
          <t>West</t>
        </is>
      </c>
      <c r="D1099" t="inlineStr">
        <is>
          <t>Ahmedabad</t>
        </is>
      </c>
      <c r="E1099" t="inlineStr">
        <is>
          <t>Small Business</t>
        </is>
      </c>
      <c r="F1099" t="inlineStr">
        <is>
          <t>Retail Store</t>
        </is>
      </c>
      <c r="G1099" t="inlineStr">
        <is>
          <t>Furniture</t>
        </is>
      </c>
      <c r="H1099" t="inlineStr">
        <is>
          <t>Office Chair</t>
        </is>
      </c>
      <c r="I1099" t="n">
        <v>5</v>
      </c>
      <c r="J1099" s="12" t="n">
        <v>6967.16</v>
      </c>
      <c r="K1099" s="13" t="n">
        <v>0.05</v>
      </c>
      <c r="L1099" s="12" t="n">
        <v>33094.01</v>
      </c>
      <c r="M1099" s="12" t="n">
        <v>25081.78</v>
      </c>
      <c r="N1099" s="12" t="n">
        <v>8012.23</v>
      </c>
      <c r="O1099" t="inlineStr">
        <is>
          <t>Net Banking</t>
        </is>
      </c>
      <c r="P1099" t="inlineStr">
        <is>
          <t>Diya Patel</t>
        </is>
      </c>
    </row>
    <row r="1100">
      <c r="A1100" t="inlineStr">
        <is>
          <t>ORD-2501-1099</t>
        </is>
      </c>
      <c r="B1100" s="11" t="n">
        <v>45685</v>
      </c>
      <c r="C1100" t="inlineStr">
        <is>
          <t>East</t>
        </is>
      </c>
      <c r="D1100" t="inlineStr">
        <is>
          <t>Guwahati</t>
        </is>
      </c>
      <c r="E1100" t="inlineStr">
        <is>
          <t>Consumer</t>
        </is>
      </c>
      <c r="F1100" t="inlineStr">
        <is>
          <t>Partner</t>
        </is>
      </c>
      <c r="G1100" t="inlineStr">
        <is>
          <t>Office Supplies</t>
        </is>
      </c>
      <c r="H1100" t="inlineStr">
        <is>
          <t>Paper Ream</t>
        </is>
      </c>
      <c r="I1100" t="n">
        <v>8</v>
      </c>
      <c r="J1100" s="12" t="n">
        <v>391.67</v>
      </c>
      <c r="K1100" s="13" t="n">
        <v>0.05</v>
      </c>
      <c r="L1100" s="12" t="n">
        <v>2976.69</v>
      </c>
      <c r="M1100" s="12" t="n">
        <v>2412.69</v>
      </c>
      <c r="N1100" s="12" t="n">
        <v>564</v>
      </c>
      <c r="O1100" t="inlineStr">
        <is>
          <t>UPI</t>
        </is>
      </c>
      <c r="P1100" t="inlineStr">
        <is>
          <t>Rohan Verma</t>
        </is>
      </c>
    </row>
    <row r="1101">
      <c r="A1101" t="inlineStr">
        <is>
          <t>ORD-2510-1100</t>
        </is>
      </c>
      <c r="B1101" s="11" t="n">
        <v>45941</v>
      </c>
      <c r="C1101" t="inlineStr">
        <is>
          <t>South</t>
        </is>
      </c>
      <c r="D1101" t="inlineStr">
        <is>
          <t>Bengaluru</t>
        </is>
      </c>
      <c r="E1101" t="inlineStr">
        <is>
          <t>Consumer</t>
        </is>
      </c>
      <c r="F1101" t="inlineStr">
        <is>
          <t>Partner</t>
        </is>
      </c>
      <c r="G1101" t="inlineStr">
        <is>
          <t>Furniture</t>
        </is>
      </c>
      <c r="H1101" t="inlineStr">
        <is>
          <t>Office Chair</t>
        </is>
      </c>
      <c r="I1101" t="n">
        <v>4</v>
      </c>
      <c r="J1101" s="12" t="n">
        <v>6295.02</v>
      </c>
      <c r="K1101" s="13" t="n">
        <v>0.15</v>
      </c>
      <c r="L1101" s="12" t="n">
        <v>21403.07</v>
      </c>
      <c r="M1101" s="12" t="n">
        <v>18129.66</v>
      </c>
      <c r="N1101" s="12" t="n">
        <v>3273.41</v>
      </c>
      <c r="O1101" t="inlineStr">
        <is>
          <t>Debit Card</t>
        </is>
      </c>
      <c r="P1101" t="inlineStr">
        <is>
          <t>Anaya Rao</t>
        </is>
      </c>
    </row>
    <row r="1102">
      <c r="A1102" t="inlineStr">
        <is>
          <t>ORD-2502-1101</t>
        </is>
      </c>
      <c r="B1102" s="11" t="n">
        <v>45716</v>
      </c>
      <c r="C1102" t="inlineStr">
        <is>
          <t>North</t>
        </is>
      </c>
      <c r="D1102" t="inlineStr">
        <is>
          <t>Lucknow</t>
        </is>
      </c>
      <c r="E1102" t="inlineStr">
        <is>
          <t>Consumer</t>
        </is>
      </c>
      <c r="F1102" t="inlineStr">
        <is>
          <t>Online</t>
        </is>
      </c>
      <c r="G1102" t="inlineStr">
        <is>
          <t>Office Supplies</t>
        </is>
      </c>
      <c r="H1102" t="inlineStr">
        <is>
          <t>Stapler</t>
        </is>
      </c>
      <c r="I1102" t="n">
        <v>1</v>
      </c>
      <c r="J1102" s="12" t="n">
        <v>255.18</v>
      </c>
      <c r="K1102" s="13" t="n">
        <v>0</v>
      </c>
      <c r="L1102" s="12" t="n">
        <v>255.18</v>
      </c>
      <c r="M1102" s="12" t="n">
        <v>178.63</v>
      </c>
      <c r="N1102" s="12" t="n">
        <v>76.55</v>
      </c>
      <c r="O1102" t="inlineStr">
        <is>
          <t>Net Banking</t>
        </is>
      </c>
      <c r="P1102" t="inlineStr">
        <is>
          <t>Vivaan Gupta</t>
        </is>
      </c>
    </row>
    <row r="1103">
      <c r="A1103" t="inlineStr">
        <is>
          <t>ORD-2509-1102</t>
        </is>
      </c>
      <c r="B1103" s="11" t="n">
        <v>45911</v>
      </c>
      <c r="C1103" t="inlineStr">
        <is>
          <t>North</t>
        </is>
      </c>
      <c r="D1103" t="inlineStr">
        <is>
          <t>Lucknow</t>
        </is>
      </c>
      <c r="E1103" t="inlineStr">
        <is>
          <t>Small Business</t>
        </is>
      </c>
      <c r="F1103" t="inlineStr">
        <is>
          <t>Retail Store</t>
        </is>
      </c>
      <c r="G1103" t="inlineStr">
        <is>
          <t>Furniture</t>
        </is>
      </c>
      <c r="H1103" t="inlineStr">
        <is>
          <t>Desk</t>
        </is>
      </c>
      <c r="I1103" t="n">
        <v>3</v>
      </c>
      <c r="J1103" s="12" t="n">
        <v>11277.96</v>
      </c>
      <c r="K1103" s="13" t="n">
        <v>0</v>
      </c>
      <c r="L1103" s="12" t="n">
        <v>33833.88</v>
      </c>
      <c r="M1103" s="12" t="n">
        <v>25713.75</v>
      </c>
      <c r="N1103" s="12" t="n">
        <v>8120.13</v>
      </c>
      <c r="O1103" t="inlineStr">
        <is>
          <t>Cash</t>
        </is>
      </c>
      <c r="P1103" t="inlineStr">
        <is>
          <t>Aarav Sharma</t>
        </is>
      </c>
    </row>
    <row r="1104">
      <c r="A1104" t="inlineStr">
        <is>
          <t>ORD-2512-1103</t>
        </is>
      </c>
      <c r="B1104" s="11" t="n">
        <v>45996</v>
      </c>
      <c r="C1104" t="inlineStr">
        <is>
          <t>East</t>
        </is>
      </c>
      <c r="D1104" t="inlineStr">
        <is>
          <t>Kolkata</t>
        </is>
      </c>
      <c r="E1104" t="inlineStr">
        <is>
          <t>Corporate</t>
        </is>
      </c>
      <c r="F1104" t="inlineStr">
        <is>
          <t>Retail Store</t>
        </is>
      </c>
      <c r="G1104" t="inlineStr">
        <is>
          <t>Furniture</t>
        </is>
      </c>
      <c r="H1104" t="inlineStr">
        <is>
          <t>Storage Cabinet</t>
        </is>
      </c>
      <c r="I1104" t="n">
        <v>4</v>
      </c>
      <c r="J1104" s="12" t="n">
        <v>9483.92</v>
      </c>
      <c r="K1104" s="13" t="n">
        <v>0.15</v>
      </c>
      <c r="L1104" s="12" t="n">
        <v>32245.33</v>
      </c>
      <c r="M1104" s="12" t="n">
        <v>30348.54</v>
      </c>
      <c r="N1104" s="12" t="n">
        <v>1896.79</v>
      </c>
      <c r="O1104" t="inlineStr">
        <is>
          <t>Cash</t>
        </is>
      </c>
      <c r="P1104" t="inlineStr">
        <is>
          <t>Meera Joshi</t>
        </is>
      </c>
    </row>
    <row r="1105">
      <c r="A1105" t="inlineStr">
        <is>
          <t>ORD-2501-1104</t>
        </is>
      </c>
      <c r="B1105" s="11" t="n">
        <v>45672</v>
      </c>
      <c r="C1105" t="inlineStr">
        <is>
          <t>East</t>
        </is>
      </c>
      <c r="D1105" t="inlineStr">
        <is>
          <t>Guwahati</t>
        </is>
      </c>
      <c r="E1105" t="inlineStr">
        <is>
          <t>Consumer</t>
        </is>
      </c>
      <c r="F1105" t="inlineStr">
        <is>
          <t>Online</t>
        </is>
      </c>
      <c r="G1105" t="inlineStr">
        <is>
          <t>Office Supplies</t>
        </is>
      </c>
      <c r="H1105" t="inlineStr">
        <is>
          <t>Stapler</t>
        </is>
      </c>
      <c r="I1105" t="n">
        <v>2</v>
      </c>
      <c r="J1105" s="12" t="n">
        <v>269.79</v>
      </c>
      <c r="K1105" s="13" t="n">
        <v>0.1</v>
      </c>
      <c r="L1105" s="12" t="n">
        <v>485.62</v>
      </c>
      <c r="M1105" s="12" t="n">
        <v>377.71</v>
      </c>
      <c r="N1105" s="12" t="n">
        <v>107.91</v>
      </c>
      <c r="O1105" t="inlineStr">
        <is>
          <t>Cash</t>
        </is>
      </c>
      <c r="P1105" t="inlineStr">
        <is>
          <t>Vivaan Gupta</t>
        </is>
      </c>
    </row>
    <row r="1106">
      <c r="A1106" t="inlineStr">
        <is>
          <t>ORD-2512-1105</t>
        </is>
      </c>
      <c r="B1106" s="11" t="n">
        <v>46005</v>
      </c>
      <c r="C1106" t="inlineStr">
        <is>
          <t>East</t>
        </is>
      </c>
      <c r="D1106" t="inlineStr">
        <is>
          <t>Guwahati</t>
        </is>
      </c>
      <c r="E1106" t="inlineStr">
        <is>
          <t>Consumer</t>
        </is>
      </c>
      <c r="F1106" t="inlineStr">
        <is>
          <t>Retail Store</t>
        </is>
      </c>
      <c r="G1106" t="inlineStr">
        <is>
          <t>Furniture</t>
        </is>
      </c>
      <c r="H1106" t="inlineStr">
        <is>
          <t>Desk</t>
        </is>
      </c>
      <c r="I1106" t="n">
        <v>3</v>
      </c>
      <c r="J1106" s="12" t="n">
        <v>11534.8</v>
      </c>
      <c r="K1106" s="13" t="n">
        <v>0.1</v>
      </c>
      <c r="L1106" s="12" t="n">
        <v>31143.96</v>
      </c>
      <c r="M1106" s="12" t="n">
        <v>26299.34</v>
      </c>
      <c r="N1106" s="12" t="n">
        <v>4844.62</v>
      </c>
      <c r="O1106" t="inlineStr">
        <is>
          <t>Debit Card</t>
        </is>
      </c>
      <c r="P1106" t="inlineStr">
        <is>
          <t>Meera Joshi</t>
        </is>
      </c>
    </row>
    <row r="1107">
      <c r="A1107" t="inlineStr">
        <is>
          <t>ORD-2503-1106</t>
        </is>
      </c>
      <c r="B1107" s="11" t="n">
        <v>45725</v>
      </c>
      <c r="C1107" t="inlineStr">
        <is>
          <t>North</t>
        </is>
      </c>
      <c r="D1107" t="inlineStr">
        <is>
          <t>Chandigarh</t>
        </is>
      </c>
      <c r="E1107" t="inlineStr">
        <is>
          <t>Small Business</t>
        </is>
      </c>
      <c r="F1107" t="inlineStr">
        <is>
          <t>Retail Store</t>
        </is>
      </c>
      <c r="G1107" t="inlineStr">
        <is>
          <t>Office Supplies</t>
        </is>
      </c>
      <c r="H1107" t="inlineStr">
        <is>
          <t>File Folder</t>
        </is>
      </c>
      <c r="I1107" t="n">
        <v>4</v>
      </c>
      <c r="J1107" s="12" t="n">
        <v>97.18000000000001</v>
      </c>
      <c r="K1107" s="13" t="n">
        <v>0</v>
      </c>
      <c r="L1107" s="12" t="n">
        <v>388.72</v>
      </c>
      <c r="M1107" s="12" t="n">
        <v>241.01</v>
      </c>
      <c r="N1107" s="12" t="n">
        <v>147.71</v>
      </c>
      <c r="O1107" t="inlineStr">
        <is>
          <t>Net Banking</t>
        </is>
      </c>
      <c r="P1107" t="inlineStr">
        <is>
          <t>Vivaan Gupta</t>
        </is>
      </c>
    </row>
    <row r="1108">
      <c r="A1108" t="inlineStr">
        <is>
          <t>ORD-2501-1107</t>
        </is>
      </c>
      <c r="B1108" s="11" t="n">
        <v>45677</v>
      </c>
      <c r="C1108" t="inlineStr">
        <is>
          <t>Central</t>
        </is>
      </c>
      <c r="D1108" t="inlineStr">
        <is>
          <t>Raipur</t>
        </is>
      </c>
      <c r="E1108" t="inlineStr">
        <is>
          <t>Small Business</t>
        </is>
      </c>
      <c r="F1108" t="inlineStr">
        <is>
          <t>Online</t>
        </is>
      </c>
      <c r="G1108" t="inlineStr">
        <is>
          <t>Furniture</t>
        </is>
      </c>
      <c r="H1108" t="inlineStr">
        <is>
          <t>Office Chair</t>
        </is>
      </c>
      <c r="I1108" t="n">
        <v>2</v>
      </c>
      <c r="J1108" s="12" t="n">
        <v>6966.5</v>
      </c>
      <c r="K1108" s="13" t="n">
        <v>0</v>
      </c>
      <c r="L1108" s="12" t="n">
        <v>13933</v>
      </c>
      <c r="M1108" s="12" t="n">
        <v>10031.76</v>
      </c>
      <c r="N1108" s="12" t="n">
        <v>3901.24</v>
      </c>
      <c r="O1108" t="inlineStr">
        <is>
          <t>Credit Card</t>
        </is>
      </c>
      <c r="P1108" t="inlineStr">
        <is>
          <t>Rohan Verma</t>
        </is>
      </c>
    </row>
    <row r="1109">
      <c r="A1109" t="inlineStr">
        <is>
          <t>ORD-2510-1108</t>
        </is>
      </c>
      <c r="B1109" s="11" t="n">
        <v>45949</v>
      </c>
      <c r="C1109" t="inlineStr">
        <is>
          <t>East</t>
        </is>
      </c>
      <c r="D1109" t="inlineStr">
        <is>
          <t>Bhubaneswar</t>
        </is>
      </c>
      <c r="E1109" t="inlineStr">
        <is>
          <t>Corporate</t>
        </is>
      </c>
      <c r="F1109" t="inlineStr">
        <is>
          <t>Online</t>
        </is>
      </c>
      <c r="G1109" t="inlineStr">
        <is>
          <t>Office Supplies</t>
        </is>
      </c>
      <c r="H1109" t="inlineStr">
        <is>
          <t>Stapler</t>
        </is>
      </c>
      <c r="I1109" t="n">
        <v>1</v>
      </c>
      <c r="J1109" s="12" t="n">
        <v>257.5</v>
      </c>
      <c r="K1109" s="13" t="n">
        <v>0.05</v>
      </c>
      <c r="L1109" s="12" t="n">
        <v>244.62</v>
      </c>
      <c r="M1109" s="12" t="n">
        <v>180.25</v>
      </c>
      <c r="N1109" s="12" t="n">
        <v>64.37</v>
      </c>
      <c r="O1109" t="inlineStr">
        <is>
          <t>Net Banking</t>
        </is>
      </c>
      <c r="P1109" t="inlineStr">
        <is>
          <t>Anaya Rao</t>
        </is>
      </c>
    </row>
    <row r="1110">
      <c r="A1110" t="inlineStr">
        <is>
          <t>ORD-2511-1109</t>
        </is>
      </c>
      <c r="B1110" s="11" t="n">
        <v>45984</v>
      </c>
      <c r="C1110" t="inlineStr">
        <is>
          <t>Central</t>
        </is>
      </c>
      <c r="D1110" t="inlineStr">
        <is>
          <t>Indore</t>
        </is>
      </c>
      <c r="E1110" t="inlineStr">
        <is>
          <t>Small Business</t>
        </is>
      </c>
      <c r="F1110" t="inlineStr">
        <is>
          <t>Partner</t>
        </is>
      </c>
      <c r="G1110" t="inlineStr">
        <is>
          <t>Furniture</t>
        </is>
      </c>
      <c r="H1110" t="inlineStr">
        <is>
          <t>Desk</t>
        </is>
      </c>
      <c r="I1110" t="n">
        <v>1</v>
      </c>
      <c r="J1110" s="12" t="n">
        <v>11088.66</v>
      </c>
      <c r="K1110" s="13" t="n">
        <v>0.15</v>
      </c>
      <c r="L1110" s="12" t="n">
        <v>9425.360000000001</v>
      </c>
      <c r="M1110" s="12" t="n">
        <v>8427.379999999999</v>
      </c>
      <c r="N1110" s="12" t="n">
        <v>997.98</v>
      </c>
      <c r="O1110" t="inlineStr">
        <is>
          <t>Net Banking</t>
        </is>
      </c>
      <c r="P1110" t="inlineStr">
        <is>
          <t>Diya Patel</t>
        </is>
      </c>
    </row>
    <row r="1111">
      <c r="A1111" t="inlineStr">
        <is>
          <t>ORD-2508-1110</t>
        </is>
      </c>
      <c r="B1111" s="11" t="n">
        <v>45883</v>
      </c>
      <c r="C1111" t="inlineStr">
        <is>
          <t>South</t>
        </is>
      </c>
      <c r="D1111" t="inlineStr">
        <is>
          <t>Hyderabad</t>
        </is>
      </c>
      <c r="E1111" t="inlineStr">
        <is>
          <t>Consumer</t>
        </is>
      </c>
      <c r="F1111" t="inlineStr">
        <is>
          <t>Partner</t>
        </is>
      </c>
      <c r="G1111" t="inlineStr">
        <is>
          <t>Office Supplies</t>
        </is>
      </c>
      <c r="H1111" t="inlineStr">
        <is>
          <t>File Folder</t>
        </is>
      </c>
      <c r="I1111" t="n">
        <v>5</v>
      </c>
      <c r="J1111" s="12" t="n">
        <v>89.93000000000001</v>
      </c>
      <c r="K1111" s="13" t="n">
        <v>0</v>
      </c>
      <c r="L1111" s="12" t="n">
        <v>449.65</v>
      </c>
      <c r="M1111" s="12" t="n">
        <v>278.78</v>
      </c>
      <c r="N1111" s="12" t="n">
        <v>170.87</v>
      </c>
      <c r="O1111" t="inlineStr">
        <is>
          <t>UPI</t>
        </is>
      </c>
      <c r="P1111" t="inlineStr">
        <is>
          <t>Kabir Singh</t>
        </is>
      </c>
    </row>
    <row r="1112">
      <c r="A1112" t="inlineStr">
        <is>
          <t>ORD-2511-1111</t>
        </is>
      </c>
      <c r="B1112" s="11" t="n">
        <v>45974</v>
      </c>
      <c r="C1112" t="inlineStr">
        <is>
          <t>North</t>
        </is>
      </c>
      <c r="D1112" t="inlineStr">
        <is>
          <t>Jaipur</t>
        </is>
      </c>
      <c r="E1112" t="inlineStr">
        <is>
          <t>Corporate</t>
        </is>
      </c>
      <c r="F1112" t="inlineStr">
        <is>
          <t>Partner</t>
        </is>
      </c>
      <c r="G1112" t="inlineStr">
        <is>
          <t>Technology</t>
        </is>
      </c>
      <c r="H1112" t="inlineStr">
        <is>
          <t>Monitor</t>
        </is>
      </c>
      <c r="I1112" t="n">
        <v>4</v>
      </c>
      <c r="J1112" s="12" t="n">
        <v>12513.44</v>
      </c>
      <c r="K1112" s="13" t="n">
        <v>0</v>
      </c>
      <c r="L1112" s="12" t="n">
        <v>50053.76</v>
      </c>
      <c r="M1112" s="12" t="n">
        <v>41044.08</v>
      </c>
      <c r="N1112" s="12" t="n">
        <v>9009.68</v>
      </c>
      <c r="O1112" t="inlineStr">
        <is>
          <t>Net Banking</t>
        </is>
      </c>
      <c r="P1112" t="inlineStr">
        <is>
          <t>Aarav Sharma</t>
        </is>
      </c>
    </row>
    <row r="1113">
      <c r="A1113" t="inlineStr">
        <is>
          <t>ORD-2510-1112</t>
        </is>
      </c>
      <c r="B1113" s="11" t="n">
        <v>45941</v>
      </c>
      <c r="C1113" t="inlineStr">
        <is>
          <t>South</t>
        </is>
      </c>
      <c r="D1113" t="inlineStr">
        <is>
          <t>Bengaluru</t>
        </is>
      </c>
      <c r="E1113" t="inlineStr">
        <is>
          <t>Corporate</t>
        </is>
      </c>
      <c r="F1113" t="inlineStr">
        <is>
          <t>Partner</t>
        </is>
      </c>
      <c r="G1113" t="inlineStr">
        <is>
          <t>Office Supplies</t>
        </is>
      </c>
      <c r="H1113" t="inlineStr">
        <is>
          <t>Paper Ream</t>
        </is>
      </c>
      <c r="I1113" t="n">
        <v>10</v>
      </c>
      <c r="J1113" s="12" t="n">
        <v>387.48</v>
      </c>
      <c r="K1113" s="13" t="n">
        <v>0.2</v>
      </c>
      <c r="L1113" s="12" t="n">
        <v>3099.84</v>
      </c>
      <c r="M1113" s="12" t="n">
        <v>2983.6</v>
      </c>
      <c r="N1113" s="12" t="n">
        <v>116.24</v>
      </c>
      <c r="O1113" t="inlineStr">
        <is>
          <t>Credit Card</t>
        </is>
      </c>
      <c r="P1113" t="inlineStr">
        <is>
          <t>Meera Joshi</t>
        </is>
      </c>
    </row>
    <row r="1114">
      <c r="A1114" t="inlineStr">
        <is>
          <t>ORD-2506-1113</t>
        </is>
      </c>
      <c r="B1114" s="11" t="n">
        <v>45837</v>
      </c>
      <c r="C1114" t="inlineStr">
        <is>
          <t>North</t>
        </is>
      </c>
      <c r="D1114" t="inlineStr">
        <is>
          <t>Delhi</t>
        </is>
      </c>
      <c r="E1114" t="inlineStr">
        <is>
          <t>Corporate</t>
        </is>
      </c>
      <c r="F1114" t="inlineStr">
        <is>
          <t>Partner</t>
        </is>
      </c>
      <c r="G1114" t="inlineStr">
        <is>
          <t>Furniture</t>
        </is>
      </c>
      <c r="H1114" t="inlineStr">
        <is>
          <t>Storage Cabinet</t>
        </is>
      </c>
      <c r="I1114" t="n">
        <v>3</v>
      </c>
      <c r="J1114" s="12" t="n">
        <v>8525.459999999999</v>
      </c>
      <c r="K1114" s="13" t="n">
        <v>0.1</v>
      </c>
      <c r="L1114" s="12" t="n">
        <v>23018.74</v>
      </c>
      <c r="M1114" s="12" t="n">
        <v>20461.1</v>
      </c>
      <c r="N1114" s="12" t="n">
        <v>2557.64</v>
      </c>
      <c r="O1114" t="inlineStr">
        <is>
          <t>Net Banking</t>
        </is>
      </c>
      <c r="P1114" t="inlineStr">
        <is>
          <t>Vivaan Gupta</t>
        </is>
      </c>
    </row>
    <row r="1115">
      <c r="A1115" t="inlineStr">
        <is>
          <t>ORD-2502-1114</t>
        </is>
      </c>
      <c r="B1115" s="11" t="n">
        <v>45694</v>
      </c>
      <c r="C1115" t="inlineStr">
        <is>
          <t>West</t>
        </is>
      </c>
      <c r="D1115" t="inlineStr">
        <is>
          <t>Ahmedabad</t>
        </is>
      </c>
      <c r="E1115" t="inlineStr">
        <is>
          <t>Corporate</t>
        </is>
      </c>
      <c r="F1115" t="inlineStr">
        <is>
          <t>Partner</t>
        </is>
      </c>
      <c r="G1115" t="inlineStr">
        <is>
          <t>Technology</t>
        </is>
      </c>
      <c r="H1115" t="inlineStr">
        <is>
          <t>Keyboard</t>
        </is>
      </c>
      <c r="I1115" t="n">
        <v>1</v>
      </c>
      <c r="J1115" s="12" t="n">
        <v>1368.7</v>
      </c>
      <c r="K1115" s="13" t="n">
        <v>0.1</v>
      </c>
      <c r="L1115" s="12" t="n">
        <v>1231.83</v>
      </c>
      <c r="M1115" s="12" t="n">
        <v>1026.53</v>
      </c>
      <c r="N1115" s="12" t="n">
        <v>205.3</v>
      </c>
      <c r="O1115" t="inlineStr">
        <is>
          <t>Net Banking</t>
        </is>
      </c>
      <c r="P1115" t="inlineStr">
        <is>
          <t>Anaya Rao</t>
        </is>
      </c>
    </row>
    <row r="1116">
      <c r="A1116" t="inlineStr">
        <is>
          <t>ORD-2505-1115</t>
        </is>
      </c>
      <c r="B1116" s="11" t="n">
        <v>45808</v>
      </c>
      <c r="C1116" t="inlineStr">
        <is>
          <t>Central</t>
        </is>
      </c>
      <c r="D1116" t="inlineStr">
        <is>
          <t>Bhopal</t>
        </is>
      </c>
      <c r="E1116" t="inlineStr">
        <is>
          <t>Small Business</t>
        </is>
      </c>
      <c r="F1116" t="inlineStr">
        <is>
          <t>Online</t>
        </is>
      </c>
      <c r="G1116" t="inlineStr">
        <is>
          <t>Technology</t>
        </is>
      </c>
      <c r="H1116" t="inlineStr">
        <is>
          <t>Keyboard</t>
        </is>
      </c>
      <c r="I1116" t="n">
        <v>2</v>
      </c>
      <c r="J1116" s="12" t="n">
        <v>1321.61</v>
      </c>
      <c r="K1116" s="13" t="n">
        <v>0.05</v>
      </c>
      <c r="L1116" s="12" t="n">
        <v>2511.06</v>
      </c>
      <c r="M1116" s="12" t="n">
        <v>1982.41</v>
      </c>
      <c r="N1116" s="12" t="n">
        <v>528.65</v>
      </c>
      <c r="O1116" t="inlineStr">
        <is>
          <t>Credit Card</t>
        </is>
      </c>
      <c r="P1116" t="inlineStr">
        <is>
          <t>Meera Joshi</t>
        </is>
      </c>
    </row>
    <row r="1117">
      <c r="A1117" t="inlineStr">
        <is>
          <t>ORD-2506-1116</t>
        </is>
      </c>
      <c r="B1117" s="11" t="n">
        <v>45818</v>
      </c>
      <c r="C1117" t="inlineStr">
        <is>
          <t>Central</t>
        </is>
      </c>
      <c r="D1117" t="inlineStr">
        <is>
          <t>Raipur</t>
        </is>
      </c>
      <c r="E1117" t="inlineStr">
        <is>
          <t>Consumer</t>
        </is>
      </c>
      <c r="F1117" t="inlineStr">
        <is>
          <t>Retail Store</t>
        </is>
      </c>
      <c r="G1117" t="inlineStr">
        <is>
          <t>Technology</t>
        </is>
      </c>
      <c r="H1117" t="inlineStr">
        <is>
          <t>Printer</t>
        </is>
      </c>
      <c r="I1117" t="n">
        <v>2</v>
      </c>
      <c r="J1117" s="12" t="n">
        <v>9738.73</v>
      </c>
      <c r="K1117" s="13" t="n">
        <v>0.1</v>
      </c>
      <c r="L1117" s="12" t="n">
        <v>17529.71</v>
      </c>
      <c r="M1117" s="12" t="n">
        <v>16361.07</v>
      </c>
      <c r="N1117" s="12" t="n">
        <v>1168.64</v>
      </c>
      <c r="O1117" t="inlineStr">
        <is>
          <t>Credit Card</t>
        </is>
      </c>
      <c r="P1117" t="inlineStr">
        <is>
          <t>Diya Patel</t>
        </is>
      </c>
    </row>
    <row r="1118">
      <c r="A1118" t="inlineStr">
        <is>
          <t>ORD-2504-1117</t>
        </is>
      </c>
      <c r="B1118" s="11" t="n">
        <v>45772</v>
      </c>
      <c r="C1118" t="inlineStr">
        <is>
          <t>Central</t>
        </is>
      </c>
      <c r="D1118" t="inlineStr">
        <is>
          <t>Nagpur</t>
        </is>
      </c>
      <c r="E1118" t="inlineStr">
        <is>
          <t>Consumer</t>
        </is>
      </c>
      <c r="F1118" t="inlineStr">
        <is>
          <t>Partner</t>
        </is>
      </c>
      <c r="G1118" t="inlineStr">
        <is>
          <t>Furniture</t>
        </is>
      </c>
      <c r="H1118" t="inlineStr">
        <is>
          <t>Storage Cabinet</t>
        </is>
      </c>
      <c r="I1118" t="n">
        <v>4</v>
      </c>
      <c r="J1118" s="12" t="n">
        <v>8939.530000000001</v>
      </c>
      <c r="K1118" s="13" t="n">
        <v>0.15</v>
      </c>
      <c r="L1118" s="12" t="n">
        <v>30394.4</v>
      </c>
      <c r="M1118" s="12" t="n">
        <v>28606.5</v>
      </c>
      <c r="N1118" s="12" t="n">
        <v>1787.9</v>
      </c>
      <c r="O1118" t="inlineStr">
        <is>
          <t>Debit Card</t>
        </is>
      </c>
      <c r="P1118" t="inlineStr">
        <is>
          <t>Anaya Rao</t>
        </is>
      </c>
    </row>
    <row r="1119">
      <c r="A1119" t="inlineStr">
        <is>
          <t>ORD-2506-1118</t>
        </is>
      </c>
      <c r="B1119" s="11" t="n">
        <v>45820</v>
      </c>
      <c r="C1119" t="inlineStr">
        <is>
          <t>East</t>
        </is>
      </c>
      <c r="D1119" t="inlineStr">
        <is>
          <t>Patna</t>
        </is>
      </c>
      <c r="E1119" t="inlineStr">
        <is>
          <t>Corporate</t>
        </is>
      </c>
      <c r="F1119" t="inlineStr">
        <is>
          <t>Online</t>
        </is>
      </c>
      <c r="G1119" t="inlineStr">
        <is>
          <t>Office Supplies</t>
        </is>
      </c>
      <c r="H1119" t="inlineStr">
        <is>
          <t>Stapler</t>
        </is>
      </c>
      <c r="I1119" t="n">
        <v>3</v>
      </c>
      <c r="J1119" s="12" t="n">
        <v>252.87</v>
      </c>
      <c r="K1119" s="13" t="n">
        <v>0.15</v>
      </c>
      <c r="L1119" s="12" t="n">
        <v>644.8200000000001</v>
      </c>
      <c r="M1119" s="12" t="n">
        <v>531.03</v>
      </c>
      <c r="N1119" s="12" t="n">
        <v>113.79</v>
      </c>
      <c r="O1119" t="inlineStr">
        <is>
          <t>Debit Card</t>
        </is>
      </c>
      <c r="P1119" t="inlineStr">
        <is>
          <t>Sara Khan</t>
        </is>
      </c>
    </row>
    <row r="1120">
      <c r="A1120" t="inlineStr">
        <is>
          <t>ORD-2503-1119</t>
        </is>
      </c>
      <c r="B1120" s="11" t="n">
        <v>45717</v>
      </c>
      <c r="C1120" t="inlineStr">
        <is>
          <t>South</t>
        </is>
      </c>
      <c r="D1120" t="inlineStr">
        <is>
          <t>Kochi</t>
        </is>
      </c>
      <c r="E1120" t="inlineStr">
        <is>
          <t>Small Business</t>
        </is>
      </c>
      <c r="F1120" t="inlineStr">
        <is>
          <t>Partner</t>
        </is>
      </c>
      <c r="G1120" t="inlineStr">
        <is>
          <t>Office Supplies</t>
        </is>
      </c>
      <c r="H1120" t="inlineStr">
        <is>
          <t>Paper Ream</t>
        </is>
      </c>
      <c r="I1120" t="n">
        <v>8</v>
      </c>
      <c r="J1120" s="12" t="n">
        <v>391.76</v>
      </c>
      <c r="K1120" s="13" t="n">
        <v>0.05</v>
      </c>
      <c r="L1120" s="12" t="n">
        <v>2977.38</v>
      </c>
      <c r="M1120" s="12" t="n">
        <v>2413.24</v>
      </c>
      <c r="N1120" s="12" t="n">
        <v>564.14</v>
      </c>
      <c r="O1120" t="inlineStr">
        <is>
          <t>Credit Card</t>
        </is>
      </c>
      <c r="P1120" t="inlineStr">
        <is>
          <t>Sara Khan</t>
        </is>
      </c>
    </row>
    <row r="1121">
      <c r="A1121" t="inlineStr">
        <is>
          <t>ORD-2512-1120</t>
        </is>
      </c>
      <c r="B1121" s="11" t="n">
        <v>45992</v>
      </c>
      <c r="C1121" t="inlineStr">
        <is>
          <t>West</t>
        </is>
      </c>
      <c r="D1121" t="inlineStr">
        <is>
          <t>Pune</t>
        </is>
      </c>
      <c r="E1121" t="inlineStr">
        <is>
          <t>Consumer</t>
        </is>
      </c>
      <c r="F1121" t="inlineStr">
        <is>
          <t>Partner</t>
        </is>
      </c>
      <c r="G1121" t="inlineStr">
        <is>
          <t>Furniture</t>
        </is>
      </c>
      <c r="H1121" t="inlineStr">
        <is>
          <t>Bookshelf</t>
        </is>
      </c>
      <c r="I1121" t="n">
        <v>5</v>
      </c>
      <c r="J1121" s="12" t="n">
        <v>5472.75</v>
      </c>
      <c r="K1121" s="13" t="n">
        <v>0</v>
      </c>
      <c r="L1121" s="12" t="n">
        <v>27363.75</v>
      </c>
      <c r="M1121" s="12" t="n">
        <v>20249.17</v>
      </c>
      <c r="N1121" s="12" t="n">
        <v>7114.58</v>
      </c>
      <c r="O1121" t="inlineStr">
        <is>
          <t>UPI</t>
        </is>
      </c>
      <c r="P1121" t="inlineStr">
        <is>
          <t>Vivaan Gupta</t>
        </is>
      </c>
    </row>
    <row r="1122">
      <c r="A1122" t="inlineStr">
        <is>
          <t>ORD-2512-1121</t>
        </is>
      </c>
      <c r="B1122" s="11" t="n">
        <v>46003</v>
      </c>
      <c r="C1122" t="inlineStr">
        <is>
          <t>Central</t>
        </is>
      </c>
      <c r="D1122" t="inlineStr">
        <is>
          <t>Indore</t>
        </is>
      </c>
      <c r="E1122" t="inlineStr">
        <is>
          <t>Consumer</t>
        </is>
      </c>
      <c r="F1122" t="inlineStr">
        <is>
          <t>Retail Store</t>
        </is>
      </c>
      <c r="G1122" t="inlineStr">
        <is>
          <t>Office Supplies</t>
        </is>
      </c>
      <c r="H1122" t="inlineStr">
        <is>
          <t>Notebook Pack</t>
        </is>
      </c>
      <c r="I1122" t="n">
        <v>2</v>
      </c>
      <c r="J1122" s="12" t="n">
        <v>339.58</v>
      </c>
      <c r="K1122" s="13" t="n">
        <v>0.05</v>
      </c>
      <c r="L1122" s="12" t="n">
        <v>645.2</v>
      </c>
      <c r="M1122" s="12" t="n">
        <v>461.83</v>
      </c>
      <c r="N1122" s="12" t="n">
        <v>183.37</v>
      </c>
      <c r="O1122" t="inlineStr">
        <is>
          <t>Debit Card</t>
        </is>
      </c>
      <c r="P1122" t="inlineStr">
        <is>
          <t>Kabir Singh</t>
        </is>
      </c>
    </row>
    <row r="1123">
      <c r="A1123" t="inlineStr">
        <is>
          <t>ORD-2510-1122</t>
        </is>
      </c>
      <c r="B1123" s="11" t="n">
        <v>45952</v>
      </c>
      <c r="C1123" t="inlineStr">
        <is>
          <t>West</t>
        </is>
      </c>
      <c r="D1123" t="inlineStr">
        <is>
          <t>Pune</t>
        </is>
      </c>
      <c r="E1123" t="inlineStr">
        <is>
          <t>Corporate</t>
        </is>
      </c>
      <c r="F1123" t="inlineStr">
        <is>
          <t>Partner</t>
        </is>
      </c>
      <c r="G1123" t="inlineStr">
        <is>
          <t>Technology</t>
        </is>
      </c>
      <c r="H1123" t="inlineStr">
        <is>
          <t>Keyboard</t>
        </is>
      </c>
      <c r="I1123" t="n">
        <v>6</v>
      </c>
      <c r="J1123" s="12" t="n">
        <v>1315.06</v>
      </c>
      <c r="K1123" s="13" t="n">
        <v>0</v>
      </c>
      <c r="L1123" s="12" t="n">
        <v>7890.36</v>
      </c>
      <c r="M1123" s="12" t="n">
        <v>5917.77</v>
      </c>
      <c r="N1123" s="12" t="n">
        <v>1972.59</v>
      </c>
      <c r="O1123" t="inlineStr">
        <is>
          <t>Debit Card</t>
        </is>
      </c>
      <c r="P1123" t="inlineStr">
        <is>
          <t>Diya Patel</t>
        </is>
      </c>
    </row>
    <row r="1124">
      <c r="A1124" t="inlineStr">
        <is>
          <t>ORD-2503-1123</t>
        </is>
      </c>
      <c r="B1124" s="11" t="n">
        <v>45722</v>
      </c>
      <c r="C1124" t="inlineStr">
        <is>
          <t>North</t>
        </is>
      </c>
      <c r="D1124" t="inlineStr">
        <is>
          <t>Lucknow</t>
        </is>
      </c>
      <c r="E1124" t="inlineStr">
        <is>
          <t>Small Business</t>
        </is>
      </c>
      <c r="F1124" t="inlineStr">
        <is>
          <t>Retail Store</t>
        </is>
      </c>
      <c r="G1124" t="inlineStr">
        <is>
          <t>Technology</t>
        </is>
      </c>
      <c r="H1124" t="inlineStr">
        <is>
          <t>Laptop</t>
        </is>
      </c>
      <c r="I1124" t="n">
        <v>4</v>
      </c>
      <c r="J1124" s="12" t="n">
        <v>39529.58</v>
      </c>
      <c r="K1124" s="13" t="n">
        <v>0.2</v>
      </c>
      <c r="L1124" s="12" t="n">
        <v>126494.66</v>
      </c>
      <c r="M1124" s="12" t="n">
        <v>139144.12</v>
      </c>
      <c r="N1124" s="12" t="n">
        <v>-12649.46</v>
      </c>
      <c r="O1124" t="inlineStr">
        <is>
          <t>Debit Card</t>
        </is>
      </c>
      <c r="P1124" t="inlineStr">
        <is>
          <t>Sara Khan</t>
        </is>
      </c>
    </row>
    <row r="1125">
      <c r="A1125" t="inlineStr">
        <is>
          <t>ORD-2503-1124</t>
        </is>
      </c>
      <c r="B1125" s="11" t="n">
        <v>45723</v>
      </c>
      <c r="C1125" t="inlineStr">
        <is>
          <t>West</t>
        </is>
      </c>
      <c r="D1125" t="inlineStr">
        <is>
          <t>Pune</t>
        </is>
      </c>
      <c r="E1125" t="inlineStr">
        <is>
          <t>Corporate</t>
        </is>
      </c>
      <c r="F1125" t="inlineStr">
        <is>
          <t>Partner</t>
        </is>
      </c>
      <c r="G1125" t="inlineStr">
        <is>
          <t>Office Supplies</t>
        </is>
      </c>
      <c r="H1125" t="inlineStr">
        <is>
          <t>Paper Ream</t>
        </is>
      </c>
      <c r="I1125" t="n">
        <v>2</v>
      </c>
      <c r="J1125" s="12" t="n">
        <v>441.82</v>
      </c>
      <c r="K1125" s="13" t="n">
        <v>0.05</v>
      </c>
      <c r="L1125" s="12" t="n">
        <v>839.46</v>
      </c>
      <c r="M1125" s="12" t="n">
        <v>680.4</v>
      </c>
      <c r="N1125" s="12" t="n">
        <v>159.06</v>
      </c>
      <c r="O1125" t="inlineStr">
        <is>
          <t>Cash</t>
        </is>
      </c>
      <c r="P1125" t="inlineStr">
        <is>
          <t>Diya Patel</t>
        </is>
      </c>
    </row>
    <row r="1126">
      <c r="A1126" t="inlineStr">
        <is>
          <t>ORD-2501-1125</t>
        </is>
      </c>
      <c r="B1126" s="11" t="n">
        <v>45681</v>
      </c>
      <c r="C1126" t="inlineStr">
        <is>
          <t>North</t>
        </is>
      </c>
      <c r="D1126" t="inlineStr">
        <is>
          <t>Chandigarh</t>
        </is>
      </c>
      <c r="E1126" t="inlineStr">
        <is>
          <t>Corporate</t>
        </is>
      </c>
      <c r="F1126" t="inlineStr">
        <is>
          <t>Retail Store</t>
        </is>
      </c>
      <c r="G1126" t="inlineStr">
        <is>
          <t>Furniture</t>
        </is>
      </c>
      <c r="H1126" t="inlineStr">
        <is>
          <t>Bookshelf</t>
        </is>
      </c>
      <c r="I1126" t="n">
        <v>6</v>
      </c>
      <c r="J1126" s="12" t="n">
        <v>5400.26</v>
      </c>
      <c r="K1126" s="13" t="n">
        <v>0.1</v>
      </c>
      <c r="L1126" s="12" t="n">
        <v>29161.4</v>
      </c>
      <c r="M1126" s="12" t="n">
        <v>23977.15</v>
      </c>
      <c r="N1126" s="12" t="n">
        <v>5184.25</v>
      </c>
      <c r="O1126" t="inlineStr">
        <is>
          <t>Debit Card</t>
        </is>
      </c>
      <c r="P1126" t="inlineStr">
        <is>
          <t>Kabir Singh</t>
        </is>
      </c>
    </row>
    <row r="1127">
      <c r="A1127" t="inlineStr">
        <is>
          <t>ORD-2504-1126</t>
        </is>
      </c>
      <c r="B1127" s="11" t="n">
        <v>45751</v>
      </c>
      <c r="C1127" t="inlineStr">
        <is>
          <t>Central</t>
        </is>
      </c>
      <c r="D1127" t="inlineStr">
        <is>
          <t>Bhopal</t>
        </is>
      </c>
      <c r="E1127" t="inlineStr">
        <is>
          <t>Small Business</t>
        </is>
      </c>
      <c r="F1127" t="inlineStr">
        <is>
          <t>Retail Store</t>
        </is>
      </c>
      <c r="G1127" t="inlineStr">
        <is>
          <t>Technology</t>
        </is>
      </c>
      <c r="H1127" t="inlineStr">
        <is>
          <t>Keyboard</t>
        </is>
      </c>
      <c r="I1127" t="n">
        <v>6</v>
      </c>
      <c r="J1127" s="12" t="n">
        <v>1370.85</v>
      </c>
      <c r="K1127" s="13" t="n">
        <v>0.1</v>
      </c>
      <c r="L1127" s="12" t="n">
        <v>7402.59</v>
      </c>
      <c r="M1127" s="12" t="n">
        <v>6168.82</v>
      </c>
      <c r="N1127" s="12" t="n">
        <v>1233.77</v>
      </c>
      <c r="O1127" t="inlineStr">
        <is>
          <t>Debit Card</t>
        </is>
      </c>
      <c r="P1127" t="inlineStr">
        <is>
          <t>Sara Khan</t>
        </is>
      </c>
    </row>
    <row r="1128">
      <c r="A1128" t="inlineStr">
        <is>
          <t>ORD-2508-1127</t>
        </is>
      </c>
      <c r="B1128" s="11" t="n">
        <v>45882</v>
      </c>
      <c r="C1128" t="inlineStr">
        <is>
          <t>South</t>
        </is>
      </c>
      <c r="D1128" t="inlineStr">
        <is>
          <t>Hyderabad</t>
        </is>
      </c>
      <c r="E1128" t="inlineStr">
        <is>
          <t>Small Business</t>
        </is>
      </c>
      <c r="F1128" t="inlineStr">
        <is>
          <t>Partner</t>
        </is>
      </c>
      <c r="G1128" t="inlineStr">
        <is>
          <t>Office Supplies</t>
        </is>
      </c>
      <c r="H1128" t="inlineStr">
        <is>
          <t>File Folder</t>
        </is>
      </c>
      <c r="I1128" t="n">
        <v>1</v>
      </c>
      <c r="J1128" s="12" t="n">
        <v>87.70999999999999</v>
      </c>
      <c r="K1128" s="13" t="n">
        <v>0.05</v>
      </c>
      <c r="L1128" s="12" t="n">
        <v>83.31999999999999</v>
      </c>
      <c r="M1128" s="12" t="n">
        <v>54.38</v>
      </c>
      <c r="N1128" s="12" t="n">
        <v>28.94</v>
      </c>
      <c r="O1128" t="inlineStr">
        <is>
          <t>Cash</t>
        </is>
      </c>
      <c r="P1128" t="inlineStr">
        <is>
          <t>Vivaan Gupta</t>
        </is>
      </c>
    </row>
    <row r="1129">
      <c r="A1129" t="inlineStr">
        <is>
          <t>ORD-2505-1128</t>
        </is>
      </c>
      <c r="B1129" s="11" t="n">
        <v>45804</v>
      </c>
      <c r="C1129" t="inlineStr">
        <is>
          <t>East</t>
        </is>
      </c>
      <c r="D1129" t="inlineStr">
        <is>
          <t>Guwahati</t>
        </is>
      </c>
      <c r="E1129" t="inlineStr">
        <is>
          <t>Small Business</t>
        </is>
      </c>
      <c r="F1129" t="inlineStr">
        <is>
          <t>Partner</t>
        </is>
      </c>
      <c r="G1129" t="inlineStr">
        <is>
          <t>Furniture</t>
        </is>
      </c>
      <c r="H1129" t="inlineStr">
        <is>
          <t>Office Chair</t>
        </is>
      </c>
      <c r="I1129" t="n">
        <v>4</v>
      </c>
      <c r="J1129" s="12" t="n">
        <v>6301.62</v>
      </c>
      <c r="K1129" s="13" t="n">
        <v>0.2</v>
      </c>
      <c r="L1129" s="12" t="n">
        <v>20165.18</v>
      </c>
      <c r="M1129" s="12" t="n">
        <v>18148.67</v>
      </c>
      <c r="N1129" s="12" t="n">
        <v>2016.51</v>
      </c>
      <c r="O1129" t="inlineStr">
        <is>
          <t>UPI</t>
        </is>
      </c>
      <c r="P1129" t="inlineStr">
        <is>
          <t>Vivaan Gupta</t>
        </is>
      </c>
    </row>
    <row r="1130">
      <c r="A1130" t="inlineStr">
        <is>
          <t>ORD-2509-1129</t>
        </is>
      </c>
      <c r="B1130" s="11" t="n">
        <v>45923</v>
      </c>
      <c r="C1130" t="inlineStr">
        <is>
          <t>East</t>
        </is>
      </c>
      <c r="D1130" t="inlineStr">
        <is>
          <t>Bhubaneswar</t>
        </is>
      </c>
      <c r="E1130" t="inlineStr">
        <is>
          <t>Corporate</t>
        </is>
      </c>
      <c r="F1130" t="inlineStr">
        <is>
          <t>Retail Store</t>
        </is>
      </c>
      <c r="G1130" t="inlineStr">
        <is>
          <t>Technology</t>
        </is>
      </c>
      <c r="H1130" t="inlineStr">
        <is>
          <t>Monitor</t>
        </is>
      </c>
      <c r="I1130" t="n">
        <v>2</v>
      </c>
      <c r="J1130" s="12" t="n">
        <v>12075.69</v>
      </c>
      <c r="K1130" s="13" t="n">
        <v>0</v>
      </c>
      <c r="L1130" s="12" t="n">
        <v>24151.38</v>
      </c>
      <c r="M1130" s="12" t="n">
        <v>19804.13</v>
      </c>
      <c r="N1130" s="12" t="n">
        <v>4347.25</v>
      </c>
      <c r="O1130" t="inlineStr">
        <is>
          <t>UPI</t>
        </is>
      </c>
      <c r="P1130" t="inlineStr">
        <is>
          <t>Kabir Singh</t>
        </is>
      </c>
    </row>
    <row r="1131">
      <c r="A1131" t="inlineStr">
        <is>
          <t>ORD-2505-1130</t>
        </is>
      </c>
      <c r="B1131" s="11" t="n">
        <v>45805</v>
      </c>
      <c r="C1131" t="inlineStr">
        <is>
          <t>East</t>
        </is>
      </c>
      <c r="D1131" t="inlineStr">
        <is>
          <t>Kolkata</t>
        </is>
      </c>
      <c r="E1131" t="inlineStr">
        <is>
          <t>Small Business</t>
        </is>
      </c>
      <c r="F1131" t="inlineStr">
        <is>
          <t>Online</t>
        </is>
      </c>
      <c r="G1131" t="inlineStr">
        <is>
          <t>Technology</t>
        </is>
      </c>
      <c r="H1131" t="inlineStr">
        <is>
          <t>Printer</t>
        </is>
      </c>
      <c r="I1131" t="n">
        <v>4</v>
      </c>
      <c r="J1131" s="12" t="n">
        <v>9054.4</v>
      </c>
      <c r="K1131" s="13" t="n">
        <v>0</v>
      </c>
      <c r="L1131" s="12" t="n">
        <v>36217.6</v>
      </c>
      <c r="M1131" s="12" t="n">
        <v>30422.78</v>
      </c>
      <c r="N1131" s="12" t="n">
        <v>5794.82</v>
      </c>
      <c r="O1131" t="inlineStr">
        <is>
          <t>Credit Card</t>
        </is>
      </c>
      <c r="P1131" t="inlineStr">
        <is>
          <t>Aarav Sharma</t>
        </is>
      </c>
    </row>
    <row r="1132">
      <c r="A1132" t="inlineStr">
        <is>
          <t>ORD-2510-1131</t>
        </is>
      </c>
      <c r="B1132" s="11" t="n">
        <v>45934</v>
      </c>
      <c r="C1132" t="inlineStr">
        <is>
          <t>Central</t>
        </is>
      </c>
      <c r="D1132" t="inlineStr">
        <is>
          <t>Indore</t>
        </is>
      </c>
      <c r="E1132" t="inlineStr">
        <is>
          <t>Corporate</t>
        </is>
      </c>
      <c r="F1132" t="inlineStr">
        <is>
          <t>Partner</t>
        </is>
      </c>
      <c r="G1132" t="inlineStr">
        <is>
          <t>Technology</t>
        </is>
      </c>
      <c r="H1132" t="inlineStr">
        <is>
          <t>Laptop</t>
        </is>
      </c>
      <c r="I1132" t="n">
        <v>3</v>
      </c>
      <c r="J1132" s="12" t="n">
        <v>41123.31</v>
      </c>
      <c r="K1132" s="13" t="n">
        <v>0.15</v>
      </c>
      <c r="L1132" s="12" t="n">
        <v>104864.44</v>
      </c>
      <c r="M1132" s="12" t="n">
        <v>108565.54</v>
      </c>
      <c r="N1132" s="12" t="n">
        <v>-3701.1</v>
      </c>
      <c r="O1132" t="inlineStr">
        <is>
          <t>Debit Card</t>
        </is>
      </c>
      <c r="P1132" t="inlineStr">
        <is>
          <t>Anaya Rao</t>
        </is>
      </c>
    </row>
    <row r="1133">
      <c r="A1133" t="inlineStr">
        <is>
          <t>ORD-2509-1132</t>
        </is>
      </c>
      <c r="B1133" s="11" t="n">
        <v>45924</v>
      </c>
      <c r="C1133" t="inlineStr">
        <is>
          <t>South</t>
        </is>
      </c>
      <c r="D1133" t="inlineStr">
        <is>
          <t>Kochi</t>
        </is>
      </c>
      <c r="E1133" t="inlineStr">
        <is>
          <t>Consumer</t>
        </is>
      </c>
      <c r="F1133" t="inlineStr">
        <is>
          <t>Retail Store</t>
        </is>
      </c>
      <c r="G1133" t="inlineStr">
        <is>
          <t>Technology</t>
        </is>
      </c>
      <c r="H1133" t="inlineStr">
        <is>
          <t>Headphones</t>
        </is>
      </c>
      <c r="I1133" t="n">
        <v>6</v>
      </c>
      <c r="J1133" s="12" t="n">
        <v>2347.55</v>
      </c>
      <c r="K1133" s="13" t="n">
        <v>0.1</v>
      </c>
      <c r="L1133" s="12" t="n">
        <v>12676.77</v>
      </c>
      <c r="M1133" s="12" t="n">
        <v>10986.53</v>
      </c>
      <c r="N1133" s="12" t="n">
        <v>1690.24</v>
      </c>
      <c r="O1133" t="inlineStr">
        <is>
          <t>Debit Card</t>
        </is>
      </c>
      <c r="P1133" t="inlineStr">
        <is>
          <t>Anaya Rao</t>
        </is>
      </c>
    </row>
    <row r="1134">
      <c r="A1134" t="inlineStr">
        <is>
          <t>ORD-2505-1133</t>
        </is>
      </c>
      <c r="B1134" s="11" t="n">
        <v>45792</v>
      </c>
      <c r="C1134" t="inlineStr">
        <is>
          <t>North</t>
        </is>
      </c>
      <c r="D1134" t="inlineStr">
        <is>
          <t>Jaipur</t>
        </is>
      </c>
      <c r="E1134" t="inlineStr">
        <is>
          <t>Consumer</t>
        </is>
      </c>
      <c r="F1134" t="inlineStr">
        <is>
          <t>Partner</t>
        </is>
      </c>
      <c r="G1134" t="inlineStr">
        <is>
          <t>Technology</t>
        </is>
      </c>
      <c r="H1134" t="inlineStr">
        <is>
          <t>Headphones</t>
        </is>
      </c>
      <c r="I1134" t="n">
        <v>4</v>
      </c>
      <c r="J1134" s="12" t="n">
        <v>2148.51</v>
      </c>
      <c r="K1134" s="13" t="n">
        <v>0</v>
      </c>
      <c r="L1134" s="12" t="n">
        <v>8594.040000000001</v>
      </c>
      <c r="M1134" s="12" t="n">
        <v>6703.35</v>
      </c>
      <c r="N1134" s="12" t="n">
        <v>1890.69</v>
      </c>
      <c r="O1134" t="inlineStr">
        <is>
          <t>UPI</t>
        </is>
      </c>
      <c r="P1134" t="inlineStr">
        <is>
          <t>Diya Patel</t>
        </is>
      </c>
    </row>
    <row r="1135">
      <c r="A1135" t="inlineStr">
        <is>
          <t>ORD-2506-1134</t>
        </is>
      </c>
      <c r="B1135" s="11" t="n">
        <v>45825</v>
      </c>
      <c r="C1135" t="inlineStr">
        <is>
          <t>South</t>
        </is>
      </c>
      <c r="D1135" t="inlineStr">
        <is>
          <t>Hyderabad</t>
        </is>
      </c>
      <c r="E1135" t="inlineStr">
        <is>
          <t>Consumer</t>
        </is>
      </c>
      <c r="F1135" t="inlineStr">
        <is>
          <t>Partner</t>
        </is>
      </c>
      <c r="G1135" t="inlineStr">
        <is>
          <t>Technology</t>
        </is>
      </c>
      <c r="H1135" t="inlineStr">
        <is>
          <t>Headphones</t>
        </is>
      </c>
      <c r="I1135" t="n">
        <v>3</v>
      </c>
      <c r="J1135" s="12" t="n">
        <v>2260.57</v>
      </c>
      <c r="K1135" s="13" t="n">
        <v>0.1</v>
      </c>
      <c r="L1135" s="12" t="n">
        <v>6103.54</v>
      </c>
      <c r="M1135" s="12" t="n">
        <v>5289.73</v>
      </c>
      <c r="N1135" s="12" t="n">
        <v>813.8099999999999</v>
      </c>
      <c r="O1135" t="inlineStr">
        <is>
          <t>Net Banking</t>
        </is>
      </c>
      <c r="P1135" t="inlineStr">
        <is>
          <t>Aarav Sharma</t>
        </is>
      </c>
    </row>
    <row r="1136">
      <c r="A1136" t="inlineStr">
        <is>
          <t>ORD-2508-1135</t>
        </is>
      </c>
      <c r="B1136" s="11" t="n">
        <v>45879</v>
      </c>
      <c r="C1136" t="inlineStr">
        <is>
          <t>North</t>
        </is>
      </c>
      <c r="D1136" t="inlineStr">
        <is>
          <t>Chandigarh</t>
        </is>
      </c>
      <c r="E1136" t="inlineStr">
        <is>
          <t>Consumer</t>
        </is>
      </c>
      <c r="F1136" t="inlineStr">
        <is>
          <t>Partner</t>
        </is>
      </c>
      <c r="G1136" t="inlineStr">
        <is>
          <t>Technology</t>
        </is>
      </c>
      <c r="H1136" t="inlineStr">
        <is>
          <t>Printer</t>
        </is>
      </c>
      <c r="I1136" t="n">
        <v>5</v>
      </c>
      <c r="J1136" s="12" t="n">
        <v>10073.91</v>
      </c>
      <c r="K1136" s="13" t="n">
        <v>0.1</v>
      </c>
      <c r="L1136" s="12" t="n">
        <v>45332.6</v>
      </c>
      <c r="M1136" s="12" t="n">
        <v>42310.42</v>
      </c>
      <c r="N1136" s="12" t="n">
        <v>3022.18</v>
      </c>
      <c r="O1136" t="inlineStr">
        <is>
          <t>Credit Card</t>
        </is>
      </c>
      <c r="P1136" t="inlineStr">
        <is>
          <t>Meera Joshi</t>
        </is>
      </c>
    </row>
    <row r="1137">
      <c r="A1137" t="inlineStr">
        <is>
          <t>ORD-2503-1136</t>
        </is>
      </c>
      <c r="B1137" s="11" t="n">
        <v>45728</v>
      </c>
      <c r="C1137" t="inlineStr">
        <is>
          <t>Central</t>
        </is>
      </c>
      <c r="D1137" t="inlineStr">
        <is>
          <t>Nagpur</t>
        </is>
      </c>
      <c r="E1137" t="inlineStr">
        <is>
          <t>Consumer</t>
        </is>
      </c>
      <c r="F1137" t="inlineStr">
        <is>
          <t>Retail Store</t>
        </is>
      </c>
      <c r="G1137" t="inlineStr">
        <is>
          <t>Office Supplies</t>
        </is>
      </c>
      <c r="H1137" t="inlineStr">
        <is>
          <t>Stapler</t>
        </is>
      </c>
      <c r="I1137" t="n">
        <v>8</v>
      </c>
      <c r="J1137" s="12" t="n">
        <v>250.24</v>
      </c>
      <c r="K1137" s="13" t="n">
        <v>0.1</v>
      </c>
      <c r="L1137" s="12" t="n">
        <v>1801.73</v>
      </c>
      <c r="M1137" s="12" t="n">
        <v>1401.34</v>
      </c>
      <c r="N1137" s="12" t="n">
        <v>400.39</v>
      </c>
      <c r="O1137" t="inlineStr">
        <is>
          <t>UPI</t>
        </is>
      </c>
      <c r="P1137" t="inlineStr">
        <is>
          <t>Anaya Rao</t>
        </is>
      </c>
    </row>
    <row r="1138">
      <c r="A1138" t="inlineStr">
        <is>
          <t>ORD-2505-1137</t>
        </is>
      </c>
      <c r="B1138" s="11" t="n">
        <v>45802</v>
      </c>
      <c r="C1138" t="inlineStr">
        <is>
          <t>South</t>
        </is>
      </c>
      <c r="D1138" t="inlineStr">
        <is>
          <t>Chennai</t>
        </is>
      </c>
      <c r="E1138" t="inlineStr">
        <is>
          <t>Small Business</t>
        </is>
      </c>
      <c r="F1138" t="inlineStr">
        <is>
          <t>Online</t>
        </is>
      </c>
      <c r="G1138" t="inlineStr">
        <is>
          <t>Office Supplies</t>
        </is>
      </c>
      <c r="H1138" t="inlineStr">
        <is>
          <t>Pens Box</t>
        </is>
      </c>
      <c r="I1138" t="n">
        <v>6</v>
      </c>
      <c r="J1138" s="12" t="n">
        <v>190.29</v>
      </c>
      <c r="K1138" s="13" t="n">
        <v>0.2</v>
      </c>
      <c r="L1138" s="12" t="n">
        <v>913.39</v>
      </c>
      <c r="M1138" s="12" t="n">
        <v>742.13</v>
      </c>
      <c r="N1138" s="12" t="n">
        <v>171.26</v>
      </c>
      <c r="O1138" t="inlineStr">
        <is>
          <t>Credit Card</t>
        </is>
      </c>
      <c r="P1138" t="inlineStr">
        <is>
          <t>Vivaan Gupta</t>
        </is>
      </c>
    </row>
    <row r="1139">
      <c r="A1139" t="inlineStr">
        <is>
          <t>ORD-2502-1138</t>
        </is>
      </c>
      <c r="B1139" s="11" t="n">
        <v>45692</v>
      </c>
      <c r="C1139" t="inlineStr">
        <is>
          <t>West</t>
        </is>
      </c>
      <c r="D1139" t="inlineStr">
        <is>
          <t>Pune</t>
        </is>
      </c>
      <c r="E1139" t="inlineStr">
        <is>
          <t>Corporate</t>
        </is>
      </c>
      <c r="F1139" t="inlineStr">
        <is>
          <t>Partner</t>
        </is>
      </c>
      <c r="G1139" t="inlineStr">
        <is>
          <t>Office Supplies</t>
        </is>
      </c>
      <c r="H1139" t="inlineStr">
        <is>
          <t>Paper Ream</t>
        </is>
      </c>
      <c r="I1139" t="n">
        <v>1</v>
      </c>
      <c r="J1139" s="12" t="n">
        <v>404.08</v>
      </c>
      <c r="K1139" s="13" t="n">
        <v>0.05</v>
      </c>
      <c r="L1139" s="12" t="n">
        <v>383.88</v>
      </c>
      <c r="M1139" s="12" t="n">
        <v>311.14</v>
      </c>
      <c r="N1139" s="12" t="n">
        <v>72.73999999999999</v>
      </c>
      <c r="O1139" t="inlineStr">
        <is>
          <t>Cash</t>
        </is>
      </c>
      <c r="P1139" t="inlineStr">
        <is>
          <t>Meera Joshi</t>
        </is>
      </c>
    </row>
    <row r="1140">
      <c r="A1140" t="inlineStr">
        <is>
          <t>ORD-2511-1139</t>
        </is>
      </c>
      <c r="B1140" s="11" t="n">
        <v>45984</v>
      </c>
      <c r="C1140" t="inlineStr">
        <is>
          <t>East</t>
        </is>
      </c>
      <c r="D1140" t="inlineStr">
        <is>
          <t>Guwahati</t>
        </is>
      </c>
      <c r="E1140" t="inlineStr">
        <is>
          <t>Consumer</t>
        </is>
      </c>
      <c r="F1140" t="inlineStr">
        <is>
          <t>Retail Store</t>
        </is>
      </c>
      <c r="G1140" t="inlineStr">
        <is>
          <t>Furniture</t>
        </is>
      </c>
      <c r="H1140" t="inlineStr">
        <is>
          <t>Storage Cabinet</t>
        </is>
      </c>
      <c r="I1140" t="n">
        <v>4</v>
      </c>
      <c r="J1140" s="12" t="n">
        <v>8615.34</v>
      </c>
      <c r="K1140" s="13" t="n">
        <v>0</v>
      </c>
      <c r="L1140" s="12" t="n">
        <v>34461.36</v>
      </c>
      <c r="M1140" s="12" t="n">
        <v>27569.09</v>
      </c>
      <c r="N1140" s="12" t="n">
        <v>6892.27</v>
      </c>
      <c r="O1140" t="inlineStr">
        <is>
          <t>Debit Card</t>
        </is>
      </c>
      <c r="P1140" t="inlineStr">
        <is>
          <t>Anaya Rao</t>
        </is>
      </c>
    </row>
    <row r="1141">
      <c r="A1141" t="inlineStr">
        <is>
          <t>ORD-2511-1140</t>
        </is>
      </c>
      <c r="B1141" s="11" t="n">
        <v>45980</v>
      </c>
      <c r="C1141" t="inlineStr">
        <is>
          <t>West</t>
        </is>
      </c>
      <c r="D1141" t="inlineStr">
        <is>
          <t>Ahmedabad</t>
        </is>
      </c>
      <c r="E1141" t="inlineStr">
        <is>
          <t>Corporate</t>
        </is>
      </c>
      <c r="F1141" t="inlineStr">
        <is>
          <t>Retail Store</t>
        </is>
      </c>
      <c r="G1141" t="inlineStr">
        <is>
          <t>Furniture</t>
        </is>
      </c>
      <c r="H1141" t="inlineStr">
        <is>
          <t>Storage Cabinet</t>
        </is>
      </c>
      <c r="I1141" t="n">
        <v>3</v>
      </c>
      <c r="J1141" s="12" t="n">
        <v>8348.01</v>
      </c>
      <c r="K1141" s="13" t="n">
        <v>0</v>
      </c>
      <c r="L1141" s="12" t="n">
        <v>25044.03</v>
      </c>
      <c r="M1141" s="12" t="n">
        <v>20035.22</v>
      </c>
      <c r="N1141" s="12" t="n">
        <v>5008.81</v>
      </c>
      <c r="O1141" t="inlineStr">
        <is>
          <t>Debit Card</t>
        </is>
      </c>
      <c r="P1141" t="inlineStr">
        <is>
          <t>Sara Khan</t>
        </is>
      </c>
    </row>
    <row r="1142">
      <c r="A1142" t="inlineStr">
        <is>
          <t>ORD-2505-1141</t>
        </is>
      </c>
      <c r="B1142" s="11" t="n">
        <v>45784</v>
      </c>
      <c r="C1142" t="inlineStr">
        <is>
          <t>West</t>
        </is>
      </c>
      <c r="D1142" t="inlineStr">
        <is>
          <t>Mumbai</t>
        </is>
      </c>
      <c r="E1142" t="inlineStr">
        <is>
          <t>Small Business</t>
        </is>
      </c>
      <c r="F1142" t="inlineStr">
        <is>
          <t>Retail Store</t>
        </is>
      </c>
      <c r="G1142" t="inlineStr">
        <is>
          <t>Technology</t>
        </is>
      </c>
      <c r="H1142" t="inlineStr">
        <is>
          <t>Keyboard</t>
        </is>
      </c>
      <c r="I1142" t="n">
        <v>3</v>
      </c>
      <c r="J1142" s="12" t="n">
        <v>1313.43</v>
      </c>
      <c r="K1142" s="13" t="n">
        <v>0.05</v>
      </c>
      <c r="L1142" s="12" t="n">
        <v>3743.28</v>
      </c>
      <c r="M1142" s="12" t="n">
        <v>2955.22</v>
      </c>
      <c r="N1142" s="12" t="n">
        <v>788.0599999999999</v>
      </c>
      <c r="O1142" t="inlineStr">
        <is>
          <t>UPI</t>
        </is>
      </c>
      <c r="P1142" t="inlineStr">
        <is>
          <t>Anaya Rao</t>
        </is>
      </c>
    </row>
    <row r="1143">
      <c r="A1143" t="inlineStr">
        <is>
          <t>ORD-2509-1142</t>
        </is>
      </c>
      <c r="B1143" s="11" t="n">
        <v>45908</v>
      </c>
      <c r="C1143" t="inlineStr">
        <is>
          <t>Central</t>
        </is>
      </c>
      <c r="D1143" t="inlineStr">
        <is>
          <t>Nagpur</t>
        </is>
      </c>
      <c r="E1143" t="inlineStr">
        <is>
          <t>Corporate</t>
        </is>
      </c>
      <c r="F1143" t="inlineStr">
        <is>
          <t>Online</t>
        </is>
      </c>
      <c r="G1143" t="inlineStr">
        <is>
          <t>Office Supplies</t>
        </is>
      </c>
      <c r="H1143" t="inlineStr">
        <is>
          <t>Pens Box</t>
        </is>
      </c>
      <c r="I1143" t="n">
        <v>2</v>
      </c>
      <c r="J1143" s="12" t="n">
        <v>180.22</v>
      </c>
      <c r="K1143" s="13" t="n">
        <v>0.05</v>
      </c>
      <c r="L1143" s="12" t="n">
        <v>342.42</v>
      </c>
      <c r="M1143" s="12" t="n">
        <v>234.29</v>
      </c>
      <c r="N1143" s="12" t="n">
        <v>108.13</v>
      </c>
      <c r="O1143" t="inlineStr">
        <is>
          <t>Cash</t>
        </is>
      </c>
      <c r="P1143" t="inlineStr">
        <is>
          <t>Sara Khan</t>
        </is>
      </c>
    </row>
    <row r="1144">
      <c r="A1144" t="inlineStr">
        <is>
          <t>ORD-2505-1143</t>
        </is>
      </c>
      <c r="B1144" s="11" t="n">
        <v>45791</v>
      </c>
      <c r="C1144" t="inlineStr">
        <is>
          <t>East</t>
        </is>
      </c>
      <c r="D1144" t="inlineStr">
        <is>
          <t>Guwahati</t>
        </is>
      </c>
      <c r="E1144" t="inlineStr">
        <is>
          <t>Consumer</t>
        </is>
      </c>
      <c r="F1144" t="inlineStr">
        <is>
          <t>Retail Store</t>
        </is>
      </c>
      <c r="G1144" t="inlineStr">
        <is>
          <t>Furniture</t>
        </is>
      </c>
      <c r="H1144" t="inlineStr">
        <is>
          <t>Desk</t>
        </is>
      </c>
      <c r="I1144" t="n">
        <v>5</v>
      </c>
      <c r="J1144" s="12" t="n">
        <v>11059.69</v>
      </c>
      <c r="K1144" s="13" t="n">
        <v>0.05</v>
      </c>
      <c r="L1144" s="12" t="n">
        <v>52533.53</v>
      </c>
      <c r="M1144" s="12" t="n">
        <v>42026.82</v>
      </c>
      <c r="N1144" s="12" t="n">
        <v>10506.71</v>
      </c>
      <c r="O1144" t="inlineStr">
        <is>
          <t>Debit Card</t>
        </is>
      </c>
      <c r="P1144" t="inlineStr">
        <is>
          <t>Meera Joshi</t>
        </is>
      </c>
    </row>
    <row r="1145">
      <c r="A1145" t="inlineStr">
        <is>
          <t>ORD-2506-1144</t>
        </is>
      </c>
      <c r="B1145" s="11" t="n">
        <v>45831</v>
      </c>
      <c r="C1145" t="inlineStr">
        <is>
          <t>North</t>
        </is>
      </c>
      <c r="D1145" t="inlineStr">
        <is>
          <t>Chandigarh</t>
        </is>
      </c>
      <c r="E1145" t="inlineStr">
        <is>
          <t>Consumer</t>
        </is>
      </c>
      <c r="F1145" t="inlineStr">
        <is>
          <t>Partner</t>
        </is>
      </c>
      <c r="G1145" t="inlineStr">
        <is>
          <t>Furniture</t>
        </is>
      </c>
      <c r="H1145" t="inlineStr">
        <is>
          <t>Bookshelf</t>
        </is>
      </c>
      <c r="I1145" t="n">
        <v>2</v>
      </c>
      <c r="J1145" s="12" t="n">
        <v>4922.56</v>
      </c>
      <c r="K1145" s="13" t="n">
        <v>0.1</v>
      </c>
      <c r="L1145" s="12" t="n">
        <v>8860.610000000001</v>
      </c>
      <c r="M1145" s="12" t="n">
        <v>7285.39</v>
      </c>
      <c r="N1145" s="12" t="n">
        <v>1575.22</v>
      </c>
      <c r="O1145" t="inlineStr">
        <is>
          <t>Credit Card</t>
        </is>
      </c>
      <c r="P1145" t="inlineStr">
        <is>
          <t>Sara Khan</t>
        </is>
      </c>
    </row>
    <row r="1146">
      <c r="A1146" t="inlineStr">
        <is>
          <t>ORD-2503-1145</t>
        </is>
      </c>
      <c r="B1146" s="11" t="n">
        <v>45724</v>
      </c>
      <c r="C1146" t="inlineStr">
        <is>
          <t>Central</t>
        </is>
      </c>
      <c r="D1146" t="inlineStr">
        <is>
          <t>Bhopal</t>
        </is>
      </c>
      <c r="E1146" t="inlineStr">
        <is>
          <t>Corporate</t>
        </is>
      </c>
      <c r="F1146" t="inlineStr">
        <is>
          <t>Retail Store</t>
        </is>
      </c>
      <c r="G1146" t="inlineStr">
        <is>
          <t>Office Supplies</t>
        </is>
      </c>
      <c r="H1146" t="inlineStr">
        <is>
          <t>Paper Ream</t>
        </is>
      </c>
      <c r="I1146" t="n">
        <v>1</v>
      </c>
      <c r="J1146" s="12" t="n">
        <v>438.85</v>
      </c>
      <c r="K1146" s="13" t="n">
        <v>0.05</v>
      </c>
      <c r="L1146" s="12" t="n">
        <v>416.91</v>
      </c>
      <c r="M1146" s="12" t="n">
        <v>337.91</v>
      </c>
      <c r="N1146" s="12" t="n">
        <v>79</v>
      </c>
      <c r="O1146" t="inlineStr">
        <is>
          <t>Cash</t>
        </is>
      </c>
      <c r="P1146" t="inlineStr">
        <is>
          <t>Diya Patel</t>
        </is>
      </c>
    </row>
    <row r="1147">
      <c r="A1147" t="inlineStr">
        <is>
          <t>ORD-2512-1146</t>
        </is>
      </c>
      <c r="B1147" s="11" t="n">
        <v>45993</v>
      </c>
      <c r="C1147" t="inlineStr">
        <is>
          <t>North</t>
        </is>
      </c>
      <c r="D1147" t="inlineStr">
        <is>
          <t>Jaipur</t>
        </is>
      </c>
      <c r="E1147" t="inlineStr">
        <is>
          <t>Corporate</t>
        </is>
      </c>
      <c r="F1147" t="inlineStr">
        <is>
          <t>Partner</t>
        </is>
      </c>
      <c r="G1147" t="inlineStr">
        <is>
          <t>Furniture</t>
        </is>
      </c>
      <c r="H1147" t="inlineStr">
        <is>
          <t>Office Chair</t>
        </is>
      </c>
      <c r="I1147" t="n">
        <v>3</v>
      </c>
      <c r="J1147" s="12" t="n">
        <v>7167.91</v>
      </c>
      <c r="K1147" s="13" t="n">
        <v>0.2</v>
      </c>
      <c r="L1147" s="12" t="n">
        <v>17202.98</v>
      </c>
      <c r="M1147" s="12" t="n">
        <v>15482.69</v>
      </c>
      <c r="N1147" s="12" t="n">
        <v>1720.29</v>
      </c>
      <c r="O1147" t="inlineStr">
        <is>
          <t>UPI</t>
        </is>
      </c>
      <c r="P1147" t="inlineStr">
        <is>
          <t>Rohan Verma</t>
        </is>
      </c>
    </row>
    <row r="1148">
      <c r="A1148" t="inlineStr">
        <is>
          <t>ORD-2503-1147</t>
        </is>
      </c>
      <c r="B1148" s="11" t="n">
        <v>45740</v>
      </c>
      <c r="C1148" t="inlineStr">
        <is>
          <t>East</t>
        </is>
      </c>
      <c r="D1148" t="inlineStr">
        <is>
          <t>Bhubaneswar</t>
        </is>
      </c>
      <c r="E1148" t="inlineStr">
        <is>
          <t>Consumer</t>
        </is>
      </c>
      <c r="F1148" t="inlineStr">
        <is>
          <t>Online</t>
        </is>
      </c>
      <c r="G1148" t="inlineStr">
        <is>
          <t>Furniture</t>
        </is>
      </c>
      <c r="H1148" t="inlineStr">
        <is>
          <t>Desk</t>
        </is>
      </c>
      <c r="I1148" t="n">
        <v>2</v>
      </c>
      <c r="J1148" s="12" t="n">
        <v>12309.63</v>
      </c>
      <c r="K1148" s="13" t="n">
        <v>0.1</v>
      </c>
      <c r="L1148" s="12" t="n">
        <v>22157.33</v>
      </c>
      <c r="M1148" s="12" t="n">
        <v>18710.64</v>
      </c>
      <c r="N1148" s="12" t="n">
        <v>3446.69</v>
      </c>
      <c r="O1148" t="inlineStr">
        <is>
          <t>Cash</t>
        </is>
      </c>
      <c r="P1148" t="inlineStr">
        <is>
          <t>Diya Patel</t>
        </is>
      </c>
    </row>
    <row r="1149">
      <c r="A1149" t="inlineStr">
        <is>
          <t>ORD-2509-1148</t>
        </is>
      </c>
      <c r="B1149" s="11" t="n">
        <v>45914</v>
      </c>
      <c r="C1149" t="inlineStr">
        <is>
          <t>West</t>
        </is>
      </c>
      <c r="D1149" t="inlineStr">
        <is>
          <t>Surat</t>
        </is>
      </c>
      <c r="E1149" t="inlineStr">
        <is>
          <t>Small Business</t>
        </is>
      </c>
      <c r="F1149" t="inlineStr">
        <is>
          <t>Online</t>
        </is>
      </c>
      <c r="G1149" t="inlineStr">
        <is>
          <t>Technology</t>
        </is>
      </c>
      <c r="H1149" t="inlineStr">
        <is>
          <t>Laptop</t>
        </is>
      </c>
      <c r="I1149" t="n">
        <v>1</v>
      </c>
      <c r="J1149" s="12" t="n">
        <v>40185.64</v>
      </c>
      <c r="K1149" s="13" t="n">
        <v>0.05</v>
      </c>
      <c r="L1149" s="12" t="n">
        <v>38176.36</v>
      </c>
      <c r="M1149" s="12" t="n">
        <v>35363.36</v>
      </c>
      <c r="N1149" s="12" t="n">
        <v>2813</v>
      </c>
      <c r="O1149" t="inlineStr">
        <is>
          <t>Credit Card</t>
        </is>
      </c>
      <c r="P1149" t="inlineStr">
        <is>
          <t>Rohan Verma</t>
        </is>
      </c>
    </row>
    <row r="1150">
      <c r="A1150" t="inlineStr">
        <is>
          <t>ORD-2503-1149</t>
        </is>
      </c>
      <c r="B1150" s="11" t="n">
        <v>45721</v>
      </c>
      <c r="C1150" t="inlineStr">
        <is>
          <t>West</t>
        </is>
      </c>
      <c r="D1150" t="inlineStr">
        <is>
          <t>Surat</t>
        </is>
      </c>
      <c r="E1150" t="inlineStr">
        <is>
          <t>Consumer</t>
        </is>
      </c>
      <c r="F1150" t="inlineStr">
        <is>
          <t>Online</t>
        </is>
      </c>
      <c r="G1150" t="inlineStr">
        <is>
          <t>Technology</t>
        </is>
      </c>
      <c r="H1150" t="inlineStr">
        <is>
          <t>Keyboard</t>
        </is>
      </c>
      <c r="I1150" t="n">
        <v>5</v>
      </c>
      <c r="J1150" s="12" t="n">
        <v>1481.08</v>
      </c>
      <c r="K1150" s="13" t="n">
        <v>0.15</v>
      </c>
      <c r="L1150" s="12" t="n">
        <v>6294.59</v>
      </c>
      <c r="M1150" s="12" t="n">
        <v>5554.05</v>
      </c>
      <c r="N1150" s="12" t="n">
        <v>740.54</v>
      </c>
      <c r="O1150" t="inlineStr">
        <is>
          <t>Cash</t>
        </is>
      </c>
      <c r="P1150" t="inlineStr">
        <is>
          <t>Vivaan Gupta</t>
        </is>
      </c>
    </row>
    <row r="1151">
      <c r="A1151" t="inlineStr">
        <is>
          <t>ORD-2501-1150</t>
        </is>
      </c>
      <c r="B1151" s="11" t="n">
        <v>45668</v>
      </c>
      <c r="C1151" t="inlineStr">
        <is>
          <t>North</t>
        </is>
      </c>
      <c r="D1151" t="inlineStr">
        <is>
          <t>Jaipur</t>
        </is>
      </c>
      <c r="E1151" t="inlineStr">
        <is>
          <t>Small Business</t>
        </is>
      </c>
      <c r="F1151" t="inlineStr">
        <is>
          <t>Retail Store</t>
        </is>
      </c>
      <c r="G1151" t="inlineStr">
        <is>
          <t>Technology</t>
        </is>
      </c>
      <c r="H1151" t="inlineStr">
        <is>
          <t>Monitor</t>
        </is>
      </c>
      <c r="I1151" t="n">
        <v>4</v>
      </c>
      <c r="J1151" s="12" t="n">
        <v>11888.57</v>
      </c>
      <c r="K1151" s="13" t="n">
        <v>0.15</v>
      </c>
      <c r="L1151" s="12" t="n">
        <v>40421.14</v>
      </c>
      <c r="M1151" s="12" t="n">
        <v>38994.51</v>
      </c>
      <c r="N1151" s="12" t="n">
        <v>1426.63</v>
      </c>
      <c r="O1151" t="inlineStr">
        <is>
          <t>Net Banking</t>
        </is>
      </c>
      <c r="P1151" t="inlineStr">
        <is>
          <t>Vivaan Gupta</t>
        </is>
      </c>
    </row>
    <row r="1152">
      <c r="A1152" t="inlineStr">
        <is>
          <t>ORD-2509-1151</t>
        </is>
      </c>
      <c r="B1152" s="11" t="n">
        <v>45920</v>
      </c>
      <c r="C1152" t="inlineStr">
        <is>
          <t>North</t>
        </is>
      </c>
      <c r="D1152" t="inlineStr">
        <is>
          <t>Chandigarh</t>
        </is>
      </c>
      <c r="E1152" t="inlineStr">
        <is>
          <t>Small Business</t>
        </is>
      </c>
      <c r="F1152" t="inlineStr">
        <is>
          <t>Retail Store</t>
        </is>
      </c>
      <c r="G1152" t="inlineStr">
        <is>
          <t>Technology</t>
        </is>
      </c>
      <c r="H1152" t="inlineStr">
        <is>
          <t>Headphones</t>
        </is>
      </c>
      <c r="I1152" t="n">
        <v>3</v>
      </c>
      <c r="J1152" s="12" t="n">
        <v>2365.18</v>
      </c>
      <c r="K1152" s="13" t="n">
        <v>0</v>
      </c>
      <c r="L1152" s="12" t="n">
        <v>7095.54</v>
      </c>
      <c r="M1152" s="12" t="n">
        <v>5534.52</v>
      </c>
      <c r="N1152" s="12" t="n">
        <v>1561.02</v>
      </c>
      <c r="O1152" t="inlineStr">
        <is>
          <t>Debit Card</t>
        </is>
      </c>
      <c r="P1152" t="inlineStr">
        <is>
          <t>Rohan Verma</t>
        </is>
      </c>
    </row>
    <row r="1153">
      <c r="A1153" t="inlineStr">
        <is>
          <t>ORD-2508-1152</t>
        </is>
      </c>
      <c r="B1153" s="11" t="n">
        <v>45877</v>
      </c>
      <c r="C1153" t="inlineStr">
        <is>
          <t>North</t>
        </is>
      </c>
      <c r="D1153" t="inlineStr">
        <is>
          <t>Jaipur</t>
        </is>
      </c>
      <c r="E1153" t="inlineStr">
        <is>
          <t>Small Business</t>
        </is>
      </c>
      <c r="F1153" t="inlineStr">
        <is>
          <t>Partner</t>
        </is>
      </c>
      <c r="G1153" t="inlineStr">
        <is>
          <t>Furniture</t>
        </is>
      </c>
      <c r="H1153" t="inlineStr">
        <is>
          <t>Desk</t>
        </is>
      </c>
      <c r="I1153" t="n">
        <v>3</v>
      </c>
      <c r="J1153" s="12" t="n">
        <v>12250.1</v>
      </c>
      <c r="K1153" s="13" t="n">
        <v>0.05</v>
      </c>
      <c r="L1153" s="12" t="n">
        <v>34912.79</v>
      </c>
      <c r="M1153" s="12" t="n">
        <v>27930.23</v>
      </c>
      <c r="N1153" s="12" t="n">
        <v>6982.56</v>
      </c>
      <c r="O1153" t="inlineStr">
        <is>
          <t>UPI</t>
        </is>
      </c>
      <c r="P1153" t="inlineStr">
        <is>
          <t>Vivaan Gupta</t>
        </is>
      </c>
    </row>
    <row r="1154">
      <c r="A1154" t="inlineStr">
        <is>
          <t>ORD-2501-1153</t>
        </is>
      </c>
      <c r="B1154" s="11" t="n">
        <v>45666</v>
      </c>
      <c r="C1154" t="inlineStr">
        <is>
          <t>West</t>
        </is>
      </c>
      <c r="D1154" t="inlineStr">
        <is>
          <t>Surat</t>
        </is>
      </c>
      <c r="E1154" t="inlineStr">
        <is>
          <t>Small Business</t>
        </is>
      </c>
      <c r="F1154" t="inlineStr">
        <is>
          <t>Online</t>
        </is>
      </c>
      <c r="G1154" t="inlineStr">
        <is>
          <t>Furniture</t>
        </is>
      </c>
      <c r="H1154" t="inlineStr">
        <is>
          <t>Office Chair</t>
        </is>
      </c>
      <c r="I1154" t="n">
        <v>4</v>
      </c>
      <c r="J1154" s="12" t="n">
        <v>6748.07</v>
      </c>
      <c r="K1154" s="13" t="n">
        <v>0.1</v>
      </c>
      <c r="L1154" s="12" t="n">
        <v>24293.05</v>
      </c>
      <c r="M1154" s="12" t="n">
        <v>19434.44</v>
      </c>
      <c r="N1154" s="12" t="n">
        <v>4858.61</v>
      </c>
      <c r="O1154" t="inlineStr">
        <is>
          <t>Debit Card</t>
        </is>
      </c>
      <c r="P1154" t="inlineStr">
        <is>
          <t>Meera Joshi</t>
        </is>
      </c>
    </row>
    <row r="1155">
      <c r="A1155" t="inlineStr">
        <is>
          <t>ORD-2508-1154</t>
        </is>
      </c>
      <c r="B1155" s="11" t="n">
        <v>45886</v>
      </c>
      <c r="C1155" t="inlineStr">
        <is>
          <t>East</t>
        </is>
      </c>
      <c r="D1155" t="inlineStr">
        <is>
          <t>Guwahati</t>
        </is>
      </c>
      <c r="E1155" t="inlineStr">
        <is>
          <t>Small Business</t>
        </is>
      </c>
      <c r="F1155" t="inlineStr">
        <is>
          <t>Online</t>
        </is>
      </c>
      <c r="G1155" t="inlineStr">
        <is>
          <t>Office Supplies</t>
        </is>
      </c>
      <c r="H1155" t="inlineStr">
        <is>
          <t>Notebook Pack</t>
        </is>
      </c>
      <c r="I1155" t="n">
        <v>1</v>
      </c>
      <c r="J1155" s="12" t="n">
        <v>330.05</v>
      </c>
      <c r="K1155" s="13" t="n">
        <v>0.05</v>
      </c>
      <c r="L1155" s="12" t="n">
        <v>313.55</v>
      </c>
      <c r="M1155" s="12" t="n">
        <v>224.43</v>
      </c>
      <c r="N1155" s="12" t="n">
        <v>89.12</v>
      </c>
      <c r="O1155" t="inlineStr">
        <is>
          <t>Credit Card</t>
        </is>
      </c>
      <c r="P1155" t="inlineStr">
        <is>
          <t>Kabir Singh</t>
        </is>
      </c>
    </row>
    <row r="1156">
      <c r="A1156" t="inlineStr">
        <is>
          <t>ORD-2504-1155</t>
        </is>
      </c>
      <c r="B1156" s="11" t="n">
        <v>45764</v>
      </c>
      <c r="C1156" t="inlineStr">
        <is>
          <t>West</t>
        </is>
      </c>
      <c r="D1156" t="inlineStr">
        <is>
          <t>Pune</t>
        </is>
      </c>
      <c r="E1156" t="inlineStr">
        <is>
          <t>Small Business</t>
        </is>
      </c>
      <c r="F1156" t="inlineStr">
        <is>
          <t>Partner</t>
        </is>
      </c>
      <c r="G1156" t="inlineStr">
        <is>
          <t>Technology</t>
        </is>
      </c>
      <c r="H1156" t="inlineStr">
        <is>
          <t>Monitor</t>
        </is>
      </c>
      <c r="I1156" t="n">
        <v>1</v>
      </c>
      <c r="J1156" s="12" t="n">
        <v>12447.03</v>
      </c>
      <c r="K1156" s="13" t="n">
        <v>0.1</v>
      </c>
      <c r="L1156" s="12" t="n">
        <v>11202.33</v>
      </c>
      <c r="M1156" s="12" t="n">
        <v>10206.56</v>
      </c>
      <c r="N1156" s="12" t="n">
        <v>995.77</v>
      </c>
      <c r="O1156" t="inlineStr">
        <is>
          <t>UPI</t>
        </is>
      </c>
      <c r="P1156" t="inlineStr">
        <is>
          <t>Aarav Sharma</t>
        </is>
      </c>
    </row>
    <row r="1157">
      <c r="A1157" t="inlineStr">
        <is>
          <t>ORD-2509-1156</t>
        </is>
      </c>
      <c r="B1157" s="11" t="n">
        <v>45910</v>
      </c>
      <c r="C1157" t="inlineStr">
        <is>
          <t>East</t>
        </is>
      </c>
      <c r="D1157" t="inlineStr">
        <is>
          <t>Guwahati</t>
        </is>
      </c>
      <c r="E1157" t="inlineStr">
        <is>
          <t>Small Business</t>
        </is>
      </c>
      <c r="F1157" t="inlineStr">
        <is>
          <t>Partner</t>
        </is>
      </c>
      <c r="G1157" t="inlineStr">
        <is>
          <t>Technology</t>
        </is>
      </c>
      <c r="H1157" t="inlineStr">
        <is>
          <t>Headphones</t>
        </is>
      </c>
      <c r="I1157" t="n">
        <v>4</v>
      </c>
      <c r="J1157" s="12" t="n">
        <v>2036.85</v>
      </c>
      <c r="K1157" s="13" t="n">
        <v>0.15</v>
      </c>
      <c r="L1157" s="12" t="n">
        <v>6925.29</v>
      </c>
      <c r="M1157" s="12" t="n">
        <v>6354.97</v>
      </c>
      <c r="N1157" s="12" t="n">
        <v>570.3200000000001</v>
      </c>
      <c r="O1157" t="inlineStr">
        <is>
          <t>Cash</t>
        </is>
      </c>
      <c r="P1157" t="inlineStr">
        <is>
          <t>Vivaan Gupta</t>
        </is>
      </c>
    </row>
    <row r="1158">
      <c r="A1158" t="inlineStr">
        <is>
          <t>ORD-2501-1157</t>
        </is>
      </c>
      <c r="B1158" s="11" t="n">
        <v>45660</v>
      </c>
      <c r="C1158" t="inlineStr">
        <is>
          <t>East</t>
        </is>
      </c>
      <c r="D1158" t="inlineStr">
        <is>
          <t>Patna</t>
        </is>
      </c>
      <c r="E1158" t="inlineStr">
        <is>
          <t>Small Business</t>
        </is>
      </c>
      <c r="F1158" t="inlineStr">
        <is>
          <t>Online</t>
        </is>
      </c>
      <c r="G1158" t="inlineStr">
        <is>
          <t>Office Supplies</t>
        </is>
      </c>
      <c r="H1158" t="inlineStr">
        <is>
          <t>File Folder</t>
        </is>
      </c>
      <c r="I1158" t="n">
        <v>3</v>
      </c>
      <c r="J1158" s="12" t="n">
        <v>90</v>
      </c>
      <c r="K1158" s="13" t="n">
        <v>0.05</v>
      </c>
      <c r="L1158" s="12" t="n">
        <v>256.5</v>
      </c>
      <c r="M1158" s="12" t="n">
        <v>167.4</v>
      </c>
      <c r="N1158" s="12" t="n">
        <v>89.09999999999999</v>
      </c>
      <c r="O1158" t="inlineStr">
        <is>
          <t>Net Banking</t>
        </is>
      </c>
      <c r="P1158" t="inlineStr">
        <is>
          <t>Anaya Rao</t>
        </is>
      </c>
    </row>
    <row r="1159">
      <c r="A1159" t="inlineStr">
        <is>
          <t>ORD-2512-1158</t>
        </is>
      </c>
      <c r="B1159" s="11" t="n">
        <v>46020</v>
      </c>
      <c r="C1159" t="inlineStr">
        <is>
          <t>West</t>
        </is>
      </c>
      <c r="D1159" t="inlineStr">
        <is>
          <t>Mumbai</t>
        </is>
      </c>
      <c r="E1159" t="inlineStr">
        <is>
          <t>Consumer</t>
        </is>
      </c>
      <c r="F1159" t="inlineStr">
        <is>
          <t>Online</t>
        </is>
      </c>
      <c r="G1159" t="inlineStr">
        <is>
          <t>Technology</t>
        </is>
      </c>
      <c r="H1159" t="inlineStr">
        <is>
          <t>Monitor</t>
        </is>
      </c>
      <c r="I1159" t="n">
        <v>2</v>
      </c>
      <c r="J1159" s="12" t="n">
        <v>11754.56</v>
      </c>
      <c r="K1159" s="13" t="n">
        <v>0</v>
      </c>
      <c r="L1159" s="12" t="n">
        <v>23509.12</v>
      </c>
      <c r="M1159" s="12" t="n">
        <v>19277.48</v>
      </c>
      <c r="N1159" s="12" t="n">
        <v>4231.64</v>
      </c>
      <c r="O1159" t="inlineStr">
        <is>
          <t>Cash</t>
        </is>
      </c>
      <c r="P1159" t="inlineStr">
        <is>
          <t>Diya Patel</t>
        </is>
      </c>
    </row>
    <row r="1160">
      <c r="A1160" t="inlineStr">
        <is>
          <t>ORD-2503-1159</t>
        </is>
      </c>
      <c r="B1160" s="11" t="n">
        <v>45743</v>
      </c>
      <c r="C1160" t="inlineStr">
        <is>
          <t>South</t>
        </is>
      </c>
      <c r="D1160" t="inlineStr">
        <is>
          <t>Kochi</t>
        </is>
      </c>
      <c r="E1160" t="inlineStr">
        <is>
          <t>Consumer</t>
        </is>
      </c>
      <c r="F1160" t="inlineStr">
        <is>
          <t>Partner</t>
        </is>
      </c>
      <c r="G1160" t="inlineStr">
        <is>
          <t>Office Supplies</t>
        </is>
      </c>
      <c r="H1160" t="inlineStr">
        <is>
          <t>Stapler</t>
        </is>
      </c>
      <c r="I1160" t="n">
        <v>10</v>
      </c>
      <c r="J1160" s="12" t="n">
        <v>256.85</v>
      </c>
      <c r="K1160" s="13" t="n">
        <v>0</v>
      </c>
      <c r="L1160" s="12" t="n">
        <v>2568.5</v>
      </c>
      <c r="M1160" s="12" t="n">
        <v>1797.95</v>
      </c>
      <c r="N1160" s="12" t="n">
        <v>770.55</v>
      </c>
      <c r="O1160" t="inlineStr">
        <is>
          <t>Cash</t>
        </is>
      </c>
      <c r="P1160" t="inlineStr">
        <is>
          <t>Anaya Rao</t>
        </is>
      </c>
    </row>
    <row r="1161">
      <c r="A1161" t="inlineStr">
        <is>
          <t>ORD-2503-1160</t>
        </is>
      </c>
      <c r="B1161" s="11" t="n">
        <v>45729</v>
      </c>
      <c r="C1161" t="inlineStr">
        <is>
          <t>Central</t>
        </is>
      </c>
      <c r="D1161" t="inlineStr">
        <is>
          <t>Nagpur</t>
        </is>
      </c>
      <c r="E1161" t="inlineStr">
        <is>
          <t>Small Business</t>
        </is>
      </c>
      <c r="F1161" t="inlineStr">
        <is>
          <t>Partner</t>
        </is>
      </c>
      <c r="G1161" t="inlineStr">
        <is>
          <t>Furniture</t>
        </is>
      </c>
      <c r="H1161" t="inlineStr">
        <is>
          <t>Desk</t>
        </is>
      </c>
      <c r="I1161" t="n">
        <v>1</v>
      </c>
      <c r="J1161" s="12" t="n">
        <v>12412.17</v>
      </c>
      <c r="K1161" s="13" t="n">
        <v>0</v>
      </c>
      <c r="L1161" s="12" t="n">
        <v>12412.17</v>
      </c>
      <c r="M1161" s="12" t="n">
        <v>9433.25</v>
      </c>
      <c r="N1161" s="12" t="n">
        <v>2978.92</v>
      </c>
      <c r="O1161" t="inlineStr">
        <is>
          <t>Net Banking</t>
        </is>
      </c>
      <c r="P1161" t="inlineStr">
        <is>
          <t>Sara Khan</t>
        </is>
      </c>
    </row>
    <row r="1162">
      <c r="A1162" t="inlineStr">
        <is>
          <t>ORD-2511-1161</t>
        </is>
      </c>
      <c r="B1162" s="11" t="n">
        <v>45972</v>
      </c>
      <c r="C1162" t="inlineStr">
        <is>
          <t>East</t>
        </is>
      </c>
      <c r="D1162" t="inlineStr">
        <is>
          <t>Patna</t>
        </is>
      </c>
      <c r="E1162" t="inlineStr">
        <is>
          <t>Small Business</t>
        </is>
      </c>
      <c r="F1162" t="inlineStr">
        <is>
          <t>Retail Store</t>
        </is>
      </c>
      <c r="G1162" t="inlineStr">
        <is>
          <t>Technology</t>
        </is>
      </c>
      <c r="H1162" t="inlineStr">
        <is>
          <t>Keyboard</t>
        </is>
      </c>
      <c r="I1162" t="n">
        <v>2</v>
      </c>
      <c r="J1162" s="12" t="n">
        <v>1467.83</v>
      </c>
      <c r="K1162" s="13" t="n">
        <v>0.1</v>
      </c>
      <c r="L1162" s="12" t="n">
        <v>2642.09</v>
      </c>
      <c r="M1162" s="12" t="n">
        <v>2201.74</v>
      </c>
      <c r="N1162" s="12" t="n">
        <v>440.35</v>
      </c>
      <c r="O1162" t="inlineStr">
        <is>
          <t>Cash</t>
        </is>
      </c>
      <c r="P1162" t="inlineStr">
        <is>
          <t>Rohan Verma</t>
        </is>
      </c>
    </row>
    <row r="1163">
      <c r="A1163" t="inlineStr">
        <is>
          <t>ORD-2508-1162</t>
        </is>
      </c>
      <c r="B1163" s="11" t="n">
        <v>45899</v>
      </c>
      <c r="C1163" t="inlineStr">
        <is>
          <t>West</t>
        </is>
      </c>
      <c r="D1163" t="inlineStr">
        <is>
          <t>Pune</t>
        </is>
      </c>
      <c r="E1163" t="inlineStr">
        <is>
          <t>Consumer</t>
        </is>
      </c>
      <c r="F1163" t="inlineStr">
        <is>
          <t>Online</t>
        </is>
      </c>
      <c r="G1163" t="inlineStr">
        <is>
          <t>Furniture</t>
        </is>
      </c>
      <c r="H1163" t="inlineStr">
        <is>
          <t>Office Chair</t>
        </is>
      </c>
      <c r="I1163" t="n">
        <v>6</v>
      </c>
      <c r="J1163" s="12" t="n">
        <v>7183.41</v>
      </c>
      <c r="K1163" s="13" t="n">
        <v>0.1</v>
      </c>
      <c r="L1163" s="12" t="n">
        <v>38790.41</v>
      </c>
      <c r="M1163" s="12" t="n">
        <v>31032.33</v>
      </c>
      <c r="N1163" s="12" t="n">
        <v>7758.08</v>
      </c>
      <c r="O1163" t="inlineStr">
        <is>
          <t>Cash</t>
        </is>
      </c>
      <c r="P1163" t="inlineStr">
        <is>
          <t>Anaya Rao</t>
        </is>
      </c>
    </row>
    <row r="1164">
      <c r="A1164" t="inlineStr">
        <is>
          <t>ORD-2501-1163</t>
        </is>
      </c>
      <c r="B1164" s="11" t="n">
        <v>45663</v>
      </c>
      <c r="C1164" t="inlineStr">
        <is>
          <t>East</t>
        </is>
      </c>
      <c r="D1164" t="inlineStr">
        <is>
          <t>Guwahati</t>
        </is>
      </c>
      <c r="E1164" t="inlineStr">
        <is>
          <t>Corporate</t>
        </is>
      </c>
      <c r="F1164" t="inlineStr">
        <is>
          <t>Partner</t>
        </is>
      </c>
      <c r="G1164" t="inlineStr">
        <is>
          <t>Technology</t>
        </is>
      </c>
      <c r="H1164" t="inlineStr">
        <is>
          <t>Keyboard</t>
        </is>
      </c>
      <c r="I1164" t="n">
        <v>1</v>
      </c>
      <c r="J1164" s="12" t="n">
        <v>1506.84</v>
      </c>
      <c r="K1164" s="13" t="n">
        <v>0</v>
      </c>
      <c r="L1164" s="12" t="n">
        <v>1506.84</v>
      </c>
      <c r="M1164" s="12" t="n">
        <v>1130.13</v>
      </c>
      <c r="N1164" s="12" t="n">
        <v>376.71</v>
      </c>
      <c r="O1164" t="inlineStr">
        <is>
          <t>UPI</t>
        </is>
      </c>
      <c r="P1164" t="inlineStr">
        <is>
          <t>Meera Joshi</t>
        </is>
      </c>
    </row>
    <row r="1165">
      <c r="A1165" t="inlineStr">
        <is>
          <t>ORD-2512-1164</t>
        </is>
      </c>
      <c r="B1165" s="11" t="n">
        <v>46013</v>
      </c>
      <c r="C1165" t="inlineStr">
        <is>
          <t>North</t>
        </is>
      </c>
      <c r="D1165" t="inlineStr">
        <is>
          <t>Lucknow</t>
        </is>
      </c>
      <c r="E1165" t="inlineStr">
        <is>
          <t>Consumer</t>
        </is>
      </c>
      <c r="F1165" t="inlineStr">
        <is>
          <t>Retail Store</t>
        </is>
      </c>
      <c r="G1165" t="inlineStr">
        <is>
          <t>Furniture</t>
        </is>
      </c>
      <c r="H1165" t="inlineStr">
        <is>
          <t>Office Chair</t>
        </is>
      </c>
      <c r="I1165" t="n">
        <v>1</v>
      </c>
      <c r="J1165" s="12" t="n">
        <v>6902.77</v>
      </c>
      <c r="K1165" s="13" t="n">
        <v>0.1</v>
      </c>
      <c r="L1165" s="12" t="n">
        <v>6212.49</v>
      </c>
      <c r="M1165" s="12" t="n">
        <v>4969.99</v>
      </c>
      <c r="N1165" s="12" t="n">
        <v>1242.5</v>
      </c>
      <c r="O1165" t="inlineStr">
        <is>
          <t>Cash</t>
        </is>
      </c>
      <c r="P1165" t="inlineStr">
        <is>
          <t>Meera Joshi</t>
        </is>
      </c>
    </row>
    <row r="1166">
      <c r="A1166" t="inlineStr">
        <is>
          <t>ORD-2506-1165</t>
        </is>
      </c>
      <c r="B1166" s="11" t="n">
        <v>45834</v>
      </c>
      <c r="C1166" t="inlineStr">
        <is>
          <t>North</t>
        </is>
      </c>
      <c r="D1166" t="inlineStr">
        <is>
          <t>Jaipur</t>
        </is>
      </c>
      <c r="E1166" t="inlineStr">
        <is>
          <t>Small Business</t>
        </is>
      </c>
      <c r="F1166" t="inlineStr">
        <is>
          <t>Retail Store</t>
        </is>
      </c>
      <c r="G1166" t="inlineStr">
        <is>
          <t>Technology</t>
        </is>
      </c>
      <c r="H1166" t="inlineStr">
        <is>
          <t>Headphones</t>
        </is>
      </c>
      <c r="I1166" t="n">
        <v>2</v>
      </c>
      <c r="J1166" s="12" t="n">
        <v>2174.01</v>
      </c>
      <c r="K1166" s="13" t="n">
        <v>0.15</v>
      </c>
      <c r="L1166" s="12" t="n">
        <v>3695.82</v>
      </c>
      <c r="M1166" s="12" t="n">
        <v>3391.46</v>
      </c>
      <c r="N1166" s="12" t="n">
        <v>304.36</v>
      </c>
      <c r="O1166" t="inlineStr">
        <is>
          <t>Net Banking</t>
        </is>
      </c>
      <c r="P1166" t="inlineStr">
        <is>
          <t>Vivaan Gupta</t>
        </is>
      </c>
    </row>
    <row r="1167">
      <c r="A1167" t="inlineStr">
        <is>
          <t>ORD-2505-1166</t>
        </is>
      </c>
      <c r="B1167" s="11" t="n">
        <v>45788</v>
      </c>
      <c r="C1167" t="inlineStr">
        <is>
          <t>Central</t>
        </is>
      </c>
      <c r="D1167" t="inlineStr">
        <is>
          <t>Indore</t>
        </is>
      </c>
      <c r="E1167" t="inlineStr">
        <is>
          <t>Consumer</t>
        </is>
      </c>
      <c r="F1167" t="inlineStr">
        <is>
          <t>Retail Store</t>
        </is>
      </c>
      <c r="G1167" t="inlineStr">
        <is>
          <t>Technology</t>
        </is>
      </c>
      <c r="H1167" t="inlineStr">
        <is>
          <t>Monitor</t>
        </is>
      </c>
      <c r="I1167" t="n">
        <v>3</v>
      </c>
      <c r="J1167" s="12" t="n">
        <v>11932.88</v>
      </c>
      <c r="K1167" s="13" t="n">
        <v>0</v>
      </c>
      <c r="L1167" s="12" t="n">
        <v>35798.64</v>
      </c>
      <c r="M1167" s="12" t="n">
        <v>29354.88</v>
      </c>
      <c r="N1167" s="12" t="n">
        <v>6443.76</v>
      </c>
      <c r="O1167" t="inlineStr">
        <is>
          <t>Cash</t>
        </is>
      </c>
      <c r="P1167" t="inlineStr">
        <is>
          <t>Diya Patel</t>
        </is>
      </c>
    </row>
    <row r="1168">
      <c r="A1168" t="inlineStr">
        <is>
          <t>ORD-2503-1167</t>
        </is>
      </c>
      <c r="B1168" s="11" t="n">
        <v>45722</v>
      </c>
      <c r="C1168" t="inlineStr">
        <is>
          <t>Central</t>
        </is>
      </c>
      <c r="D1168" t="inlineStr">
        <is>
          <t>Nagpur</t>
        </is>
      </c>
      <c r="E1168" t="inlineStr">
        <is>
          <t>Small Business</t>
        </is>
      </c>
      <c r="F1168" t="inlineStr">
        <is>
          <t>Partner</t>
        </is>
      </c>
      <c r="G1168" t="inlineStr">
        <is>
          <t>Furniture</t>
        </is>
      </c>
      <c r="H1168" t="inlineStr">
        <is>
          <t>Office Chair</t>
        </is>
      </c>
      <c r="I1168" t="n">
        <v>3</v>
      </c>
      <c r="J1168" s="12" t="n">
        <v>6914</v>
      </c>
      <c r="K1168" s="13" t="n">
        <v>0.15</v>
      </c>
      <c r="L1168" s="12" t="n">
        <v>17630.7</v>
      </c>
      <c r="M1168" s="12" t="n">
        <v>14934.24</v>
      </c>
      <c r="N1168" s="12" t="n">
        <v>2696.46</v>
      </c>
      <c r="O1168" t="inlineStr">
        <is>
          <t>Debit Card</t>
        </is>
      </c>
      <c r="P1168" t="inlineStr">
        <is>
          <t>Meera Joshi</t>
        </is>
      </c>
    </row>
    <row r="1169">
      <c r="A1169" t="inlineStr">
        <is>
          <t>ORD-2503-1168</t>
        </is>
      </c>
      <c r="B1169" s="11" t="n">
        <v>45744</v>
      </c>
      <c r="C1169" t="inlineStr">
        <is>
          <t>North</t>
        </is>
      </c>
      <c r="D1169" t="inlineStr">
        <is>
          <t>Jaipur</t>
        </is>
      </c>
      <c r="E1169" t="inlineStr">
        <is>
          <t>Consumer</t>
        </is>
      </c>
      <c r="F1169" t="inlineStr">
        <is>
          <t>Retail Store</t>
        </is>
      </c>
      <c r="G1169" t="inlineStr">
        <is>
          <t>Technology</t>
        </is>
      </c>
      <c r="H1169" t="inlineStr">
        <is>
          <t>Printer</t>
        </is>
      </c>
      <c r="I1169" t="n">
        <v>1</v>
      </c>
      <c r="J1169" s="12" t="n">
        <v>8962.67</v>
      </c>
      <c r="K1169" s="13" t="n">
        <v>0.15</v>
      </c>
      <c r="L1169" s="12" t="n">
        <v>7618.27</v>
      </c>
      <c r="M1169" s="12" t="n">
        <v>7528.64</v>
      </c>
      <c r="N1169" s="12" t="n">
        <v>89.63</v>
      </c>
      <c r="O1169" t="inlineStr">
        <is>
          <t>Credit Card</t>
        </is>
      </c>
      <c r="P1169" t="inlineStr">
        <is>
          <t>Sara Khan</t>
        </is>
      </c>
    </row>
    <row r="1170">
      <c r="A1170" t="inlineStr">
        <is>
          <t>ORD-2502-1169</t>
        </is>
      </c>
      <c r="B1170" s="11" t="n">
        <v>45697</v>
      </c>
      <c r="C1170" t="inlineStr">
        <is>
          <t>North</t>
        </is>
      </c>
      <c r="D1170" t="inlineStr">
        <is>
          <t>Jaipur</t>
        </is>
      </c>
      <c r="E1170" t="inlineStr">
        <is>
          <t>Corporate</t>
        </is>
      </c>
      <c r="F1170" t="inlineStr">
        <is>
          <t>Partner</t>
        </is>
      </c>
      <c r="G1170" t="inlineStr">
        <is>
          <t>Furniture</t>
        </is>
      </c>
      <c r="H1170" t="inlineStr">
        <is>
          <t>Storage Cabinet</t>
        </is>
      </c>
      <c r="I1170" t="n">
        <v>5</v>
      </c>
      <c r="J1170" s="12" t="n">
        <v>8859.690000000001</v>
      </c>
      <c r="K1170" s="13" t="n">
        <v>0.05</v>
      </c>
      <c r="L1170" s="12" t="n">
        <v>42083.53</v>
      </c>
      <c r="M1170" s="12" t="n">
        <v>35438.76</v>
      </c>
      <c r="N1170" s="12" t="n">
        <v>6644.77</v>
      </c>
      <c r="O1170" t="inlineStr">
        <is>
          <t>Credit Card</t>
        </is>
      </c>
      <c r="P1170" t="inlineStr">
        <is>
          <t>Meera Joshi</t>
        </is>
      </c>
    </row>
    <row r="1171">
      <c r="A1171" t="inlineStr">
        <is>
          <t>ORD-2510-1170</t>
        </is>
      </c>
      <c r="B1171" s="11" t="n">
        <v>45944</v>
      </c>
      <c r="C1171" t="inlineStr">
        <is>
          <t>West</t>
        </is>
      </c>
      <c r="D1171" t="inlineStr">
        <is>
          <t>Surat</t>
        </is>
      </c>
      <c r="E1171" t="inlineStr">
        <is>
          <t>Small Business</t>
        </is>
      </c>
      <c r="F1171" t="inlineStr">
        <is>
          <t>Retail Store</t>
        </is>
      </c>
      <c r="G1171" t="inlineStr">
        <is>
          <t>Office Supplies</t>
        </is>
      </c>
      <c r="H1171" t="inlineStr">
        <is>
          <t>File Folder</t>
        </is>
      </c>
      <c r="I1171" t="n">
        <v>2</v>
      </c>
      <c r="J1171" s="12" t="n">
        <v>87.29000000000001</v>
      </c>
      <c r="K1171" s="13" t="n">
        <v>0.05</v>
      </c>
      <c r="L1171" s="12" t="n">
        <v>165.85</v>
      </c>
      <c r="M1171" s="12" t="n">
        <v>108.24</v>
      </c>
      <c r="N1171" s="12" t="n">
        <v>57.61</v>
      </c>
      <c r="O1171" t="inlineStr">
        <is>
          <t>Cash</t>
        </is>
      </c>
      <c r="P1171" t="inlineStr">
        <is>
          <t>Diya Patel</t>
        </is>
      </c>
    </row>
    <row r="1172">
      <c r="A1172" t="inlineStr">
        <is>
          <t>ORD-2511-1171</t>
        </is>
      </c>
      <c r="B1172" s="11" t="n">
        <v>45967</v>
      </c>
      <c r="C1172" t="inlineStr">
        <is>
          <t>South</t>
        </is>
      </c>
      <c r="D1172" t="inlineStr">
        <is>
          <t>Chennai</t>
        </is>
      </c>
      <c r="E1172" t="inlineStr">
        <is>
          <t>Small Business</t>
        </is>
      </c>
      <c r="F1172" t="inlineStr">
        <is>
          <t>Retail Store</t>
        </is>
      </c>
      <c r="G1172" t="inlineStr">
        <is>
          <t>Office Supplies</t>
        </is>
      </c>
      <c r="H1172" t="inlineStr">
        <is>
          <t>Pens Box</t>
        </is>
      </c>
      <c r="I1172" t="n">
        <v>5</v>
      </c>
      <c r="J1172" s="12" t="n">
        <v>189.79</v>
      </c>
      <c r="K1172" s="13" t="n">
        <v>0.1</v>
      </c>
      <c r="L1172" s="12" t="n">
        <v>854.05</v>
      </c>
      <c r="M1172" s="12" t="n">
        <v>616.8200000000001</v>
      </c>
      <c r="N1172" s="12" t="n">
        <v>237.23</v>
      </c>
      <c r="O1172" t="inlineStr">
        <is>
          <t>Debit Card</t>
        </is>
      </c>
      <c r="P1172" t="inlineStr">
        <is>
          <t>Rohan Verma</t>
        </is>
      </c>
    </row>
    <row r="1173">
      <c r="A1173" t="inlineStr">
        <is>
          <t>ORD-2512-1172</t>
        </is>
      </c>
      <c r="B1173" s="11" t="n">
        <v>46008</v>
      </c>
      <c r="C1173" t="inlineStr">
        <is>
          <t>North</t>
        </is>
      </c>
      <c r="D1173" t="inlineStr">
        <is>
          <t>Lucknow</t>
        </is>
      </c>
      <c r="E1173" t="inlineStr">
        <is>
          <t>Corporate</t>
        </is>
      </c>
      <c r="F1173" t="inlineStr">
        <is>
          <t>Partner</t>
        </is>
      </c>
      <c r="G1173" t="inlineStr">
        <is>
          <t>Office Supplies</t>
        </is>
      </c>
      <c r="H1173" t="inlineStr">
        <is>
          <t>Pens Box</t>
        </is>
      </c>
      <c r="I1173" t="n">
        <v>2</v>
      </c>
      <c r="J1173" s="12" t="n">
        <v>176.13</v>
      </c>
      <c r="K1173" s="13" t="n">
        <v>0</v>
      </c>
      <c r="L1173" s="12" t="n">
        <v>352.26</v>
      </c>
      <c r="M1173" s="12" t="n">
        <v>228.97</v>
      </c>
      <c r="N1173" s="12" t="n">
        <v>123.29</v>
      </c>
      <c r="O1173" t="inlineStr">
        <is>
          <t>Net Banking</t>
        </is>
      </c>
      <c r="P1173" t="inlineStr">
        <is>
          <t>Vivaan Gupta</t>
        </is>
      </c>
    </row>
    <row r="1174">
      <c r="A1174" t="inlineStr">
        <is>
          <t>ORD-2504-1173</t>
        </is>
      </c>
      <c r="B1174" s="11" t="n">
        <v>45767</v>
      </c>
      <c r="C1174" t="inlineStr">
        <is>
          <t>Central</t>
        </is>
      </c>
      <c r="D1174" t="inlineStr">
        <is>
          <t>Indore</t>
        </is>
      </c>
      <c r="E1174" t="inlineStr">
        <is>
          <t>Consumer</t>
        </is>
      </c>
      <c r="F1174" t="inlineStr">
        <is>
          <t>Retail Store</t>
        </is>
      </c>
      <c r="G1174" t="inlineStr">
        <is>
          <t>Furniture</t>
        </is>
      </c>
      <c r="H1174" t="inlineStr">
        <is>
          <t>Desk</t>
        </is>
      </c>
      <c r="I1174" t="n">
        <v>2</v>
      </c>
      <c r="J1174" s="12" t="n">
        <v>12411.61</v>
      </c>
      <c r="K1174" s="13" t="n">
        <v>0.15</v>
      </c>
      <c r="L1174" s="12" t="n">
        <v>21099.74</v>
      </c>
      <c r="M1174" s="12" t="n">
        <v>18865.65</v>
      </c>
      <c r="N1174" s="12" t="n">
        <v>2234.09</v>
      </c>
      <c r="O1174" t="inlineStr">
        <is>
          <t>Net Banking</t>
        </is>
      </c>
      <c r="P1174" t="inlineStr">
        <is>
          <t>Meera Joshi</t>
        </is>
      </c>
    </row>
    <row r="1175">
      <c r="A1175" t="inlineStr">
        <is>
          <t>ORD-2501-1174</t>
        </is>
      </c>
      <c r="B1175" s="11" t="n">
        <v>45660</v>
      </c>
      <c r="C1175" t="inlineStr">
        <is>
          <t>Central</t>
        </is>
      </c>
      <c r="D1175" t="inlineStr">
        <is>
          <t>Raipur</t>
        </is>
      </c>
      <c r="E1175" t="inlineStr">
        <is>
          <t>Consumer</t>
        </is>
      </c>
      <c r="F1175" t="inlineStr">
        <is>
          <t>Partner</t>
        </is>
      </c>
      <c r="G1175" t="inlineStr">
        <is>
          <t>Furniture</t>
        </is>
      </c>
      <c r="H1175" t="inlineStr">
        <is>
          <t>Office Chair</t>
        </is>
      </c>
      <c r="I1175" t="n">
        <v>1</v>
      </c>
      <c r="J1175" s="12" t="n">
        <v>6532.09</v>
      </c>
      <c r="K1175" s="13" t="n">
        <v>0.05</v>
      </c>
      <c r="L1175" s="12" t="n">
        <v>6205.49</v>
      </c>
      <c r="M1175" s="12" t="n">
        <v>4703.1</v>
      </c>
      <c r="N1175" s="12" t="n">
        <v>1502.39</v>
      </c>
      <c r="O1175" t="inlineStr">
        <is>
          <t>Net Banking</t>
        </is>
      </c>
      <c r="P1175" t="inlineStr">
        <is>
          <t>Aarav Sharma</t>
        </is>
      </c>
    </row>
    <row r="1176">
      <c r="A1176" t="inlineStr">
        <is>
          <t>ORD-2511-1175</t>
        </is>
      </c>
      <c r="B1176" s="11" t="n">
        <v>45989</v>
      </c>
      <c r="C1176" t="inlineStr">
        <is>
          <t>East</t>
        </is>
      </c>
      <c r="D1176" t="inlineStr">
        <is>
          <t>Guwahati</t>
        </is>
      </c>
      <c r="E1176" t="inlineStr">
        <is>
          <t>Small Business</t>
        </is>
      </c>
      <c r="F1176" t="inlineStr">
        <is>
          <t>Online</t>
        </is>
      </c>
      <c r="G1176" t="inlineStr">
        <is>
          <t>Furniture</t>
        </is>
      </c>
      <c r="H1176" t="inlineStr">
        <is>
          <t>Desk</t>
        </is>
      </c>
      <c r="I1176" t="n">
        <v>1</v>
      </c>
      <c r="J1176" s="12" t="n">
        <v>11045.59</v>
      </c>
      <c r="K1176" s="13" t="n">
        <v>0.1</v>
      </c>
      <c r="L1176" s="12" t="n">
        <v>9941.030000000001</v>
      </c>
      <c r="M1176" s="12" t="n">
        <v>8394.65</v>
      </c>
      <c r="N1176" s="12" t="n">
        <v>1546.38</v>
      </c>
      <c r="O1176" t="inlineStr">
        <is>
          <t>Cash</t>
        </is>
      </c>
      <c r="P1176" t="inlineStr">
        <is>
          <t>Aarav Sharma</t>
        </is>
      </c>
    </row>
    <row r="1177">
      <c r="A1177" t="inlineStr">
        <is>
          <t>ORD-2508-1176</t>
        </is>
      </c>
      <c r="B1177" s="11" t="n">
        <v>45899</v>
      </c>
      <c r="C1177" t="inlineStr">
        <is>
          <t>Central</t>
        </is>
      </c>
      <c r="D1177" t="inlineStr">
        <is>
          <t>Nagpur</t>
        </is>
      </c>
      <c r="E1177" t="inlineStr">
        <is>
          <t>Small Business</t>
        </is>
      </c>
      <c r="F1177" t="inlineStr">
        <is>
          <t>Online</t>
        </is>
      </c>
      <c r="G1177" t="inlineStr">
        <is>
          <t>Furniture</t>
        </is>
      </c>
      <c r="H1177" t="inlineStr">
        <is>
          <t>Bookshelf</t>
        </is>
      </c>
      <c r="I1177" t="n">
        <v>1</v>
      </c>
      <c r="J1177" s="12" t="n">
        <v>5322.76</v>
      </c>
      <c r="K1177" s="13" t="n">
        <v>0.1</v>
      </c>
      <c r="L1177" s="12" t="n">
        <v>4790.48</v>
      </c>
      <c r="M1177" s="12" t="n">
        <v>3938.84</v>
      </c>
      <c r="N1177" s="12" t="n">
        <v>851.64</v>
      </c>
      <c r="O1177" t="inlineStr">
        <is>
          <t>Credit Card</t>
        </is>
      </c>
      <c r="P1177" t="inlineStr">
        <is>
          <t>Sara Khan</t>
        </is>
      </c>
    </row>
    <row r="1178">
      <c r="A1178" t="inlineStr">
        <is>
          <t>ORD-2501-1177</t>
        </is>
      </c>
      <c r="B1178" s="11" t="n">
        <v>45672</v>
      </c>
      <c r="C1178" t="inlineStr">
        <is>
          <t>Central</t>
        </is>
      </c>
      <c r="D1178" t="inlineStr">
        <is>
          <t>Indore</t>
        </is>
      </c>
      <c r="E1178" t="inlineStr">
        <is>
          <t>Corporate</t>
        </is>
      </c>
      <c r="F1178" t="inlineStr">
        <is>
          <t>Online</t>
        </is>
      </c>
      <c r="G1178" t="inlineStr">
        <is>
          <t>Office Supplies</t>
        </is>
      </c>
      <c r="H1178" t="inlineStr">
        <is>
          <t>Paper Ream</t>
        </is>
      </c>
      <c r="I1178" t="n">
        <v>4</v>
      </c>
      <c r="J1178" s="12" t="n">
        <v>395.25</v>
      </c>
      <c r="K1178" s="13" t="n">
        <v>0.15</v>
      </c>
      <c r="L1178" s="12" t="n">
        <v>1343.85</v>
      </c>
      <c r="M1178" s="12" t="n">
        <v>1217.37</v>
      </c>
      <c r="N1178" s="12" t="n">
        <v>126.48</v>
      </c>
      <c r="O1178" t="inlineStr">
        <is>
          <t>Credit Card</t>
        </is>
      </c>
      <c r="P1178" t="inlineStr">
        <is>
          <t>Anaya Rao</t>
        </is>
      </c>
    </row>
    <row r="1179">
      <c r="A1179" t="inlineStr">
        <is>
          <t>ORD-2511-1178</t>
        </is>
      </c>
      <c r="B1179" s="11" t="n">
        <v>45984</v>
      </c>
      <c r="C1179" t="inlineStr">
        <is>
          <t>North</t>
        </is>
      </c>
      <c r="D1179" t="inlineStr">
        <is>
          <t>Chandigarh</t>
        </is>
      </c>
      <c r="E1179" t="inlineStr">
        <is>
          <t>Small Business</t>
        </is>
      </c>
      <c r="F1179" t="inlineStr">
        <is>
          <t>Partner</t>
        </is>
      </c>
      <c r="G1179" t="inlineStr">
        <is>
          <t>Technology</t>
        </is>
      </c>
      <c r="H1179" t="inlineStr">
        <is>
          <t>Monitor</t>
        </is>
      </c>
      <c r="I1179" t="n">
        <v>5</v>
      </c>
      <c r="J1179" s="12" t="n">
        <v>13205.15</v>
      </c>
      <c r="K1179" s="13" t="n">
        <v>0</v>
      </c>
      <c r="L1179" s="12" t="n">
        <v>66025.75</v>
      </c>
      <c r="M1179" s="12" t="n">
        <v>54141.12</v>
      </c>
      <c r="N1179" s="12" t="n">
        <v>11884.63</v>
      </c>
      <c r="O1179" t="inlineStr">
        <is>
          <t>Credit Card</t>
        </is>
      </c>
      <c r="P1179" t="inlineStr">
        <is>
          <t>Sara Khan</t>
        </is>
      </c>
    </row>
    <row r="1180">
      <c r="A1180" t="inlineStr">
        <is>
          <t>ORD-2512-1179</t>
        </is>
      </c>
      <c r="B1180" s="11" t="n">
        <v>46002</v>
      </c>
      <c r="C1180" t="inlineStr">
        <is>
          <t>East</t>
        </is>
      </c>
      <c r="D1180" t="inlineStr">
        <is>
          <t>Patna</t>
        </is>
      </c>
      <c r="E1180" t="inlineStr">
        <is>
          <t>Small Business</t>
        </is>
      </c>
      <c r="F1180" t="inlineStr">
        <is>
          <t>Retail Store</t>
        </is>
      </c>
      <c r="G1180" t="inlineStr">
        <is>
          <t>Office Supplies</t>
        </is>
      </c>
      <c r="H1180" t="inlineStr">
        <is>
          <t>Notebook Pack</t>
        </is>
      </c>
      <c r="I1180" t="n">
        <v>4</v>
      </c>
      <c r="J1180" s="12" t="n">
        <v>322.79</v>
      </c>
      <c r="K1180" s="13" t="n">
        <v>0.05</v>
      </c>
      <c r="L1180" s="12" t="n">
        <v>1226.6</v>
      </c>
      <c r="M1180" s="12" t="n">
        <v>877.99</v>
      </c>
      <c r="N1180" s="12" t="n">
        <v>348.61</v>
      </c>
      <c r="O1180" t="inlineStr">
        <is>
          <t>Debit Card</t>
        </is>
      </c>
      <c r="P1180" t="inlineStr">
        <is>
          <t>Aarav Sharma</t>
        </is>
      </c>
    </row>
    <row r="1181">
      <c r="A1181" t="inlineStr">
        <is>
          <t>ORD-2502-1180</t>
        </is>
      </c>
      <c r="B1181" s="11" t="n">
        <v>45691</v>
      </c>
      <c r="C1181" t="inlineStr">
        <is>
          <t>South</t>
        </is>
      </c>
      <c r="D1181" t="inlineStr">
        <is>
          <t>Chennai</t>
        </is>
      </c>
      <c r="E1181" t="inlineStr">
        <is>
          <t>Small Business</t>
        </is>
      </c>
      <c r="F1181" t="inlineStr">
        <is>
          <t>Online</t>
        </is>
      </c>
      <c r="G1181" t="inlineStr">
        <is>
          <t>Office Supplies</t>
        </is>
      </c>
      <c r="H1181" t="inlineStr">
        <is>
          <t>Paper Ream</t>
        </is>
      </c>
      <c r="I1181" t="n">
        <v>2</v>
      </c>
      <c r="J1181" s="12" t="n">
        <v>389.39</v>
      </c>
      <c r="K1181" s="13" t="n">
        <v>0</v>
      </c>
      <c r="L1181" s="12" t="n">
        <v>778.78</v>
      </c>
      <c r="M1181" s="12" t="n">
        <v>599.66</v>
      </c>
      <c r="N1181" s="12" t="n">
        <v>179.12</v>
      </c>
      <c r="O1181" t="inlineStr">
        <is>
          <t>Cash</t>
        </is>
      </c>
      <c r="P1181" t="inlineStr">
        <is>
          <t>Vivaan Gupta</t>
        </is>
      </c>
    </row>
    <row r="1182">
      <c r="A1182" t="inlineStr">
        <is>
          <t>ORD-2503-1181</t>
        </is>
      </c>
      <c r="B1182" s="11" t="n">
        <v>45746</v>
      </c>
      <c r="C1182" t="inlineStr">
        <is>
          <t>North</t>
        </is>
      </c>
      <c r="D1182" t="inlineStr">
        <is>
          <t>Chandigarh</t>
        </is>
      </c>
      <c r="E1182" t="inlineStr">
        <is>
          <t>Small Business</t>
        </is>
      </c>
      <c r="F1182" t="inlineStr">
        <is>
          <t>Online</t>
        </is>
      </c>
      <c r="G1182" t="inlineStr">
        <is>
          <t>Technology</t>
        </is>
      </c>
      <c r="H1182" t="inlineStr">
        <is>
          <t>Headphones</t>
        </is>
      </c>
      <c r="I1182" t="n">
        <v>3</v>
      </c>
      <c r="J1182" s="12" t="n">
        <v>2188.12</v>
      </c>
      <c r="K1182" s="13" t="n">
        <v>0</v>
      </c>
      <c r="L1182" s="12" t="n">
        <v>6564.36</v>
      </c>
      <c r="M1182" s="12" t="n">
        <v>5120.2</v>
      </c>
      <c r="N1182" s="12" t="n">
        <v>1444.16</v>
      </c>
      <c r="O1182" t="inlineStr">
        <is>
          <t>Cash</t>
        </is>
      </c>
      <c r="P1182" t="inlineStr">
        <is>
          <t>Anaya Rao</t>
        </is>
      </c>
    </row>
    <row r="1183">
      <c r="A1183" t="inlineStr">
        <is>
          <t>ORD-2502-1182</t>
        </is>
      </c>
      <c r="B1183" s="11" t="n">
        <v>45703</v>
      </c>
      <c r="C1183" t="inlineStr">
        <is>
          <t>North</t>
        </is>
      </c>
      <c r="D1183" t="inlineStr">
        <is>
          <t>Delhi</t>
        </is>
      </c>
      <c r="E1183" t="inlineStr">
        <is>
          <t>Consumer</t>
        </is>
      </c>
      <c r="F1183" t="inlineStr">
        <is>
          <t>Online</t>
        </is>
      </c>
      <c r="G1183" t="inlineStr">
        <is>
          <t>Technology</t>
        </is>
      </c>
      <c r="H1183" t="inlineStr">
        <is>
          <t>Keyboard</t>
        </is>
      </c>
      <c r="I1183" t="n">
        <v>4</v>
      </c>
      <c r="J1183" s="12" t="n">
        <v>1420.42</v>
      </c>
      <c r="K1183" s="13" t="n">
        <v>0</v>
      </c>
      <c r="L1183" s="12" t="n">
        <v>5681.68</v>
      </c>
      <c r="M1183" s="12" t="n">
        <v>4261.26</v>
      </c>
      <c r="N1183" s="12" t="n">
        <v>1420.42</v>
      </c>
      <c r="O1183" t="inlineStr">
        <is>
          <t>Credit Card</t>
        </is>
      </c>
      <c r="P1183" t="inlineStr">
        <is>
          <t>Meera Joshi</t>
        </is>
      </c>
    </row>
    <row r="1184">
      <c r="A1184" t="inlineStr">
        <is>
          <t>ORD-2511-1183</t>
        </is>
      </c>
      <c r="B1184" s="11" t="n">
        <v>45984</v>
      </c>
      <c r="C1184" t="inlineStr">
        <is>
          <t>East</t>
        </is>
      </c>
      <c r="D1184" t="inlineStr">
        <is>
          <t>Guwahati</t>
        </is>
      </c>
      <c r="E1184" t="inlineStr">
        <is>
          <t>Small Business</t>
        </is>
      </c>
      <c r="F1184" t="inlineStr">
        <is>
          <t>Partner</t>
        </is>
      </c>
      <c r="G1184" t="inlineStr">
        <is>
          <t>Technology</t>
        </is>
      </c>
      <c r="H1184" t="inlineStr">
        <is>
          <t>Monitor</t>
        </is>
      </c>
      <c r="I1184" t="n">
        <v>6</v>
      </c>
      <c r="J1184" s="12" t="n">
        <v>12115.56</v>
      </c>
      <c r="K1184" s="13" t="n">
        <v>0.2</v>
      </c>
      <c r="L1184" s="12" t="n">
        <v>58154.69</v>
      </c>
      <c r="M1184" s="12" t="n">
        <v>59608.56</v>
      </c>
      <c r="N1184" s="12" t="n">
        <v>-1453.87</v>
      </c>
      <c r="O1184" t="inlineStr">
        <is>
          <t>UPI</t>
        </is>
      </c>
      <c r="P1184" t="inlineStr">
        <is>
          <t>Kabir Singh</t>
        </is>
      </c>
    </row>
    <row r="1185">
      <c r="A1185" t="inlineStr">
        <is>
          <t>ORD-2506-1184</t>
        </is>
      </c>
      <c r="B1185" s="11" t="n">
        <v>45816</v>
      </c>
      <c r="C1185" t="inlineStr">
        <is>
          <t>North</t>
        </is>
      </c>
      <c r="D1185" t="inlineStr">
        <is>
          <t>Lucknow</t>
        </is>
      </c>
      <c r="E1185" t="inlineStr">
        <is>
          <t>Corporate</t>
        </is>
      </c>
      <c r="F1185" t="inlineStr">
        <is>
          <t>Online</t>
        </is>
      </c>
      <c r="G1185" t="inlineStr">
        <is>
          <t>Office Supplies</t>
        </is>
      </c>
      <c r="H1185" t="inlineStr">
        <is>
          <t>Paper Ream</t>
        </is>
      </c>
      <c r="I1185" t="n">
        <v>2</v>
      </c>
      <c r="J1185" s="12" t="n">
        <v>424.37</v>
      </c>
      <c r="K1185" s="13" t="n">
        <v>0</v>
      </c>
      <c r="L1185" s="12" t="n">
        <v>848.74</v>
      </c>
      <c r="M1185" s="12" t="n">
        <v>653.53</v>
      </c>
      <c r="N1185" s="12" t="n">
        <v>195.21</v>
      </c>
      <c r="O1185" t="inlineStr">
        <is>
          <t>UPI</t>
        </is>
      </c>
      <c r="P1185" t="inlineStr">
        <is>
          <t>Rohan Verma</t>
        </is>
      </c>
    </row>
    <row r="1186">
      <c r="A1186" t="inlineStr">
        <is>
          <t>ORD-2504-1185</t>
        </is>
      </c>
      <c r="B1186" s="11" t="n">
        <v>45760</v>
      </c>
      <c r="C1186" t="inlineStr">
        <is>
          <t>South</t>
        </is>
      </c>
      <c r="D1186" t="inlineStr">
        <is>
          <t>Hyderabad</t>
        </is>
      </c>
      <c r="E1186" t="inlineStr">
        <is>
          <t>Small Business</t>
        </is>
      </c>
      <c r="F1186" t="inlineStr">
        <is>
          <t>Retail Store</t>
        </is>
      </c>
      <c r="G1186" t="inlineStr">
        <is>
          <t>Technology</t>
        </is>
      </c>
      <c r="H1186" t="inlineStr">
        <is>
          <t>Headphones</t>
        </is>
      </c>
      <c r="I1186" t="n">
        <v>4</v>
      </c>
      <c r="J1186" s="12" t="n">
        <v>2196.44</v>
      </c>
      <c r="K1186" s="13" t="n">
        <v>0</v>
      </c>
      <c r="L1186" s="12" t="n">
        <v>8785.76</v>
      </c>
      <c r="M1186" s="12" t="n">
        <v>6852.89</v>
      </c>
      <c r="N1186" s="12" t="n">
        <v>1932.87</v>
      </c>
      <c r="O1186" t="inlineStr">
        <is>
          <t>Net Banking</t>
        </is>
      </c>
      <c r="P1186" t="inlineStr">
        <is>
          <t>Anaya Rao</t>
        </is>
      </c>
    </row>
    <row r="1187">
      <c r="A1187" t="inlineStr">
        <is>
          <t>ORD-2511-1186</t>
        </is>
      </c>
      <c r="B1187" s="11" t="n">
        <v>45981</v>
      </c>
      <c r="C1187" t="inlineStr">
        <is>
          <t>South</t>
        </is>
      </c>
      <c r="D1187" t="inlineStr">
        <is>
          <t>Bengaluru</t>
        </is>
      </c>
      <c r="E1187" t="inlineStr">
        <is>
          <t>Small Business</t>
        </is>
      </c>
      <c r="F1187" t="inlineStr">
        <is>
          <t>Retail Store</t>
        </is>
      </c>
      <c r="G1187" t="inlineStr">
        <is>
          <t>Office Supplies</t>
        </is>
      </c>
      <c r="H1187" t="inlineStr">
        <is>
          <t>Stapler</t>
        </is>
      </c>
      <c r="I1187" t="n">
        <v>3</v>
      </c>
      <c r="J1187" s="12" t="n">
        <v>262.86</v>
      </c>
      <c r="K1187" s="13" t="n">
        <v>0</v>
      </c>
      <c r="L1187" s="12" t="n">
        <v>788.58</v>
      </c>
      <c r="M1187" s="12" t="n">
        <v>552.01</v>
      </c>
      <c r="N1187" s="12" t="n">
        <v>236.57</v>
      </c>
      <c r="O1187" t="inlineStr">
        <is>
          <t>Net Banking</t>
        </is>
      </c>
      <c r="P1187" t="inlineStr">
        <is>
          <t>Rohan Verma</t>
        </is>
      </c>
    </row>
    <row r="1188">
      <c r="A1188" t="inlineStr">
        <is>
          <t>ORD-2504-1187</t>
        </is>
      </c>
      <c r="B1188" s="11" t="n">
        <v>45764</v>
      </c>
      <c r="C1188" t="inlineStr">
        <is>
          <t>East</t>
        </is>
      </c>
      <c r="D1188" t="inlineStr">
        <is>
          <t>Bhubaneswar</t>
        </is>
      </c>
      <c r="E1188" t="inlineStr">
        <is>
          <t>Corporate</t>
        </is>
      </c>
      <c r="F1188" t="inlineStr">
        <is>
          <t>Online</t>
        </is>
      </c>
      <c r="G1188" t="inlineStr">
        <is>
          <t>Technology</t>
        </is>
      </c>
      <c r="H1188" t="inlineStr">
        <is>
          <t>Monitor</t>
        </is>
      </c>
      <c r="I1188" t="n">
        <v>3</v>
      </c>
      <c r="J1188" s="12" t="n">
        <v>11936.51</v>
      </c>
      <c r="K1188" s="13" t="n">
        <v>0</v>
      </c>
      <c r="L1188" s="12" t="n">
        <v>35809.53</v>
      </c>
      <c r="M1188" s="12" t="n">
        <v>29363.81</v>
      </c>
      <c r="N1188" s="12" t="n">
        <v>6445.72</v>
      </c>
      <c r="O1188" t="inlineStr">
        <is>
          <t>Credit Card</t>
        </is>
      </c>
      <c r="P1188" t="inlineStr">
        <is>
          <t>Kabir Singh</t>
        </is>
      </c>
    </row>
    <row r="1189">
      <c r="A1189" t="inlineStr">
        <is>
          <t>ORD-2509-1188</t>
        </is>
      </c>
      <c r="B1189" s="11" t="n">
        <v>45901</v>
      </c>
      <c r="C1189" t="inlineStr">
        <is>
          <t>South</t>
        </is>
      </c>
      <c r="D1189" t="inlineStr">
        <is>
          <t>Kochi</t>
        </is>
      </c>
      <c r="E1189" t="inlineStr">
        <is>
          <t>Consumer</t>
        </is>
      </c>
      <c r="F1189" t="inlineStr">
        <is>
          <t>Retail Store</t>
        </is>
      </c>
      <c r="G1189" t="inlineStr">
        <is>
          <t>Office Supplies</t>
        </is>
      </c>
      <c r="H1189" t="inlineStr">
        <is>
          <t>Notebook Pack</t>
        </is>
      </c>
      <c r="I1189" t="n">
        <v>2</v>
      </c>
      <c r="J1189" s="12" t="n">
        <v>358.87</v>
      </c>
      <c r="K1189" s="13" t="n">
        <v>0.1</v>
      </c>
      <c r="L1189" s="12" t="n">
        <v>645.97</v>
      </c>
      <c r="M1189" s="12" t="n">
        <v>488.06</v>
      </c>
      <c r="N1189" s="12" t="n">
        <v>157.91</v>
      </c>
      <c r="O1189" t="inlineStr">
        <is>
          <t>Credit Card</t>
        </is>
      </c>
      <c r="P1189" t="inlineStr">
        <is>
          <t>Sara Khan</t>
        </is>
      </c>
    </row>
    <row r="1190">
      <c r="A1190" t="inlineStr">
        <is>
          <t>ORD-2501-1189</t>
        </is>
      </c>
      <c r="B1190" s="11" t="n">
        <v>45662</v>
      </c>
      <c r="C1190" t="inlineStr">
        <is>
          <t>South</t>
        </is>
      </c>
      <c r="D1190" t="inlineStr">
        <is>
          <t>Kochi</t>
        </is>
      </c>
      <c r="E1190" t="inlineStr">
        <is>
          <t>Corporate</t>
        </is>
      </c>
      <c r="F1190" t="inlineStr">
        <is>
          <t>Retail Store</t>
        </is>
      </c>
      <c r="G1190" t="inlineStr">
        <is>
          <t>Furniture</t>
        </is>
      </c>
      <c r="H1190" t="inlineStr">
        <is>
          <t>Bookshelf</t>
        </is>
      </c>
      <c r="I1190" t="n">
        <v>2</v>
      </c>
      <c r="J1190" s="12" t="n">
        <v>4867.37</v>
      </c>
      <c r="K1190" s="13" t="n">
        <v>0.1</v>
      </c>
      <c r="L1190" s="12" t="n">
        <v>8761.27</v>
      </c>
      <c r="M1190" s="12" t="n">
        <v>7203.71</v>
      </c>
      <c r="N1190" s="12" t="n">
        <v>1557.56</v>
      </c>
      <c r="O1190" t="inlineStr">
        <is>
          <t>UPI</t>
        </is>
      </c>
      <c r="P1190" t="inlineStr">
        <is>
          <t>Anaya Rao</t>
        </is>
      </c>
    </row>
    <row r="1191">
      <c r="A1191" t="inlineStr">
        <is>
          <t>ORD-2510-1190</t>
        </is>
      </c>
      <c r="B1191" s="11" t="n">
        <v>45937</v>
      </c>
      <c r="C1191" t="inlineStr">
        <is>
          <t>South</t>
        </is>
      </c>
      <c r="D1191" t="inlineStr">
        <is>
          <t>Bengaluru</t>
        </is>
      </c>
      <c r="E1191" t="inlineStr">
        <is>
          <t>Corporate</t>
        </is>
      </c>
      <c r="F1191" t="inlineStr">
        <is>
          <t>Partner</t>
        </is>
      </c>
      <c r="G1191" t="inlineStr">
        <is>
          <t>Furniture</t>
        </is>
      </c>
      <c r="H1191" t="inlineStr">
        <is>
          <t>Bookshelf</t>
        </is>
      </c>
      <c r="I1191" t="n">
        <v>5</v>
      </c>
      <c r="J1191" s="12" t="n">
        <v>5263.2</v>
      </c>
      <c r="K1191" s="13" t="n">
        <v>0.05</v>
      </c>
      <c r="L1191" s="12" t="n">
        <v>25000.2</v>
      </c>
      <c r="M1191" s="12" t="n">
        <v>19473.84</v>
      </c>
      <c r="N1191" s="12" t="n">
        <v>5526.36</v>
      </c>
      <c r="O1191" t="inlineStr">
        <is>
          <t>Debit Card</t>
        </is>
      </c>
      <c r="P1191" t="inlineStr">
        <is>
          <t>Anaya Rao</t>
        </is>
      </c>
    </row>
    <row r="1192">
      <c r="A1192" t="inlineStr">
        <is>
          <t>ORD-2505-1191</t>
        </is>
      </c>
      <c r="B1192" s="11" t="n">
        <v>45782</v>
      </c>
      <c r="C1192" t="inlineStr">
        <is>
          <t>East</t>
        </is>
      </c>
      <c r="D1192" t="inlineStr">
        <is>
          <t>Bhubaneswar</t>
        </is>
      </c>
      <c r="E1192" t="inlineStr">
        <is>
          <t>Consumer</t>
        </is>
      </c>
      <c r="F1192" t="inlineStr">
        <is>
          <t>Partner</t>
        </is>
      </c>
      <c r="G1192" t="inlineStr">
        <is>
          <t>Office Supplies</t>
        </is>
      </c>
      <c r="H1192" t="inlineStr">
        <is>
          <t>Notebook Pack</t>
        </is>
      </c>
      <c r="I1192" t="n">
        <v>2</v>
      </c>
      <c r="J1192" s="12" t="n">
        <v>338.81</v>
      </c>
      <c r="K1192" s="13" t="n">
        <v>0.1</v>
      </c>
      <c r="L1192" s="12" t="n">
        <v>609.86</v>
      </c>
      <c r="M1192" s="12" t="n">
        <v>460.78</v>
      </c>
      <c r="N1192" s="12" t="n">
        <v>149.08</v>
      </c>
      <c r="O1192" t="inlineStr">
        <is>
          <t>Credit Card</t>
        </is>
      </c>
      <c r="P1192" t="inlineStr">
        <is>
          <t>Vivaan Gupta</t>
        </is>
      </c>
    </row>
    <row r="1193">
      <c r="A1193" t="inlineStr">
        <is>
          <t>ORD-2508-1192</t>
        </is>
      </c>
      <c r="B1193" s="11" t="n">
        <v>45876</v>
      </c>
      <c r="C1193" t="inlineStr">
        <is>
          <t>East</t>
        </is>
      </c>
      <c r="D1193" t="inlineStr">
        <is>
          <t>Guwahati</t>
        </is>
      </c>
      <c r="E1193" t="inlineStr">
        <is>
          <t>Small Business</t>
        </is>
      </c>
      <c r="F1193" t="inlineStr">
        <is>
          <t>Partner</t>
        </is>
      </c>
      <c r="G1193" t="inlineStr">
        <is>
          <t>Office Supplies</t>
        </is>
      </c>
      <c r="H1193" t="inlineStr">
        <is>
          <t>Notebook Pack</t>
        </is>
      </c>
      <c r="I1193" t="n">
        <v>1</v>
      </c>
      <c r="J1193" s="12" t="n">
        <v>373.65</v>
      </c>
      <c r="K1193" s="13" t="n">
        <v>0.1</v>
      </c>
      <c r="L1193" s="12" t="n">
        <v>336.28</v>
      </c>
      <c r="M1193" s="12" t="n">
        <v>254.08</v>
      </c>
      <c r="N1193" s="12" t="n">
        <v>82.2</v>
      </c>
      <c r="O1193" t="inlineStr">
        <is>
          <t>Cash</t>
        </is>
      </c>
      <c r="P1193" t="inlineStr">
        <is>
          <t>Meera Joshi</t>
        </is>
      </c>
    </row>
    <row r="1194">
      <c r="A1194" t="inlineStr">
        <is>
          <t>ORD-2510-1193</t>
        </is>
      </c>
      <c r="B1194" s="11" t="n">
        <v>45948</v>
      </c>
      <c r="C1194" t="inlineStr">
        <is>
          <t>South</t>
        </is>
      </c>
      <c r="D1194" t="inlineStr">
        <is>
          <t>Chennai</t>
        </is>
      </c>
      <c r="E1194" t="inlineStr">
        <is>
          <t>Corporate</t>
        </is>
      </c>
      <c r="F1194" t="inlineStr">
        <is>
          <t>Online</t>
        </is>
      </c>
      <c r="G1194" t="inlineStr">
        <is>
          <t>Office Supplies</t>
        </is>
      </c>
      <c r="H1194" t="inlineStr">
        <is>
          <t>Pens Box</t>
        </is>
      </c>
      <c r="I1194" t="n">
        <v>2</v>
      </c>
      <c r="J1194" s="12" t="n">
        <v>193.55</v>
      </c>
      <c r="K1194" s="13" t="n">
        <v>0.2</v>
      </c>
      <c r="L1194" s="12" t="n">
        <v>309.68</v>
      </c>
      <c r="M1194" s="12" t="n">
        <v>251.62</v>
      </c>
      <c r="N1194" s="12" t="n">
        <v>58.06</v>
      </c>
      <c r="O1194" t="inlineStr">
        <is>
          <t>Net Banking</t>
        </is>
      </c>
      <c r="P1194" t="inlineStr">
        <is>
          <t>Anaya Rao</t>
        </is>
      </c>
    </row>
    <row r="1195">
      <c r="A1195" t="inlineStr">
        <is>
          <t>ORD-2507-1194</t>
        </is>
      </c>
      <c r="B1195" s="11" t="n">
        <v>45860</v>
      </c>
      <c r="C1195" t="inlineStr">
        <is>
          <t>South</t>
        </is>
      </c>
      <c r="D1195" t="inlineStr">
        <is>
          <t>Kochi</t>
        </is>
      </c>
      <c r="E1195" t="inlineStr">
        <is>
          <t>Corporate</t>
        </is>
      </c>
      <c r="F1195" t="inlineStr">
        <is>
          <t>Online</t>
        </is>
      </c>
      <c r="G1195" t="inlineStr">
        <is>
          <t>Technology</t>
        </is>
      </c>
      <c r="H1195" t="inlineStr">
        <is>
          <t>Laptop</t>
        </is>
      </c>
      <c r="I1195" t="n">
        <v>4</v>
      </c>
      <c r="J1195" s="12" t="n">
        <v>39796.3</v>
      </c>
      <c r="K1195" s="13" t="n">
        <v>0</v>
      </c>
      <c r="L1195" s="12" t="n">
        <v>159185.2</v>
      </c>
      <c r="M1195" s="12" t="n">
        <v>140082.98</v>
      </c>
      <c r="N1195" s="12" t="n">
        <v>19102.22</v>
      </c>
      <c r="O1195" t="inlineStr">
        <is>
          <t>UPI</t>
        </is>
      </c>
      <c r="P1195" t="inlineStr">
        <is>
          <t>Meera Joshi</t>
        </is>
      </c>
    </row>
    <row r="1196">
      <c r="A1196" t="inlineStr">
        <is>
          <t>ORD-2504-1195</t>
        </is>
      </c>
      <c r="B1196" s="11" t="n">
        <v>45762</v>
      </c>
      <c r="C1196" t="inlineStr">
        <is>
          <t>West</t>
        </is>
      </c>
      <c r="D1196" t="inlineStr">
        <is>
          <t>Mumbai</t>
        </is>
      </c>
      <c r="E1196" t="inlineStr">
        <is>
          <t>Corporate</t>
        </is>
      </c>
      <c r="F1196" t="inlineStr">
        <is>
          <t>Online</t>
        </is>
      </c>
      <c r="G1196" t="inlineStr">
        <is>
          <t>Office Supplies</t>
        </is>
      </c>
      <c r="H1196" t="inlineStr">
        <is>
          <t>Paper Ream</t>
        </is>
      </c>
      <c r="I1196" t="n">
        <v>2</v>
      </c>
      <c r="J1196" s="12" t="n">
        <v>443.23</v>
      </c>
      <c r="K1196" s="13" t="n">
        <v>0.1</v>
      </c>
      <c r="L1196" s="12" t="n">
        <v>797.8099999999999</v>
      </c>
      <c r="M1196" s="12" t="n">
        <v>682.5700000000001</v>
      </c>
      <c r="N1196" s="12" t="n">
        <v>115.24</v>
      </c>
      <c r="O1196" t="inlineStr">
        <is>
          <t>Debit Card</t>
        </is>
      </c>
      <c r="P1196" t="inlineStr">
        <is>
          <t>Kabir Singh</t>
        </is>
      </c>
    </row>
    <row r="1197">
      <c r="A1197" t="inlineStr">
        <is>
          <t>ORD-2506-1196</t>
        </is>
      </c>
      <c r="B1197" s="11" t="n">
        <v>45834</v>
      </c>
      <c r="C1197" t="inlineStr">
        <is>
          <t>North</t>
        </is>
      </c>
      <c r="D1197" t="inlineStr">
        <is>
          <t>Lucknow</t>
        </is>
      </c>
      <c r="E1197" t="inlineStr">
        <is>
          <t>Small Business</t>
        </is>
      </c>
      <c r="F1197" t="inlineStr">
        <is>
          <t>Retail Store</t>
        </is>
      </c>
      <c r="G1197" t="inlineStr">
        <is>
          <t>Furniture</t>
        </is>
      </c>
      <c r="H1197" t="inlineStr">
        <is>
          <t>Storage Cabinet</t>
        </is>
      </c>
      <c r="I1197" t="n">
        <v>4</v>
      </c>
      <c r="J1197" s="12" t="n">
        <v>9487.870000000001</v>
      </c>
      <c r="K1197" s="13" t="n">
        <v>0.1</v>
      </c>
      <c r="L1197" s="12" t="n">
        <v>34156.33</v>
      </c>
      <c r="M1197" s="12" t="n">
        <v>30361.18</v>
      </c>
      <c r="N1197" s="12" t="n">
        <v>3795.15</v>
      </c>
      <c r="O1197" t="inlineStr">
        <is>
          <t>Debit Card</t>
        </is>
      </c>
      <c r="P1197" t="inlineStr">
        <is>
          <t>Meera Joshi</t>
        </is>
      </c>
    </row>
    <row r="1198">
      <c r="A1198" t="inlineStr">
        <is>
          <t>ORD-2502-1197</t>
        </is>
      </c>
      <c r="B1198" s="11" t="n">
        <v>45707</v>
      </c>
      <c r="C1198" t="inlineStr">
        <is>
          <t>West</t>
        </is>
      </c>
      <c r="D1198" t="inlineStr">
        <is>
          <t>Pune</t>
        </is>
      </c>
      <c r="E1198" t="inlineStr">
        <is>
          <t>Corporate</t>
        </is>
      </c>
      <c r="F1198" t="inlineStr">
        <is>
          <t>Partner</t>
        </is>
      </c>
      <c r="G1198" t="inlineStr">
        <is>
          <t>Furniture</t>
        </is>
      </c>
      <c r="H1198" t="inlineStr">
        <is>
          <t>Office Chair</t>
        </is>
      </c>
      <c r="I1198" t="n">
        <v>4</v>
      </c>
      <c r="J1198" s="12" t="n">
        <v>7097.31</v>
      </c>
      <c r="K1198" s="13" t="n">
        <v>0</v>
      </c>
      <c r="L1198" s="12" t="n">
        <v>28389.24</v>
      </c>
      <c r="M1198" s="12" t="n">
        <v>20440.25</v>
      </c>
      <c r="N1198" s="12" t="n">
        <v>7948.99</v>
      </c>
      <c r="O1198" t="inlineStr">
        <is>
          <t>Debit Card</t>
        </is>
      </c>
      <c r="P1198" t="inlineStr">
        <is>
          <t>Vivaan Gupta</t>
        </is>
      </c>
    </row>
    <row r="1199">
      <c r="A1199" t="inlineStr">
        <is>
          <t>ORD-2510-1198</t>
        </is>
      </c>
      <c r="B1199" s="11" t="n">
        <v>45931</v>
      </c>
      <c r="C1199" t="inlineStr">
        <is>
          <t>North</t>
        </is>
      </c>
      <c r="D1199" t="inlineStr">
        <is>
          <t>Chandigarh</t>
        </is>
      </c>
      <c r="E1199" t="inlineStr">
        <is>
          <t>Small Business</t>
        </is>
      </c>
      <c r="F1199" t="inlineStr">
        <is>
          <t>Online</t>
        </is>
      </c>
      <c r="G1199" t="inlineStr">
        <is>
          <t>Furniture</t>
        </is>
      </c>
      <c r="H1199" t="inlineStr">
        <is>
          <t>Bookshelf</t>
        </is>
      </c>
      <c r="I1199" t="n">
        <v>4</v>
      </c>
      <c r="J1199" s="12" t="n">
        <v>4806.38</v>
      </c>
      <c r="K1199" s="13" t="n">
        <v>0.2</v>
      </c>
      <c r="L1199" s="12" t="n">
        <v>15380.42</v>
      </c>
      <c r="M1199" s="12" t="n">
        <v>14226.88</v>
      </c>
      <c r="N1199" s="12" t="n">
        <v>1153.54</v>
      </c>
      <c r="O1199" t="inlineStr">
        <is>
          <t>UPI</t>
        </is>
      </c>
      <c r="P1199" t="inlineStr">
        <is>
          <t>Sara Khan</t>
        </is>
      </c>
    </row>
    <row r="1200">
      <c r="A1200" t="inlineStr">
        <is>
          <t>ORD-2507-1199</t>
        </is>
      </c>
      <c r="B1200" s="11" t="n">
        <v>45843</v>
      </c>
      <c r="C1200" t="inlineStr">
        <is>
          <t>East</t>
        </is>
      </c>
      <c r="D1200" t="inlineStr">
        <is>
          <t>Kolkata</t>
        </is>
      </c>
      <c r="E1200" t="inlineStr">
        <is>
          <t>Consumer</t>
        </is>
      </c>
      <c r="F1200" t="inlineStr">
        <is>
          <t>Online</t>
        </is>
      </c>
      <c r="G1200" t="inlineStr">
        <is>
          <t>Office Supplies</t>
        </is>
      </c>
      <c r="H1200" t="inlineStr">
        <is>
          <t>Notebook Pack</t>
        </is>
      </c>
      <c r="I1200" t="n">
        <v>3</v>
      </c>
      <c r="J1200" s="12" t="n">
        <v>326.33</v>
      </c>
      <c r="K1200" s="13" t="n">
        <v>0.05</v>
      </c>
      <c r="L1200" s="12" t="n">
        <v>930.04</v>
      </c>
      <c r="M1200" s="12" t="n">
        <v>665.71</v>
      </c>
      <c r="N1200" s="12" t="n">
        <v>264.33</v>
      </c>
      <c r="O1200" t="inlineStr">
        <is>
          <t>Debit Card</t>
        </is>
      </c>
      <c r="P1200" t="inlineStr">
        <is>
          <t>Meera Joshi</t>
        </is>
      </c>
    </row>
    <row r="1201">
      <c r="A1201" t="inlineStr">
        <is>
          <t>ORD-2501-1200</t>
        </is>
      </c>
      <c r="B1201" s="11" t="n">
        <v>45680</v>
      </c>
      <c r="C1201" t="inlineStr">
        <is>
          <t>South</t>
        </is>
      </c>
      <c r="D1201" t="inlineStr">
        <is>
          <t>Hyderabad</t>
        </is>
      </c>
      <c r="E1201" t="inlineStr">
        <is>
          <t>Consumer</t>
        </is>
      </c>
      <c r="F1201" t="inlineStr">
        <is>
          <t>Retail Store</t>
        </is>
      </c>
      <c r="G1201" t="inlineStr">
        <is>
          <t>Furniture</t>
        </is>
      </c>
      <c r="H1201" t="inlineStr">
        <is>
          <t>Desk</t>
        </is>
      </c>
      <c r="I1201" t="n">
        <v>1</v>
      </c>
      <c r="J1201" s="12" t="n">
        <v>10910.97</v>
      </c>
      <c r="K1201" s="13" t="n">
        <v>0.05</v>
      </c>
      <c r="L1201" s="12" t="n">
        <v>10365.42</v>
      </c>
      <c r="M1201" s="12" t="n">
        <v>8292.34</v>
      </c>
      <c r="N1201" s="12" t="n">
        <v>2073.08</v>
      </c>
      <c r="O1201" t="inlineStr">
        <is>
          <t>Net Banking</t>
        </is>
      </c>
      <c r="P1201" t="inlineStr">
        <is>
          <t>Vivaan Gupta</t>
        </is>
      </c>
    </row>
    <row r="1202">
      <c r="A1202" t="inlineStr">
        <is>
          <t>ORD-2512-1201</t>
        </is>
      </c>
      <c r="B1202" s="11" t="n">
        <v>46003</v>
      </c>
      <c r="C1202" t="inlineStr">
        <is>
          <t>West</t>
        </is>
      </c>
      <c r="D1202" t="inlineStr">
        <is>
          <t>Mumbai</t>
        </is>
      </c>
      <c r="E1202" t="inlineStr">
        <is>
          <t>Small Business</t>
        </is>
      </c>
      <c r="F1202" t="inlineStr">
        <is>
          <t>Partner</t>
        </is>
      </c>
      <c r="G1202" t="inlineStr">
        <is>
          <t>Technology</t>
        </is>
      </c>
      <c r="H1202" t="inlineStr">
        <is>
          <t>Headphones</t>
        </is>
      </c>
      <c r="I1202" t="n">
        <v>8</v>
      </c>
      <c r="J1202" s="12" t="n">
        <v>2081.57</v>
      </c>
      <c r="K1202" s="13" t="n">
        <v>0.05</v>
      </c>
      <c r="L1202" s="12" t="n">
        <v>15819.93</v>
      </c>
      <c r="M1202" s="12" t="n">
        <v>12989</v>
      </c>
      <c r="N1202" s="12" t="n">
        <v>2830.93</v>
      </c>
      <c r="O1202" t="inlineStr">
        <is>
          <t>Credit Card</t>
        </is>
      </c>
      <c r="P1202" t="inlineStr">
        <is>
          <t>Anaya Rao</t>
        </is>
      </c>
    </row>
    <row r="1203">
      <c r="A1203" t="inlineStr">
        <is>
          <t>ORD-2502-1202</t>
        </is>
      </c>
      <c r="B1203" s="11" t="n">
        <v>45700</v>
      </c>
      <c r="C1203" t="inlineStr">
        <is>
          <t>East</t>
        </is>
      </c>
      <c r="D1203" t="inlineStr">
        <is>
          <t>Kolkata</t>
        </is>
      </c>
      <c r="E1203" t="inlineStr">
        <is>
          <t>Corporate</t>
        </is>
      </c>
      <c r="F1203" t="inlineStr">
        <is>
          <t>Online</t>
        </is>
      </c>
      <c r="G1203" t="inlineStr">
        <is>
          <t>Office Supplies</t>
        </is>
      </c>
      <c r="H1203" t="inlineStr">
        <is>
          <t>Pens Box</t>
        </is>
      </c>
      <c r="I1203" t="n">
        <v>5</v>
      </c>
      <c r="J1203" s="12" t="n">
        <v>165.95</v>
      </c>
      <c r="K1203" s="13" t="n">
        <v>0.15</v>
      </c>
      <c r="L1203" s="12" t="n">
        <v>705.29</v>
      </c>
      <c r="M1203" s="12" t="n">
        <v>539.34</v>
      </c>
      <c r="N1203" s="12" t="n">
        <v>165.95</v>
      </c>
      <c r="O1203" t="inlineStr">
        <is>
          <t>Cash</t>
        </is>
      </c>
      <c r="P1203" t="inlineStr">
        <is>
          <t>Vivaan Gupta</t>
        </is>
      </c>
    </row>
    <row r="1204">
      <c r="A1204" t="inlineStr">
        <is>
          <t>ORD-2512-1203</t>
        </is>
      </c>
      <c r="B1204" s="11" t="n">
        <v>46009</v>
      </c>
      <c r="C1204" t="inlineStr">
        <is>
          <t>West</t>
        </is>
      </c>
      <c r="D1204" t="inlineStr">
        <is>
          <t>Mumbai</t>
        </is>
      </c>
      <c r="E1204" t="inlineStr">
        <is>
          <t>Consumer</t>
        </is>
      </c>
      <c r="F1204" t="inlineStr">
        <is>
          <t>Retail Store</t>
        </is>
      </c>
      <c r="G1204" t="inlineStr">
        <is>
          <t>Furniture</t>
        </is>
      </c>
      <c r="H1204" t="inlineStr">
        <is>
          <t>Bookshelf</t>
        </is>
      </c>
      <c r="I1204" t="n">
        <v>4</v>
      </c>
      <c r="J1204" s="12" t="n">
        <v>5135.48</v>
      </c>
      <c r="K1204" s="13" t="n">
        <v>0.1</v>
      </c>
      <c r="L1204" s="12" t="n">
        <v>18487.73</v>
      </c>
      <c r="M1204" s="12" t="n">
        <v>15201.02</v>
      </c>
      <c r="N1204" s="12" t="n">
        <v>3286.71</v>
      </c>
      <c r="O1204" t="inlineStr">
        <is>
          <t>Debit Card</t>
        </is>
      </c>
      <c r="P1204" t="inlineStr">
        <is>
          <t>Rohan Verma</t>
        </is>
      </c>
    </row>
    <row r="1205">
      <c r="A1205" t="inlineStr">
        <is>
          <t>ORD-2511-1204</t>
        </is>
      </c>
      <c r="B1205" s="11" t="n">
        <v>45982</v>
      </c>
      <c r="C1205" t="inlineStr">
        <is>
          <t>North</t>
        </is>
      </c>
      <c r="D1205" t="inlineStr">
        <is>
          <t>Lucknow</t>
        </is>
      </c>
      <c r="E1205" t="inlineStr">
        <is>
          <t>Small Business</t>
        </is>
      </c>
      <c r="F1205" t="inlineStr">
        <is>
          <t>Retail Store</t>
        </is>
      </c>
      <c r="G1205" t="inlineStr">
        <is>
          <t>Furniture</t>
        </is>
      </c>
      <c r="H1205" t="inlineStr">
        <is>
          <t>Storage Cabinet</t>
        </is>
      </c>
      <c r="I1205" t="n">
        <v>2</v>
      </c>
      <c r="J1205" s="12" t="n">
        <v>8665.129999999999</v>
      </c>
      <c r="K1205" s="13" t="n">
        <v>0.05</v>
      </c>
      <c r="L1205" s="12" t="n">
        <v>16463.75</v>
      </c>
      <c r="M1205" s="12" t="n">
        <v>13864.21</v>
      </c>
      <c r="N1205" s="12" t="n">
        <v>2599.54</v>
      </c>
      <c r="O1205" t="inlineStr">
        <is>
          <t>Credit Card</t>
        </is>
      </c>
      <c r="P1205" t="inlineStr">
        <is>
          <t>Kabir Singh</t>
        </is>
      </c>
    </row>
    <row r="1206">
      <c r="A1206" t="inlineStr">
        <is>
          <t>ORD-2508-1205</t>
        </is>
      </c>
      <c r="B1206" s="11" t="n">
        <v>45875</v>
      </c>
      <c r="C1206" t="inlineStr">
        <is>
          <t>Central</t>
        </is>
      </c>
      <c r="D1206" t="inlineStr">
        <is>
          <t>Nagpur</t>
        </is>
      </c>
      <c r="E1206" t="inlineStr">
        <is>
          <t>Small Business</t>
        </is>
      </c>
      <c r="F1206" t="inlineStr">
        <is>
          <t>Partner</t>
        </is>
      </c>
      <c r="G1206" t="inlineStr">
        <is>
          <t>Office Supplies</t>
        </is>
      </c>
      <c r="H1206" t="inlineStr">
        <is>
          <t>Stapler</t>
        </is>
      </c>
      <c r="I1206" t="n">
        <v>4</v>
      </c>
      <c r="J1206" s="12" t="n">
        <v>253.22</v>
      </c>
      <c r="K1206" s="13" t="n">
        <v>0</v>
      </c>
      <c r="L1206" s="12" t="n">
        <v>1012.88</v>
      </c>
      <c r="M1206" s="12" t="n">
        <v>709.02</v>
      </c>
      <c r="N1206" s="12" t="n">
        <v>303.86</v>
      </c>
      <c r="O1206" t="inlineStr">
        <is>
          <t>Net Banking</t>
        </is>
      </c>
      <c r="P1206" t="inlineStr">
        <is>
          <t>Meera Joshi</t>
        </is>
      </c>
    </row>
    <row r="1207">
      <c r="A1207" t="inlineStr">
        <is>
          <t>ORD-2509-1206</t>
        </is>
      </c>
      <c r="B1207" s="11" t="n">
        <v>45921</v>
      </c>
      <c r="C1207" t="inlineStr">
        <is>
          <t>Central</t>
        </is>
      </c>
      <c r="D1207" t="inlineStr">
        <is>
          <t>Nagpur</t>
        </is>
      </c>
      <c r="E1207" t="inlineStr">
        <is>
          <t>Corporate</t>
        </is>
      </c>
      <c r="F1207" t="inlineStr">
        <is>
          <t>Retail Store</t>
        </is>
      </c>
      <c r="G1207" t="inlineStr">
        <is>
          <t>Furniture</t>
        </is>
      </c>
      <c r="H1207" t="inlineStr">
        <is>
          <t>Desk</t>
        </is>
      </c>
      <c r="I1207" t="n">
        <v>1</v>
      </c>
      <c r="J1207" s="12" t="n">
        <v>10803.65</v>
      </c>
      <c r="K1207" s="13" t="n">
        <v>0.05</v>
      </c>
      <c r="L1207" s="12" t="n">
        <v>10263.47</v>
      </c>
      <c r="M1207" s="12" t="n">
        <v>8210.77</v>
      </c>
      <c r="N1207" s="12" t="n">
        <v>2052.7</v>
      </c>
      <c r="O1207" t="inlineStr">
        <is>
          <t>Net Banking</t>
        </is>
      </c>
      <c r="P1207" t="inlineStr">
        <is>
          <t>Aarav Sharma</t>
        </is>
      </c>
    </row>
    <row r="1208">
      <c r="A1208" t="inlineStr">
        <is>
          <t>ORD-2511-1207</t>
        </is>
      </c>
      <c r="B1208" s="11" t="n">
        <v>45964</v>
      </c>
      <c r="C1208" t="inlineStr">
        <is>
          <t>East</t>
        </is>
      </c>
      <c r="D1208" t="inlineStr">
        <is>
          <t>Bhubaneswar</t>
        </is>
      </c>
      <c r="E1208" t="inlineStr">
        <is>
          <t>Small Business</t>
        </is>
      </c>
      <c r="F1208" t="inlineStr">
        <is>
          <t>Retail Store</t>
        </is>
      </c>
      <c r="G1208" t="inlineStr">
        <is>
          <t>Furniture</t>
        </is>
      </c>
      <c r="H1208" t="inlineStr">
        <is>
          <t>Desk</t>
        </is>
      </c>
      <c r="I1208" t="n">
        <v>2</v>
      </c>
      <c r="J1208" s="12" t="n">
        <v>12087.27</v>
      </c>
      <c r="K1208" s="13" t="n">
        <v>0.05</v>
      </c>
      <c r="L1208" s="12" t="n">
        <v>22965.81</v>
      </c>
      <c r="M1208" s="12" t="n">
        <v>18372.65</v>
      </c>
      <c r="N1208" s="12" t="n">
        <v>4593.16</v>
      </c>
      <c r="O1208" t="inlineStr">
        <is>
          <t>UPI</t>
        </is>
      </c>
      <c r="P1208" t="inlineStr">
        <is>
          <t>Rohan Verma</t>
        </is>
      </c>
    </row>
    <row r="1209">
      <c r="A1209" t="inlineStr">
        <is>
          <t>ORD-2507-1208</t>
        </is>
      </c>
      <c r="B1209" s="11" t="n">
        <v>45840</v>
      </c>
      <c r="C1209" t="inlineStr">
        <is>
          <t>West</t>
        </is>
      </c>
      <c r="D1209" t="inlineStr">
        <is>
          <t>Mumbai</t>
        </is>
      </c>
      <c r="E1209" t="inlineStr">
        <is>
          <t>Corporate</t>
        </is>
      </c>
      <c r="F1209" t="inlineStr">
        <is>
          <t>Partner</t>
        </is>
      </c>
      <c r="G1209" t="inlineStr">
        <is>
          <t>Furniture</t>
        </is>
      </c>
      <c r="H1209" t="inlineStr">
        <is>
          <t>Bookshelf</t>
        </is>
      </c>
      <c r="I1209" t="n">
        <v>2</v>
      </c>
      <c r="J1209" s="12" t="n">
        <v>5279.69</v>
      </c>
      <c r="K1209" s="13" t="n">
        <v>0.1</v>
      </c>
      <c r="L1209" s="12" t="n">
        <v>9503.440000000001</v>
      </c>
      <c r="M1209" s="12" t="n">
        <v>7813.94</v>
      </c>
      <c r="N1209" s="12" t="n">
        <v>1689.5</v>
      </c>
      <c r="O1209" t="inlineStr">
        <is>
          <t>Credit Card</t>
        </is>
      </c>
      <c r="P1209" t="inlineStr">
        <is>
          <t>Vivaan Gupta</t>
        </is>
      </c>
    </row>
    <row r="1210">
      <c r="A1210" t="inlineStr">
        <is>
          <t>ORD-2505-1209</t>
        </is>
      </c>
      <c r="B1210" s="11" t="n">
        <v>45785</v>
      </c>
      <c r="C1210" t="inlineStr">
        <is>
          <t>South</t>
        </is>
      </c>
      <c r="D1210" t="inlineStr">
        <is>
          <t>Bengaluru</t>
        </is>
      </c>
      <c r="E1210" t="inlineStr">
        <is>
          <t>Corporate</t>
        </is>
      </c>
      <c r="F1210" t="inlineStr">
        <is>
          <t>Retail Store</t>
        </is>
      </c>
      <c r="G1210" t="inlineStr">
        <is>
          <t>Furniture</t>
        </is>
      </c>
      <c r="H1210" t="inlineStr">
        <is>
          <t>Storage Cabinet</t>
        </is>
      </c>
      <c r="I1210" t="n">
        <v>1</v>
      </c>
      <c r="J1210" s="12" t="n">
        <v>9089.280000000001</v>
      </c>
      <c r="K1210" s="13" t="n">
        <v>0.1</v>
      </c>
      <c r="L1210" s="12" t="n">
        <v>8180.35</v>
      </c>
      <c r="M1210" s="12" t="n">
        <v>7271.42</v>
      </c>
      <c r="N1210" s="12" t="n">
        <v>908.9299999999999</v>
      </c>
      <c r="O1210" t="inlineStr">
        <is>
          <t>Net Banking</t>
        </is>
      </c>
      <c r="P1210" t="inlineStr">
        <is>
          <t>Anaya Rao</t>
        </is>
      </c>
    </row>
    <row r="1211">
      <c r="A1211" t="inlineStr">
        <is>
          <t>ORD-2512-1210</t>
        </is>
      </c>
      <c r="B1211" s="11" t="n">
        <v>46010</v>
      </c>
      <c r="C1211" t="inlineStr">
        <is>
          <t>Central</t>
        </is>
      </c>
      <c r="D1211" t="inlineStr">
        <is>
          <t>Indore</t>
        </is>
      </c>
      <c r="E1211" t="inlineStr">
        <is>
          <t>Small Business</t>
        </is>
      </c>
      <c r="F1211" t="inlineStr">
        <is>
          <t>Retail Store</t>
        </is>
      </c>
      <c r="G1211" t="inlineStr">
        <is>
          <t>Office Supplies</t>
        </is>
      </c>
      <c r="H1211" t="inlineStr">
        <is>
          <t>Stapler</t>
        </is>
      </c>
      <c r="I1211" t="n">
        <v>6</v>
      </c>
      <c r="J1211" s="12" t="n">
        <v>273.33</v>
      </c>
      <c r="K1211" s="13" t="n">
        <v>0.15</v>
      </c>
      <c r="L1211" s="12" t="n">
        <v>1393.98</v>
      </c>
      <c r="M1211" s="12" t="n">
        <v>1147.99</v>
      </c>
      <c r="N1211" s="12" t="n">
        <v>245.99</v>
      </c>
      <c r="O1211" t="inlineStr">
        <is>
          <t>Credit Card</t>
        </is>
      </c>
      <c r="P1211" t="inlineStr">
        <is>
          <t>Diya Patel</t>
        </is>
      </c>
    </row>
    <row r="1212">
      <c r="A1212" t="inlineStr">
        <is>
          <t>ORD-2506-1211</t>
        </is>
      </c>
      <c r="B1212" s="11" t="n">
        <v>45825</v>
      </c>
      <c r="C1212" t="inlineStr">
        <is>
          <t>East</t>
        </is>
      </c>
      <c r="D1212" t="inlineStr">
        <is>
          <t>Kolkata</t>
        </is>
      </c>
      <c r="E1212" t="inlineStr">
        <is>
          <t>Consumer</t>
        </is>
      </c>
      <c r="F1212" t="inlineStr">
        <is>
          <t>Retail Store</t>
        </is>
      </c>
      <c r="G1212" t="inlineStr">
        <is>
          <t>Technology</t>
        </is>
      </c>
      <c r="H1212" t="inlineStr">
        <is>
          <t>Keyboard</t>
        </is>
      </c>
      <c r="I1212" t="n">
        <v>3</v>
      </c>
      <c r="J1212" s="12" t="n">
        <v>1469.99</v>
      </c>
      <c r="K1212" s="13" t="n">
        <v>0.1</v>
      </c>
      <c r="L1212" s="12" t="n">
        <v>3968.97</v>
      </c>
      <c r="M1212" s="12" t="n">
        <v>3307.48</v>
      </c>
      <c r="N1212" s="12" t="n">
        <v>661.49</v>
      </c>
      <c r="O1212" t="inlineStr">
        <is>
          <t>Cash</t>
        </is>
      </c>
      <c r="P1212" t="inlineStr">
        <is>
          <t>Diya Patel</t>
        </is>
      </c>
    </row>
    <row r="1213">
      <c r="A1213" t="inlineStr">
        <is>
          <t>ORD-2506-1212</t>
        </is>
      </c>
      <c r="B1213" s="11" t="n">
        <v>45830</v>
      </c>
      <c r="C1213" t="inlineStr">
        <is>
          <t>East</t>
        </is>
      </c>
      <c r="D1213" t="inlineStr">
        <is>
          <t>Guwahati</t>
        </is>
      </c>
      <c r="E1213" t="inlineStr">
        <is>
          <t>Small Business</t>
        </is>
      </c>
      <c r="F1213" t="inlineStr">
        <is>
          <t>Partner</t>
        </is>
      </c>
      <c r="G1213" t="inlineStr">
        <is>
          <t>Furniture</t>
        </is>
      </c>
      <c r="H1213" t="inlineStr">
        <is>
          <t>Desk</t>
        </is>
      </c>
      <c r="I1213" t="n">
        <v>1</v>
      </c>
      <c r="J1213" s="12" t="n">
        <v>11052.62</v>
      </c>
      <c r="K1213" s="13" t="n">
        <v>0.2</v>
      </c>
      <c r="L1213" s="12" t="n">
        <v>8842.1</v>
      </c>
      <c r="M1213" s="12" t="n">
        <v>8399.99</v>
      </c>
      <c r="N1213" s="12" t="n">
        <v>442.11</v>
      </c>
      <c r="O1213" t="inlineStr">
        <is>
          <t>Credit Card</t>
        </is>
      </c>
      <c r="P1213" t="inlineStr">
        <is>
          <t>Vivaan Gupta</t>
        </is>
      </c>
    </row>
    <row r="1214">
      <c r="A1214" t="inlineStr">
        <is>
          <t>ORD-2503-1213</t>
        </is>
      </c>
      <c r="B1214" s="11" t="n">
        <v>45717</v>
      </c>
      <c r="C1214" t="inlineStr">
        <is>
          <t>South</t>
        </is>
      </c>
      <c r="D1214" t="inlineStr">
        <is>
          <t>Hyderabad</t>
        </is>
      </c>
      <c r="E1214" t="inlineStr">
        <is>
          <t>Small Business</t>
        </is>
      </c>
      <c r="F1214" t="inlineStr">
        <is>
          <t>Online</t>
        </is>
      </c>
      <c r="G1214" t="inlineStr">
        <is>
          <t>Technology</t>
        </is>
      </c>
      <c r="H1214" t="inlineStr">
        <is>
          <t>Headphones</t>
        </is>
      </c>
      <c r="I1214" t="n">
        <v>3</v>
      </c>
      <c r="J1214" s="12" t="n">
        <v>2303.39</v>
      </c>
      <c r="K1214" s="13" t="n">
        <v>0.1</v>
      </c>
      <c r="L1214" s="12" t="n">
        <v>6219.15</v>
      </c>
      <c r="M1214" s="12" t="n">
        <v>5389.93</v>
      </c>
      <c r="N1214" s="12" t="n">
        <v>829.22</v>
      </c>
      <c r="O1214" t="inlineStr">
        <is>
          <t>Net Banking</t>
        </is>
      </c>
      <c r="P1214" t="inlineStr">
        <is>
          <t>Anaya Rao</t>
        </is>
      </c>
    </row>
    <row r="1215">
      <c r="A1215" t="inlineStr">
        <is>
          <t>ORD-2504-1214</t>
        </is>
      </c>
      <c r="B1215" s="11" t="n">
        <v>45768</v>
      </c>
      <c r="C1215" t="inlineStr">
        <is>
          <t>West</t>
        </is>
      </c>
      <c r="D1215" t="inlineStr">
        <is>
          <t>Ahmedabad</t>
        </is>
      </c>
      <c r="E1215" t="inlineStr">
        <is>
          <t>Consumer</t>
        </is>
      </c>
      <c r="F1215" t="inlineStr">
        <is>
          <t>Partner</t>
        </is>
      </c>
      <c r="G1215" t="inlineStr">
        <is>
          <t>Office Supplies</t>
        </is>
      </c>
      <c r="H1215" t="inlineStr">
        <is>
          <t>Paper Ream</t>
        </is>
      </c>
      <c r="I1215" t="n">
        <v>4</v>
      </c>
      <c r="J1215" s="12" t="n">
        <v>420.11</v>
      </c>
      <c r="K1215" s="13" t="n">
        <v>0</v>
      </c>
      <c r="L1215" s="12" t="n">
        <v>1680.44</v>
      </c>
      <c r="M1215" s="12" t="n">
        <v>1293.94</v>
      </c>
      <c r="N1215" s="12" t="n">
        <v>386.5</v>
      </c>
      <c r="O1215" t="inlineStr">
        <is>
          <t>Debit Card</t>
        </is>
      </c>
      <c r="P1215" t="inlineStr">
        <is>
          <t>Kabir Singh</t>
        </is>
      </c>
    </row>
    <row r="1216">
      <c r="A1216" t="inlineStr">
        <is>
          <t>ORD-2512-1215</t>
        </is>
      </c>
      <c r="B1216" s="11" t="n">
        <v>46005</v>
      </c>
      <c r="C1216" t="inlineStr">
        <is>
          <t>East</t>
        </is>
      </c>
      <c r="D1216" t="inlineStr">
        <is>
          <t>Bhubaneswar</t>
        </is>
      </c>
      <c r="E1216" t="inlineStr">
        <is>
          <t>Consumer</t>
        </is>
      </c>
      <c r="F1216" t="inlineStr">
        <is>
          <t>Retail Store</t>
        </is>
      </c>
      <c r="G1216" t="inlineStr">
        <is>
          <t>Technology</t>
        </is>
      </c>
      <c r="H1216" t="inlineStr">
        <is>
          <t>Laptop</t>
        </is>
      </c>
      <c r="I1216" t="n">
        <v>2</v>
      </c>
      <c r="J1216" s="12" t="n">
        <v>41424.26</v>
      </c>
      <c r="K1216" s="13" t="n">
        <v>0</v>
      </c>
      <c r="L1216" s="12" t="n">
        <v>82848.52</v>
      </c>
      <c r="M1216" s="12" t="n">
        <v>72906.7</v>
      </c>
      <c r="N1216" s="12" t="n">
        <v>9941.82</v>
      </c>
      <c r="O1216" t="inlineStr">
        <is>
          <t>Net Banking</t>
        </is>
      </c>
      <c r="P1216" t="inlineStr">
        <is>
          <t>Anaya Rao</t>
        </is>
      </c>
    </row>
    <row r="1217">
      <c r="A1217" t="inlineStr">
        <is>
          <t>ORD-2511-1216</t>
        </is>
      </c>
      <c r="B1217" s="11" t="n">
        <v>45964</v>
      </c>
      <c r="C1217" t="inlineStr">
        <is>
          <t>East</t>
        </is>
      </c>
      <c r="D1217" t="inlineStr">
        <is>
          <t>Kolkata</t>
        </is>
      </c>
      <c r="E1217" t="inlineStr">
        <is>
          <t>Small Business</t>
        </is>
      </c>
      <c r="F1217" t="inlineStr">
        <is>
          <t>Retail Store</t>
        </is>
      </c>
      <c r="G1217" t="inlineStr">
        <is>
          <t>Technology</t>
        </is>
      </c>
      <c r="H1217" t="inlineStr">
        <is>
          <t>Printer</t>
        </is>
      </c>
      <c r="I1217" t="n">
        <v>2</v>
      </c>
      <c r="J1217" s="12" t="n">
        <v>9076.01</v>
      </c>
      <c r="K1217" s="13" t="n">
        <v>0.1</v>
      </c>
      <c r="L1217" s="12" t="n">
        <v>16336.82</v>
      </c>
      <c r="M1217" s="12" t="n">
        <v>15247.7</v>
      </c>
      <c r="N1217" s="12" t="n">
        <v>1089.12</v>
      </c>
      <c r="O1217" t="inlineStr">
        <is>
          <t>Cash</t>
        </is>
      </c>
      <c r="P1217" t="inlineStr">
        <is>
          <t>Anaya Rao</t>
        </is>
      </c>
    </row>
    <row r="1218">
      <c r="A1218" t="inlineStr">
        <is>
          <t>ORD-2510-1217</t>
        </is>
      </c>
      <c r="B1218" s="11" t="n">
        <v>45959</v>
      </c>
      <c r="C1218" t="inlineStr">
        <is>
          <t>West</t>
        </is>
      </c>
      <c r="D1218" t="inlineStr">
        <is>
          <t>Ahmedabad</t>
        </is>
      </c>
      <c r="E1218" t="inlineStr">
        <is>
          <t>Corporate</t>
        </is>
      </c>
      <c r="F1218" t="inlineStr">
        <is>
          <t>Retail Store</t>
        </is>
      </c>
      <c r="G1218" t="inlineStr">
        <is>
          <t>Furniture</t>
        </is>
      </c>
      <c r="H1218" t="inlineStr">
        <is>
          <t>Storage Cabinet</t>
        </is>
      </c>
      <c r="I1218" t="n">
        <v>2</v>
      </c>
      <c r="J1218" s="12" t="n">
        <v>8205.9</v>
      </c>
      <c r="K1218" s="13" t="n">
        <v>0.15</v>
      </c>
      <c r="L1218" s="12" t="n">
        <v>13950.03</v>
      </c>
      <c r="M1218" s="12" t="n">
        <v>13129.44</v>
      </c>
      <c r="N1218" s="12" t="n">
        <v>820.59</v>
      </c>
      <c r="O1218" t="inlineStr">
        <is>
          <t>Net Banking</t>
        </is>
      </c>
      <c r="P1218" t="inlineStr">
        <is>
          <t>Anaya Rao</t>
        </is>
      </c>
    </row>
    <row r="1219">
      <c r="A1219" t="inlineStr">
        <is>
          <t>ORD-2503-1218</t>
        </is>
      </c>
      <c r="B1219" s="11" t="n">
        <v>45735</v>
      </c>
      <c r="C1219" t="inlineStr">
        <is>
          <t>West</t>
        </is>
      </c>
      <c r="D1219" t="inlineStr">
        <is>
          <t>Surat</t>
        </is>
      </c>
      <c r="E1219" t="inlineStr">
        <is>
          <t>Corporate</t>
        </is>
      </c>
      <c r="F1219" t="inlineStr">
        <is>
          <t>Online</t>
        </is>
      </c>
      <c r="G1219" t="inlineStr">
        <is>
          <t>Technology</t>
        </is>
      </c>
      <c r="H1219" t="inlineStr">
        <is>
          <t>Printer</t>
        </is>
      </c>
      <c r="I1219" t="n">
        <v>3</v>
      </c>
      <c r="J1219" s="12" t="n">
        <v>9332.889999999999</v>
      </c>
      <c r="K1219" s="13" t="n">
        <v>0</v>
      </c>
      <c r="L1219" s="12" t="n">
        <v>27998.67</v>
      </c>
      <c r="M1219" s="12" t="n">
        <v>23518.88</v>
      </c>
      <c r="N1219" s="12" t="n">
        <v>4479.79</v>
      </c>
      <c r="O1219" t="inlineStr">
        <is>
          <t>Cash</t>
        </is>
      </c>
      <c r="P1219" t="inlineStr">
        <is>
          <t>Diya Patel</t>
        </is>
      </c>
    </row>
    <row r="1220">
      <c r="A1220" t="inlineStr">
        <is>
          <t>ORD-2511-1219</t>
        </is>
      </c>
      <c r="B1220" s="11" t="n">
        <v>45981</v>
      </c>
      <c r="C1220" t="inlineStr">
        <is>
          <t>West</t>
        </is>
      </c>
      <c r="D1220" t="inlineStr">
        <is>
          <t>Ahmedabad</t>
        </is>
      </c>
      <c r="E1220" t="inlineStr">
        <is>
          <t>Corporate</t>
        </is>
      </c>
      <c r="F1220" t="inlineStr">
        <is>
          <t>Retail Store</t>
        </is>
      </c>
      <c r="G1220" t="inlineStr">
        <is>
          <t>Technology</t>
        </is>
      </c>
      <c r="H1220" t="inlineStr">
        <is>
          <t>Monitor</t>
        </is>
      </c>
      <c r="I1220" t="n">
        <v>2</v>
      </c>
      <c r="J1220" s="12" t="n">
        <v>12238.38</v>
      </c>
      <c r="K1220" s="13" t="n">
        <v>0.2</v>
      </c>
      <c r="L1220" s="12" t="n">
        <v>19581.41</v>
      </c>
      <c r="M1220" s="12" t="n">
        <v>20070.94</v>
      </c>
      <c r="N1220" s="12" t="n">
        <v>-489.53</v>
      </c>
      <c r="O1220" t="inlineStr">
        <is>
          <t>Debit Card</t>
        </is>
      </c>
      <c r="P1220" t="inlineStr">
        <is>
          <t>Anaya Rao</t>
        </is>
      </c>
    </row>
    <row r="1221">
      <c r="A1221" t="inlineStr">
        <is>
          <t>ORD-2501-1220</t>
        </is>
      </c>
      <c r="B1221" s="11" t="n">
        <v>45673</v>
      </c>
      <c r="C1221" t="inlineStr">
        <is>
          <t>South</t>
        </is>
      </c>
      <c r="D1221" t="inlineStr">
        <is>
          <t>Chennai</t>
        </is>
      </c>
      <c r="E1221" t="inlineStr">
        <is>
          <t>Consumer</t>
        </is>
      </c>
      <c r="F1221" t="inlineStr">
        <is>
          <t>Retail Store</t>
        </is>
      </c>
      <c r="G1221" t="inlineStr">
        <is>
          <t>Office Supplies</t>
        </is>
      </c>
      <c r="H1221" t="inlineStr">
        <is>
          <t>Notebook Pack</t>
        </is>
      </c>
      <c r="I1221" t="n">
        <v>2</v>
      </c>
      <c r="J1221" s="12" t="n">
        <v>377.77</v>
      </c>
      <c r="K1221" s="13" t="n">
        <v>0.05</v>
      </c>
      <c r="L1221" s="12" t="n">
        <v>717.76</v>
      </c>
      <c r="M1221" s="12" t="n">
        <v>513.77</v>
      </c>
      <c r="N1221" s="12" t="n">
        <v>203.99</v>
      </c>
      <c r="O1221" t="inlineStr">
        <is>
          <t>Cash</t>
        </is>
      </c>
      <c r="P1221" t="inlineStr">
        <is>
          <t>Anaya Rao</t>
        </is>
      </c>
    </row>
    <row r="1222">
      <c r="A1222" t="inlineStr">
        <is>
          <t>ORD-2505-1221</t>
        </is>
      </c>
      <c r="B1222" s="11" t="n">
        <v>45778</v>
      </c>
      <c r="C1222" t="inlineStr">
        <is>
          <t>West</t>
        </is>
      </c>
      <c r="D1222" t="inlineStr">
        <is>
          <t>Pune</t>
        </is>
      </c>
      <c r="E1222" t="inlineStr">
        <is>
          <t>Consumer</t>
        </is>
      </c>
      <c r="F1222" t="inlineStr">
        <is>
          <t>Online</t>
        </is>
      </c>
      <c r="G1222" t="inlineStr">
        <is>
          <t>Furniture</t>
        </is>
      </c>
      <c r="H1222" t="inlineStr">
        <is>
          <t>Desk</t>
        </is>
      </c>
      <c r="I1222" t="n">
        <v>3</v>
      </c>
      <c r="J1222" s="12" t="n">
        <v>10758.44</v>
      </c>
      <c r="K1222" s="13" t="n">
        <v>0.15</v>
      </c>
      <c r="L1222" s="12" t="n">
        <v>27434.02</v>
      </c>
      <c r="M1222" s="12" t="n">
        <v>24529.24</v>
      </c>
      <c r="N1222" s="12" t="n">
        <v>2904.78</v>
      </c>
      <c r="O1222" t="inlineStr">
        <is>
          <t>Credit Card</t>
        </is>
      </c>
      <c r="P1222" t="inlineStr">
        <is>
          <t>Rohan Verma</t>
        </is>
      </c>
    </row>
    <row r="1223">
      <c r="A1223" t="inlineStr">
        <is>
          <t>ORD-2504-1222</t>
        </is>
      </c>
      <c r="B1223" s="11" t="n">
        <v>45749</v>
      </c>
      <c r="C1223" t="inlineStr">
        <is>
          <t>South</t>
        </is>
      </c>
      <c r="D1223" t="inlineStr">
        <is>
          <t>Kochi</t>
        </is>
      </c>
      <c r="E1223" t="inlineStr">
        <is>
          <t>Small Business</t>
        </is>
      </c>
      <c r="F1223" t="inlineStr">
        <is>
          <t>Retail Store</t>
        </is>
      </c>
      <c r="G1223" t="inlineStr">
        <is>
          <t>Furniture</t>
        </is>
      </c>
      <c r="H1223" t="inlineStr">
        <is>
          <t>Storage Cabinet</t>
        </is>
      </c>
      <c r="I1223" t="n">
        <v>2</v>
      </c>
      <c r="J1223" s="12" t="n">
        <v>8783.49</v>
      </c>
      <c r="K1223" s="13" t="n">
        <v>0.1</v>
      </c>
      <c r="L1223" s="12" t="n">
        <v>15810.28</v>
      </c>
      <c r="M1223" s="12" t="n">
        <v>14053.58</v>
      </c>
      <c r="N1223" s="12" t="n">
        <v>1756.7</v>
      </c>
      <c r="O1223" t="inlineStr">
        <is>
          <t>Net Banking</t>
        </is>
      </c>
      <c r="P1223" t="inlineStr">
        <is>
          <t>Sara Khan</t>
        </is>
      </c>
    </row>
    <row r="1224">
      <c r="A1224" t="inlineStr">
        <is>
          <t>ORD-2511-1223</t>
        </is>
      </c>
      <c r="B1224" s="11" t="n">
        <v>45980</v>
      </c>
      <c r="C1224" t="inlineStr">
        <is>
          <t>North</t>
        </is>
      </c>
      <c r="D1224" t="inlineStr">
        <is>
          <t>Chandigarh</t>
        </is>
      </c>
      <c r="E1224" t="inlineStr">
        <is>
          <t>Corporate</t>
        </is>
      </c>
      <c r="F1224" t="inlineStr">
        <is>
          <t>Retail Store</t>
        </is>
      </c>
      <c r="G1224" t="inlineStr">
        <is>
          <t>Furniture</t>
        </is>
      </c>
      <c r="H1224" t="inlineStr">
        <is>
          <t>Storage Cabinet</t>
        </is>
      </c>
      <c r="I1224" t="n">
        <v>3</v>
      </c>
      <c r="J1224" s="12" t="n">
        <v>9411.299999999999</v>
      </c>
      <c r="K1224" s="13" t="n">
        <v>0.05</v>
      </c>
      <c r="L1224" s="12" t="n">
        <v>26822.2</v>
      </c>
      <c r="M1224" s="12" t="n">
        <v>22587.12</v>
      </c>
      <c r="N1224" s="12" t="n">
        <v>4235.08</v>
      </c>
      <c r="O1224" t="inlineStr">
        <is>
          <t>Net Banking</t>
        </is>
      </c>
      <c r="P1224" t="inlineStr">
        <is>
          <t>Anaya Rao</t>
        </is>
      </c>
    </row>
    <row r="1225">
      <c r="A1225" t="inlineStr">
        <is>
          <t>ORD-2503-1224</t>
        </is>
      </c>
      <c r="B1225" s="11" t="n">
        <v>45738</v>
      </c>
      <c r="C1225" t="inlineStr">
        <is>
          <t>South</t>
        </is>
      </c>
      <c r="D1225" t="inlineStr">
        <is>
          <t>Kochi</t>
        </is>
      </c>
      <c r="E1225" t="inlineStr">
        <is>
          <t>Small Business</t>
        </is>
      </c>
      <c r="F1225" t="inlineStr">
        <is>
          <t>Online</t>
        </is>
      </c>
      <c r="G1225" t="inlineStr">
        <is>
          <t>Technology</t>
        </is>
      </c>
      <c r="H1225" t="inlineStr">
        <is>
          <t>Headphones</t>
        </is>
      </c>
      <c r="I1225" t="n">
        <v>1</v>
      </c>
      <c r="J1225" s="12" t="n">
        <v>2292.55</v>
      </c>
      <c r="K1225" s="13" t="n">
        <v>0.15</v>
      </c>
      <c r="L1225" s="12" t="n">
        <v>1948.67</v>
      </c>
      <c r="M1225" s="12" t="n">
        <v>1788.19</v>
      </c>
      <c r="N1225" s="12" t="n">
        <v>160.48</v>
      </c>
      <c r="O1225" t="inlineStr">
        <is>
          <t>Credit Card</t>
        </is>
      </c>
      <c r="P1225" t="inlineStr">
        <is>
          <t>Vivaan Gupta</t>
        </is>
      </c>
    </row>
    <row r="1226">
      <c r="A1226" t="inlineStr">
        <is>
          <t>ORD-2510-1225</t>
        </is>
      </c>
      <c r="B1226" s="11" t="n">
        <v>45955</v>
      </c>
      <c r="C1226" t="inlineStr">
        <is>
          <t>West</t>
        </is>
      </c>
      <c r="D1226" t="inlineStr">
        <is>
          <t>Surat</t>
        </is>
      </c>
      <c r="E1226" t="inlineStr">
        <is>
          <t>Small Business</t>
        </is>
      </c>
      <c r="F1226" t="inlineStr">
        <is>
          <t>Partner</t>
        </is>
      </c>
      <c r="G1226" t="inlineStr">
        <is>
          <t>Furniture</t>
        </is>
      </c>
      <c r="H1226" t="inlineStr">
        <is>
          <t>Desk</t>
        </is>
      </c>
      <c r="I1226" t="n">
        <v>1</v>
      </c>
      <c r="J1226" s="12" t="n">
        <v>10992.51</v>
      </c>
      <c r="K1226" s="13" t="n">
        <v>0</v>
      </c>
      <c r="L1226" s="12" t="n">
        <v>10992.51</v>
      </c>
      <c r="M1226" s="12" t="n">
        <v>8354.309999999999</v>
      </c>
      <c r="N1226" s="12" t="n">
        <v>2638.2</v>
      </c>
      <c r="O1226" t="inlineStr">
        <is>
          <t>Cash</t>
        </is>
      </c>
      <c r="P1226" t="inlineStr">
        <is>
          <t>Diya Patel</t>
        </is>
      </c>
    </row>
    <row r="1227">
      <c r="A1227" t="inlineStr">
        <is>
          <t>ORD-2511-1226</t>
        </is>
      </c>
      <c r="B1227" s="11" t="n">
        <v>45964</v>
      </c>
      <c r="C1227" t="inlineStr">
        <is>
          <t>Central</t>
        </is>
      </c>
      <c r="D1227" t="inlineStr">
        <is>
          <t>Nagpur</t>
        </is>
      </c>
      <c r="E1227" t="inlineStr">
        <is>
          <t>Corporate</t>
        </is>
      </c>
      <c r="F1227" t="inlineStr">
        <is>
          <t>Partner</t>
        </is>
      </c>
      <c r="G1227" t="inlineStr">
        <is>
          <t>Technology</t>
        </is>
      </c>
      <c r="H1227" t="inlineStr">
        <is>
          <t>Laptop</t>
        </is>
      </c>
      <c r="I1227" t="n">
        <v>2</v>
      </c>
      <c r="J1227" s="12" t="n">
        <v>42465.74</v>
      </c>
      <c r="K1227" s="13" t="n">
        <v>0</v>
      </c>
      <c r="L1227" s="12" t="n">
        <v>84931.48</v>
      </c>
      <c r="M1227" s="12" t="n">
        <v>74739.7</v>
      </c>
      <c r="N1227" s="12" t="n">
        <v>10191.78</v>
      </c>
      <c r="O1227" t="inlineStr">
        <is>
          <t>Credit Card</t>
        </is>
      </c>
      <c r="P1227" t="inlineStr">
        <is>
          <t>Sara Khan</t>
        </is>
      </c>
    </row>
    <row r="1228">
      <c r="A1228" t="inlineStr">
        <is>
          <t>ORD-2501-1227</t>
        </is>
      </c>
      <c r="B1228" s="11" t="n">
        <v>45669</v>
      </c>
      <c r="C1228" t="inlineStr">
        <is>
          <t>Central</t>
        </is>
      </c>
      <c r="D1228" t="inlineStr">
        <is>
          <t>Nagpur</t>
        </is>
      </c>
      <c r="E1228" t="inlineStr">
        <is>
          <t>Corporate</t>
        </is>
      </c>
      <c r="F1228" t="inlineStr">
        <is>
          <t>Retail Store</t>
        </is>
      </c>
      <c r="G1228" t="inlineStr">
        <is>
          <t>Furniture</t>
        </is>
      </c>
      <c r="H1228" t="inlineStr">
        <is>
          <t>Storage Cabinet</t>
        </is>
      </c>
      <c r="I1228" t="n">
        <v>3</v>
      </c>
      <c r="J1228" s="12" t="n">
        <v>9488.41</v>
      </c>
      <c r="K1228" s="13" t="n">
        <v>0</v>
      </c>
      <c r="L1228" s="12" t="n">
        <v>28465.23</v>
      </c>
      <c r="M1228" s="12" t="n">
        <v>22772.18</v>
      </c>
      <c r="N1228" s="12" t="n">
        <v>5693.05</v>
      </c>
      <c r="O1228" t="inlineStr">
        <is>
          <t>UPI</t>
        </is>
      </c>
      <c r="P1228" t="inlineStr">
        <is>
          <t>Kabir Singh</t>
        </is>
      </c>
    </row>
    <row r="1229">
      <c r="A1229" t="inlineStr">
        <is>
          <t>ORD-2508-1228</t>
        </is>
      </c>
      <c r="B1229" s="11" t="n">
        <v>45899</v>
      </c>
      <c r="C1229" t="inlineStr">
        <is>
          <t>South</t>
        </is>
      </c>
      <c r="D1229" t="inlineStr">
        <is>
          <t>Hyderabad</t>
        </is>
      </c>
      <c r="E1229" t="inlineStr">
        <is>
          <t>Corporate</t>
        </is>
      </c>
      <c r="F1229" t="inlineStr">
        <is>
          <t>Retail Store</t>
        </is>
      </c>
      <c r="G1229" t="inlineStr">
        <is>
          <t>Technology</t>
        </is>
      </c>
      <c r="H1229" t="inlineStr">
        <is>
          <t>Keyboard</t>
        </is>
      </c>
      <c r="I1229" t="n">
        <v>2</v>
      </c>
      <c r="J1229" s="12" t="n">
        <v>1334.37</v>
      </c>
      <c r="K1229" s="13" t="n">
        <v>0.15</v>
      </c>
      <c r="L1229" s="12" t="n">
        <v>2268.43</v>
      </c>
      <c r="M1229" s="12" t="n">
        <v>2001.55</v>
      </c>
      <c r="N1229" s="12" t="n">
        <v>266.88</v>
      </c>
      <c r="O1229" t="inlineStr">
        <is>
          <t>UPI</t>
        </is>
      </c>
      <c r="P1229" t="inlineStr">
        <is>
          <t>Anaya Rao</t>
        </is>
      </c>
    </row>
    <row r="1230">
      <c r="A1230" t="inlineStr">
        <is>
          <t>ORD-2505-1229</t>
        </is>
      </c>
      <c r="B1230" s="11" t="n">
        <v>45781</v>
      </c>
      <c r="C1230" t="inlineStr">
        <is>
          <t>South</t>
        </is>
      </c>
      <c r="D1230" t="inlineStr">
        <is>
          <t>Kochi</t>
        </is>
      </c>
      <c r="E1230" t="inlineStr">
        <is>
          <t>Consumer</t>
        </is>
      </c>
      <c r="F1230" t="inlineStr">
        <is>
          <t>Online</t>
        </is>
      </c>
      <c r="G1230" t="inlineStr">
        <is>
          <t>Furniture</t>
        </is>
      </c>
      <c r="H1230" t="inlineStr">
        <is>
          <t>Storage Cabinet</t>
        </is>
      </c>
      <c r="I1230" t="n">
        <v>4</v>
      </c>
      <c r="J1230" s="12" t="n">
        <v>9381.129999999999</v>
      </c>
      <c r="K1230" s="13" t="n">
        <v>0.15</v>
      </c>
      <c r="L1230" s="12" t="n">
        <v>31895.84</v>
      </c>
      <c r="M1230" s="12" t="n">
        <v>30019.62</v>
      </c>
      <c r="N1230" s="12" t="n">
        <v>1876.22</v>
      </c>
      <c r="O1230" t="inlineStr">
        <is>
          <t>Debit Card</t>
        </is>
      </c>
      <c r="P1230" t="inlineStr">
        <is>
          <t>Diya Patel</t>
        </is>
      </c>
    </row>
    <row r="1231">
      <c r="A1231" t="inlineStr">
        <is>
          <t>ORD-2501-1230</t>
        </is>
      </c>
      <c r="B1231" s="11" t="n">
        <v>45661</v>
      </c>
      <c r="C1231" t="inlineStr">
        <is>
          <t>North</t>
        </is>
      </c>
      <c r="D1231" t="inlineStr">
        <is>
          <t>Lucknow</t>
        </is>
      </c>
      <c r="E1231" t="inlineStr">
        <is>
          <t>Corporate</t>
        </is>
      </c>
      <c r="F1231" t="inlineStr">
        <is>
          <t>Retail Store</t>
        </is>
      </c>
      <c r="G1231" t="inlineStr">
        <is>
          <t>Office Supplies</t>
        </is>
      </c>
      <c r="H1231" t="inlineStr">
        <is>
          <t>Stapler</t>
        </is>
      </c>
      <c r="I1231" t="n">
        <v>3</v>
      </c>
      <c r="J1231" s="12" t="n">
        <v>255.23</v>
      </c>
      <c r="K1231" s="13" t="n">
        <v>0.05</v>
      </c>
      <c r="L1231" s="12" t="n">
        <v>727.41</v>
      </c>
      <c r="M1231" s="12" t="n">
        <v>535.98</v>
      </c>
      <c r="N1231" s="12" t="n">
        <v>191.43</v>
      </c>
      <c r="O1231" t="inlineStr">
        <is>
          <t>Cash</t>
        </is>
      </c>
      <c r="P1231" t="inlineStr">
        <is>
          <t>Diya Patel</t>
        </is>
      </c>
    </row>
    <row r="1232">
      <c r="A1232" t="inlineStr">
        <is>
          <t>ORD-2511-1231</t>
        </is>
      </c>
      <c r="B1232" s="11" t="n">
        <v>45968</v>
      </c>
      <c r="C1232" t="inlineStr">
        <is>
          <t>Central</t>
        </is>
      </c>
      <c r="D1232" t="inlineStr">
        <is>
          <t>Bhopal</t>
        </is>
      </c>
      <c r="E1232" t="inlineStr">
        <is>
          <t>Corporate</t>
        </is>
      </c>
      <c r="F1232" t="inlineStr">
        <is>
          <t>Partner</t>
        </is>
      </c>
      <c r="G1232" t="inlineStr">
        <is>
          <t>Furniture</t>
        </is>
      </c>
      <c r="H1232" t="inlineStr">
        <is>
          <t>Bookshelf</t>
        </is>
      </c>
      <c r="I1232" t="n">
        <v>3</v>
      </c>
      <c r="J1232" s="12" t="n">
        <v>5027.75</v>
      </c>
      <c r="K1232" s="13" t="n">
        <v>0.1</v>
      </c>
      <c r="L1232" s="12" t="n">
        <v>13574.93</v>
      </c>
      <c r="M1232" s="12" t="n">
        <v>11161.6</v>
      </c>
      <c r="N1232" s="12" t="n">
        <v>2413.33</v>
      </c>
      <c r="O1232" t="inlineStr">
        <is>
          <t>Credit Card</t>
        </is>
      </c>
      <c r="P1232" t="inlineStr">
        <is>
          <t>Sara Khan</t>
        </is>
      </c>
    </row>
    <row r="1233">
      <c r="A1233" t="inlineStr">
        <is>
          <t>ORD-2507-1232</t>
        </is>
      </c>
      <c r="B1233" s="11" t="n">
        <v>45862</v>
      </c>
      <c r="C1233" t="inlineStr">
        <is>
          <t>Central</t>
        </is>
      </c>
      <c r="D1233" t="inlineStr">
        <is>
          <t>Nagpur</t>
        </is>
      </c>
      <c r="E1233" t="inlineStr">
        <is>
          <t>Small Business</t>
        </is>
      </c>
      <c r="F1233" t="inlineStr">
        <is>
          <t>Online</t>
        </is>
      </c>
      <c r="G1233" t="inlineStr">
        <is>
          <t>Furniture</t>
        </is>
      </c>
      <c r="H1233" t="inlineStr">
        <is>
          <t>Desk</t>
        </is>
      </c>
      <c r="I1233" t="n">
        <v>5</v>
      </c>
      <c r="J1233" s="12" t="n">
        <v>12138.61</v>
      </c>
      <c r="K1233" s="13" t="n">
        <v>0</v>
      </c>
      <c r="L1233" s="12" t="n">
        <v>60693.05</v>
      </c>
      <c r="M1233" s="12" t="n">
        <v>46126.72</v>
      </c>
      <c r="N1233" s="12" t="n">
        <v>14566.33</v>
      </c>
      <c r="O1233" t="inlineStr">
        <is>
          <t>UPI</t>
        </is>
      </c>
      <c r="P1233" t="inlineStr">
        <is>
          <t>Sara Khan</t>
        </is>
      </c>
    </row>
    <row r="1234">
      <c r="A1234" t="inlineStr">
        <is>
          <t>ORD-2507-1233</t>
        </is>
      </c>
      <c r="B1234" s="11" t="n">
        <v>45869</v>
      </c>
      <c r="C1234" t="inlineStr">
        <is>
          <t>East</t>
        </is>
      </c>
      <c r="D1234" t="inlineStr">
        <is>
          <t>Patna</t>
        </is>
      </c>
      <c r="E1234" t="inlineStr">
        <is>
          <t>Small Business</t>
        </is>
      </c>
      <c r="F1234" t="inlineStr">
        <is>
          <t>Partner</t>
        </is>
      </c>
      <c r="G1234" t="inlineStr">
        <is>
          <t>Technology</t>
        </is>
      </c>
      <c r="H1234" t="inlineStr">
        <is>
          <t>Printer</t>
        </is>
      </c>
      <c r="I1234" t="n">
        <v>5</v>
      </c>
      <c r="J1234" s="12" t="n">
        <v>8887.629999999999</v>
      </c>
      <c r="K1234" s="13" t="n">
        <v>0</v>
      </c>
      <c r="L1234" s="12" t="n">
        <v>44438.15</v>
      </c>
      <c r="M1234" s="12" t="n">
        <v>37328.05</v>
      </c>
      <c r="N1234" s="12" t="n">
        <v>7110.1</v>
      </c>
      <c r="O1234" t="inlineStr">
        <is>
          <t>Credit Card</t>
        </is>
      </c>
      <c r="P1234" t="inlineStr">
        <is>
          <t>Anaya Rao</t>
        </is>
      </c>
    </row>
    <row r="1235">
      <c r="A1235" t="inlineStr">
        <is>
          <t>ORD-2512-1234</t>
        </is>
      </c>
      <c r="B1235" s="11" t="n">
        <v>46021</v>
      </c>
      <c r="C1235" t="inlineStr">
        <is>
          <t>West</t>
        </is>
      </c>
      <c r="D1235" t="inlineStr">
        <is>
          <t>Pune</t>
        </is>
      </c>
      <c r="E1235" t="inlineStr">
        <is>
          <t>Corporate</t>
        </is>
      </c>
      <c r="F1235" t="inlineStr">
        <is>
          <t>Partner</t>
        </is>
      </c>
      <c r="G1235" t="inlineStr">
        <is>
          <t>Office Supplies</t>
        </is>
      </c>
      <c r="H1235" t="inlineStr">
        <is>
          <t>File Folder</t>
        </is>
      </c>
      <c r="I1235" t="n">
        <v>2</v>
      </c>
      <c r="J1235" s="12" t="n">
        <v>89.2</v>
      </c>
      <c r="K1235" s="13" t="n">
        <v>0.05</v>
      </c>
      <c r="L1235" s="12" t="n">
        <v>169.48</v>
      </c>
      <c r="M1235" s="12" t="n">
        <v>110.61</v>
      </c>
      <c r="N1235" s="12" t="n">
        <v>58.87</v>
      </c>
      <c r="O1235" t="inlineStr">
        <is>
          <t>Net Banking</t>
        </is>
      </c>
      <c r="P1235" t="inlineStr">
        <is>
          <t>Rohan Verma</t>
        </is>
      </c>
    </row>
    <row r="1236">
      <c r="A1236" t="inlineStr">
        <is>
          <t>ORD-2511-1235</t>
        </is>
      </c>
      <c r="B1236" s="11" t="n">
        <v>45962</v>
      </c>
      <c r="C1236" t="inlineStr">
        <is>
          <t>North</t>
        </is>
      </c>
      <c r="D1236" t="inlineStr">
        <is>
          <t>Jaipur</t>
        </is>
      </c>
      <c r="E1236" t="inlineStr">
        <is>
          <t>Small Business</t>
        </is>
      </c>
      <c r="F1236" t="inlineStr">
        <is>
          <t>Retail Store</t>
        </is>
      </c>
      <c r="G1236" t="inlineStr">
        <is>
          <t>Technology</t>
        </is>
      </c>
      <c r="H1236" t="inlineStr">
        <is>
          <t>Keyboard</t>
        </is>
      </c>
      <c r="I1236" t="n">
        <v>3</v>
      </c>
      <c r="J1236" s="12" t="n">
        <v>1485.16</v>
      </c>
      <c r="K1236" s="13" t="n">
        <v>0</v>
      </c>
      <c r="L1236" s="12" t="n">
        <v>4455.48</v>
      </c>
      <c r="M1236" s="12" t="n">
        <v>3341.61</v>
      </c>
      <c r="N1236" s="12" t="n">
        <v>1113.87</v>
      </c>
      <c r="O1236" t="inlineStr">
        <is>
          <t>Net Banking</t>
        </is>
      </c>
      <c r="P1236" t="inlineStr">
        <is>
          <t>Rohan Verma</t>
        </is>
      </c>
    </row>
    <row r="1237">
      <c r="A1237" t="inlineStr">
        <is>
          <t>ORD-2503-1236</t>
        </is>
      </c>
      <c r="B1237" s="11" t="n">
        <v>45739</v>
      </c>
      <c r="C1237" t="inlineStr">
        <is>
          <t>Central</t>
        </is>
      </c>
      <c r="D1237" t="inlineStr">
        <is>
          <t>Raipur</t>
        </is>
      </c>
      <c r="E1237" t="inlineStr">
        <is>
          <t>Small Business</t>
        </is>
      </c>
      <c r="F1237" t="inlineStr">
        <is>
          <t>Online</t>
        </is>
      </c>
      <c r="G1237" t="inlineStr">
        <is>
          <t>Furniture</t>
        </is>
      </c>
      <c r="H1237" t="inlineStr">
        <is>
          <t>Bookshelf</t>
        </is>
      </c>
      <c r="I1237" t="n">
        <v>4</v>
      </c>
      <c r="J1237" s="12" t="n">
        <v>4912.5</v>
      </c>
      <c r="K1237" s="13" t="n">
        <v>0.1</v>
      </c>
      <c r="L1237" s="12" t="n">
        <v>17685</v>
      </c>
      <c r="M1237" s="12" t="n">
        <v>14541</v>
      </c>
      <c r="N1237" s="12" t="n">
        <v>3144</v>
      </c>
      <c r="O1237" t="inlineStr">
        <is>
          <t>UPI</t>
        </is>
      </c>
      <c r="P1237" t="inlineStr">
        <is>
          <t>Rohan Verma</t>
        </is>
      </c>
    </row>
    <row r="1238">
      <c r="A1238" t="inlineStr">
        <is>
          <t>ORD-2507-1237</t>
        </is>
      </c>
      <c r="B1238" s="11" t="n">
        <v>45854</v>
      </c>
      <c r="C1238" t="inlineStr">
        <is>
          <t>East</t>
        </is>
      </c>
      <c r="D1238" t="inlineStr">
        <is>
          <t>Patna</t>
        </is>
      </c>
      <c r="E1238" t="inlineStr">
        <is>
          <t>Consumer</t>
        </is>
      </c>
      <c r="F1238" t="inlineStr">
        <is>
          <t>Retail Store</t>
        </is>
      </c>
      <c r="G1238" t="inlineStr">
        <is>
          <t>Technology</t>
        </is>
      </c>
      <c r="H1238" t="inlineStr">
        <is>
          <t>Laptop</t>
        </is>
      </c>
      <c r="I1238" t="n">
        <v>5</v>
      </c>
      <c r="J1238" s="12" t="n">
        <v>39637</v>
      </c>
      <c r="K1238" s="13" t="n">
        <v>0.1</v>
      </c>
      <c r="L1238" s="12" t="n">
        <v>178366.5</v>
      </c>
      <c r="M1238" s="12" t="n">
        <v>174402.8</v>
      </c>
      <c r="N1238" s="12" t="n">
        <v>3963.7</v>
      </c>
      <c r="O1238" t="inlineStr">
        <is>
          <t>Net Banking</t>
        </is>
      </c>
      <c r="P1238" t="inlineStr">
        <is>
          <t>Vivaan Gupta</t>
        </is>
      </c>
    </row>
    <row r="1239">
      <c r="A1239" t="inlineStr">
        <is>
          <t>ORD-2509-1238</t>
        </is>
      </c>
      <c r="B1239" s="11" t="n">
        <v>45902</v>
      </c>
      <c r="C1239" t="inlineStr">
        <is>
          <t>Central</t>
        </is>
      </c>
      <c r="D1239" t="inlineStr">
        <is>
          <t>Indore</t>
        </is>
      </c>
      <c r="E1239" t="inlineStr">
        <is>
          <t>Small Business</t>
        </is>
      </c>
      <c r="F1239" t="inlineStr">
        <is>
          <t>Retail Store</t>
        </is>
      </c>
      <c r="G1239" t="inlineStr">
        <is>
          <t>Furniture</t>
        </is>
      </c>
      <c r="H1239" t="inlineStr">
        <is>
          <t>Office Chair</t>
        </is>
      </c>
      <c r="I1239" t="n">
        <v>4</v>
      </c>
      <c r="J1239" s="12" t="n">
        <v>6801.19</v>
      </c>
      <c r="K1239" s="13" t="n">
        <v>0.1</v>
      </c>
      <c r="L1239" s="12" t="n">
        <v>24484.28</v>
      </c>
      <c r="M1239" s="12" t="n">
        <v>19587.43</v>
      </c>
      <c r="N1239" s="12" t="n">
        <v>4896.85</v>
      </c>
      <c r="O1239" t="inlineStr">
        <is>
          <t>Debit Card</t>
        </is>
      </c>
      <c r="P1239" t="inlineStr">
        <is>
          <t>Anaya Rao</t>
        </is>
      </c>
    </row>
    <row r="1240">
      <c r="A1240" t="inlineStr">
        <is>
          <t>ORD-2511-1239</t>
        </is>
      </c>
      <c r="B1240" s="11" t="n">
        <v>45989</v>
      </c>
      <c r="C1240" t="inlineStr">
        <is>
          <t>South</t>
        </is>
      </c>
      <c r="D1240" t="inlineStr">
        <is>
          <t>Kochi</t>
        </is>
      </c>
      <c r="E1240" t="inlineStr">
        <is>
          <t>Consumer</t>
        </is>
      </c>
      <c r="F1240" t="inlineStr">
        <is>
          <t>Retail Store</t>
        </is>
      </c>
      <c r="G1240" t="inlineStr">
        <is>
          <t>Technology</t>
        </is>
      </c>
      <c r="H1240" t="inlineStr">
        <is>
          <t>Keyboard</t>
        </is>
      </c>
      <c r="I1240" t="n">
        <v>3</v>
      </c>
      <c r="J1240" s="12" t="n">
        <v>1437.8</v>
      </c>
      <c r="K1240" s="13" t="n">
        <v>0.05</v>
      </c>
      <c r="L1240" s="12" t="n">
        <v>4097.73</v>
      </c>
      <c r="M1240" s="12" t="n">
        <v>3235.05</v>
      </c>
      <c r="N1240" s="12" t="n">
        <v>862.6799999999999</v>
      </c>
      <c r="O1240" t="inlineStr">
        <is>
          <t>UPI</t>
        </is>
      </c>
      <c r="P1240" t="inlineStr">
        <is>
          <t>Rohan Verma</t>
        </is>
      </c>
    </row>
    <row r="1241">
      <c r="A1241" t="inlineStr">
        <is>
          <t>ORD-2504-1240</t>
        </is>
      </c>
      <c r="B1241" s="11" t="n">
        <v>45763</v>
      </c>
      <c r="C1241" t="inlineStr">
        <is>
          <t>South</t>
        </is>
      </c>
      <c r="D1241" t="inlineStr">
        <is>
          <t>Chennai</t>
        </is>
      </c>
      <c r="E1241" t="inlineStr">
        <is>
          <t>Consumer</t>
        </is>
      </c>
      <c r="F1241" t="inlineStr">
        <is>
          <t>Retail Store</t>
        </is>
      </c>
      <c r="G1241" t="inlineStr">
        <is>
          <t>Technology</t>
        </is>
      </c>
      <c r="H1241" t="inlineStr">
        <is>
          <t>Headphones</t>
        </is>
      </c>
      <c r="I1241" t="n">
        <v>3</v>
      </c>
      <c r="J1241" s="12" t="n">
        <v>2066.1</v>
      </c>
      <c r="K1241" s="13" t="n">
        <v>0.1</v>
      </c>
      <c r="L1241" s="12" t="n">
        <v>5578.47</v>
      </c>
      <c r="M1241" s="12" t="n">
        <v>4834.67</v>
      </c>
      <c r="N1241" s="12" t="n">
        <v>743.8</v>
      </c>
      <c r="O1241" t="inlineStr">
        <is>
          <t>Debit Card</t>
        </is>
      </c>
      <c r="P1241" t="inlineStr">
        <is>
          <t>Anaya Rao</t>
        </is>
      </c>
    </row>
    <row r="1242">
      <c r="A1242" t="inlineStr">
        <is>
          <t>ORD-2510-1241</t>
        </is>
      </c>
      <c r="B1242" s="11" t="n">
        <v>45949</v>
      </c>
      <c r="C1242" t="inlineStr">
        <is>
          <t>North</t>
        </is>
      </c>
      <c r="D1242" t="inlineStr">
        <is>
          <t>Jaipur</t>
        </is>
      </c>
      <c r="E1242" t="inlineStr">
        <is>
          <t>Consumer</t>
        </is>
      </c>
      <c r="F1242" t="inlineStr">
        <is>
          <t>Retail Store</t>
        </is>
      </c>
      <c r="G1242" t="inlineStr">
        <is>
          <t>Office Supplies</t>
        </is>
      </c>
      <c r="H1242" t="inlineStr">
        <is>
          <t>Paper Ream</t>
        </is>
      </c>
      <c r="I1242" t="n">
        <v>2</v>
      </c>
      <c r="J1242" s="12" t="n">
        <v>413.18</v>
      </c>
      <c r="K1242" s="13" t="n">
        <v>0.1</v>
      </c>
      <c r="L1242" s="12" t="n">
        <v>743.72</v>
      </c>
      <c r="M1242" s="12" t="n">
        <v>636.3</v>
      </c>
      <c r="N1242" s="12" t="n">
        <v>107.42</v>
      </c>
      <c r="O1242" t="inlineStr">
        <is>
          <t>Cash</t>
        </is>
      </c>
      <c r="P1242" t="inlineStr">
        <is>
          <t>Diya Patel</t>
        </is>
      </c>
    </row>
    <row r="1243">
      <c r="A1243" t="inlineStr">
        <is>
          <t>ORD-2505-1242</t>
        </is>
      </c>
      <c r="B1243" s="11" t="n">
        <v>45796</v>
      </c>
      <c r="C1243" t="inlineStr">
        <is>
          <t>Central</t>
        </is>
      </c>
      <c r="D1243" t="inlineStr">
        <is>
          <t>Bhopal</t>
        </is>
      </c>
      <c r="E1243" t="inlineStr">
        <is>
          <t>Corporate</t>
        </is>
      </c>
      <c r="F1243" t="inlineStr">
        <is>
          <t>Partner</t>
        </is>
      </c>
      <c r="G1243" t="inlineStr">
        <is>
          <t>Office Supplies</t>
        </is>
      </c>
      <c r="H1243" t="inlineStr">
        <is>
          <t>File Folder</t>
        </is>
      </c>
      <c r="I1243" t="n">
        <v>1</v>
      </c>
      <c r="J1243" s="12" t="n">
        <v>86.37</v>
      </c>
      <c r="K1243" s="13" t="n">
        <v>0.1</v>
      </c>
      <c r="L1243" s="12" t="n">
        <v>77.73</v>
      </c>
      <c r="M1243" s="12" t="n">
        <v>53.55</v>
      </c>
      <c r="N1243" s="12" t="n">
        <v>24.18</v>
      </c>
      <c r="O1243" t="inlineStr">
        <is>
          <t>UPI</t>
        </is>
      </c>
      <c r="P1243" t="inlineStr">
        <is>
          <t>Meera Joshi</t>
        </is>
      </c>
    </row>
    <row r="1244">
      <c r="A1244" t="inlineStr">
        <is>
          <t>ORD-2504-1243</t>
        </is>
      </c>
      <c r="B1244" s="11" t="n">
        <v>45774</v>
      </c>
      <c r="C1244" t="inlineStr">
        <is>
          <t>West</t>
        </is>
      </c>
      <c r="D1244" t="inlineStr">
        <is>
          <t>Pune</t>
        </is>
      </c>
      <c r="E1244" t="inlineStr">
        <is>
          <t>Small Business</t>
        </is>
      </c>
      <c r="F1244" t="inlineStr">
        <is>
          <t>Online</t>
        </is>
      </c>
      <c r="G1244" t="inlineStr">
        <is>
          <t>Technology</t>
        </is>
      </c>
      <c r="H1244" t="inlineStr">
        <is>
          <t>Laptop</t>
        </is>
      </c>
      <c r="I1244" t="n">
        <v>10</v>
      </c>
      <c r="J1244" s="12" t="n">
        <v>40504.64</v>
      </c>
      <c r="K1244" s="13" t="n">
        <v>0</v>
      </c>
      <c r="L1244" s="12" t="n">
        <v>405046.4</v>
      </c>
      <c r="M1244" s="12" t="n">
        <v>356440.83</v>
      </c>
      <c r="N1244" s="12" t="n">
        <v>48605.57</v>
      </c>
      <c r="O1244" t="inlineStr">
        <is>
          <t>Credit Card</t>
        </is>
      </c>
      <c r="P1244" t="inlineStr">
        <is>
          <t>Kabir Singh</t>
        </is>
      </c>
    </row>
    <row r="1245">
      <c r="A1245" t="inlineStr">
        <is>
          <t>ORD-2509-1244</t>
        </is>
      </c>
      <c r="B1245" s="11" t="n">
        <v>45925</v>
      </c>
      <c r="C1245" t="inlineStr">
        <is>
          <t>East</t>
        </is>
      </c>
      <c r="D1245" t="inlineStr">
        <is>
          <t>Kolkata</t>
        </is>
      </c>
      <c r="E1245" t="inlineStr">
        <is>
          <t>Corporate</t>
        </is>
      </c>
      <c r="F1245" t="inlineStr">
        <is>
          <t>Online</t>
        </is>
      </c>
      <c r="G1245" t="inlineStr">
        <is>
          <t>Technology</t>
        </is>
      </c>
      <c r="H1245" t="inlineStr">
        <is>
          <t>Printer</t>
        </is>
      </c>
      <c r="I1245" t="n">
        <v>2</v>
      </c>
      <c r="J1245" s="12" t="n">
        <v>9623.530000000001</v>
      </c>
      <c r="K1245" s="13" t="n">
        <v>0.1</v>
      </c>
      <c r="L1245" s="12" t="n">
        <v>17322.35</v>
      </c>
      <c r="M1245" s="12" t="n">
        <v>16167.53</v>
      </c>
      <c r="N1245" s="12" t="n">
        <v>1154.82</v>
      </c>
      <c r="O1245" t="inlineStr">
        <is>
          <t>Cash</t>
        </is>
      </c>
      <c r="P1245" t="inlineStr">
        <is>
          <t>Aarav Sharma</t>
        </is>
      </c>
    </row>
    <row r="1246">
      <c r="A1246" t="inlineStr">
        <is>
          <t>ORD-2506-1245</t>
        </is>
      </c>
      <c r="B1246" s="11" t="n">
        <v>45821</v>
      </c>
      <c r="C1246" t="inlineStr">
        <is>
          <t>North</t>
        </is>
      </c>
      <c r="D1246" t="inlineStr">
        <is>
          <t>Jaipur</t>
        </is>
      </c>
      <c r="E1246" t="inlineStr">
        <is>
          <t>Small Business</t>
        </is>
      </c>
      <c r="F1246" t="inlineStr">
        <is>
          <t>Partner</t>
        </is>
      </c>
      <c r="G1246" t="inlineStr">
        <is>
          <t>Furniture</t>
        </is>
      </c>
      <c r="H1246" t="inlineStr">
        <is>
          <t>Bookshelf</t>
        </is>
      </c>
      <c r="I1246" t="n">
        <v>1</v>
      </c>
      <c r="J1246" s="12" t="n">
        <v>4948.23</v>
      </c>
      <c r="K1246" s="13" t="n">
        <v>0</v>
      </c>
      <c r="L1246" s="12" t="n">
        <v>4948.23</v>
      </c>
      <c r="M1246" s="12" t="n">
        <v>3661.69</v>
      </c>
      <c r="N1246" s="12" t="n">
        <v>1286.54</v>
      </c>
      <c r="O1246" t="inlineStr">
        <is>
          <t>UPI</t>
        </is>
      </c>
      <c r="P1246" t="inlineStr">
        <is>
          <t>Anaya Rao</t>
        </is>
      </c>
    </row>
    <row r="1247">
      <c r="A1247" t="inlineStr">
        <is>
          <t>ORD-2506-1246</t>
        </is>
      </c>
      <c r="B1247" s="11" t="n">
        <v>45811</v>
      </c>
      <c r="C1247" t="inlineStr">
        <is>
          <t>Central</t>
        </is>
      </c>
      <c r="D1247" t="inlineStr">
        <is>
          <t>Bhopal</t>
        </is>
      </c>
      <c r="E1247" t="inlineStr">
        <is>
          <t>Corporate</t>
        </is>
      </c>
      <c r="F1247" t="inlineStr">
        <is>
          <t>Partner</t>
        </is>
      </c>
      <c r="G1247" t="inlineStr">
        <is>
          <t>Office Supplies</t>
        </is>
      </c>
      <c r="H1247" t="inlineStr">
        <is>
          <t>Notebook Pack</t>
        </is>
      </c>
      <c r="I1247" t="n">
        <v>2</v>
      </c>
      <c r="J1247" s="12" t="n">
        <v>362.32</v>
      </c>
      <c r="K1247" s="13" t="n">
        <v>0.15</v>
      </c>
      <c r="L1247" s="12" t="n">
        <v>615.9400000000001</v>
      </c>
      <c r="M1247" s="12" t="n">
        <v>492.76</v>
      </c>
      <c r="N1247" s="12" t="n">
        <v>123.18</v>
      </c>
      <c r="O1247" t="inlineStr">
        <is>
          <t>UPI</t>
        </is>
      </c>
      <c r="P1247" t="inlineStr">
        <is>
          <t>Anaya Rao</t>
        </is>
      </c>
    </row>
    <row r="1248">
      <c r="A1248" t="inlineStr">
        <is>
          <t>ORD-2501-1247</t>
        </is>
      </c>
      <c r="B1248" s="11" t="n">
        <v>45658</v>
      </c>
      <c r="C1248" t="inlineStr">
        <is>
          <t>East</t>
        </is>
      </c>
      <c r="D1248" t="inlineStr">
        <is>
          <t>Guwahati</t>
        </is>
      </c>
      <c r="E1248" t="inlineStr">
        <is>
          <t>Corporate</t>
        </is>
      </c>
      <c r="F1248" t="inlineStr">
        <is>
          <t>Partner</t>
        </is>
      </c>
      <c r="G1248" t="inlineStr">
        <is>
          <t>Office Supplies</t>
        </is>
      </c>
      <c r="H1248" t="inlineStr">
        <is>
          <t>Notebook Pack</t>
        </is>
      </c>
      <c r="I1248" t="n">
        <v>2</v>
      </c>
      <c r="J1248" s="12" t="n">
        <v>340.4</v>
      </c>
      <c r="K1248" s="13" t="n">
        <v>0.1</v>
      </c>
      <c r="L1248" s="12" t="n">
        <v>612.72</v>
      </c>
      <c r="M1248" s="12" t="n">
        <v>462.94</v>
      </c>
      <c r="N1248" s="12" t="n">
        <v>149.78</v>
      </c>
      <c r="O1248" t="inlineStr">
        <is>
          <t>Net Banking</t>
        </is>
      </c>
      <c r="P1248" t="inlineStr">
        <is>
          <t>Rohan Verma</t>
        </is>
      </c>
    </row>
    <row r="1249">
      <c r="A1249" t="inlineStr">
        <is>
          <t>ORD-2505-1248</t>
        </is>
      </c>
      <c r="B1249" s="11" t="n">
        <v>45793</v>
      </c>
      <c r="C1249" t="inlineStr">
        <is>
          <t>Central</t>
        </is>
      </c>
      <c r="D1249" t="inlineStr">
        <is>
          <t>Indore</t>
        </is>
      </c>
      <c r="E1249" t="inlineStr">
        <is>
          <t>Corporate</t>
        </is>
      </c>
      <c r="F1249" t="inlineStr">
        <is>
          <t>Online</t>
        </is>
      </c>
      <c r="G1249" t="inlineStr">
        <is>
          <t>Furniture</t>
        </is>
      </c>
      <c r="H1249" t="inlineStr">
        <is>
          <t>Office Chair</t>
        </is>
      </c>
      <c r="I1249" t="n">
        <v>2</v>
      </c>
      <c r="J1249" s="12" t="n">
        <v>6591.98</v>
      </c>
      <c r="K1249" s="13" t="n">
        <v>0.1</v>
      </c>
      <c r="L1249" s="12" t="n">
        <v>11865.56</v>
      </c>
      <c r="M1249" s="12" t="n">
        <v>9492.450000000001</v>
      </c>
      <c r="N1249" s="12" t="n">
        <v>2373.11</v>
      </c>
      <c r="O1249" t="inlineStr">
        <is>
          <t>UPI</t>
        </is>
      </c>
      <c r="P1249" t="inlineStr">
        <is>
          <t>Anaya Rao</t>
        </is>
      </c>
    </row>
    <row r="1250">
      <c r="A1250" t="inlineStr">
        <is>
          <t>ORD-2501-1249</t>
        </is>
      </c>
      <c r="B1250" s="11" t="n">
        <v>45661</v>
      </c>
      <c r="C1250" t="inlineStr">
        <is>
          <t>East</t>
        </is>
      </c>
      <c r="D1250" t="inlineStr">
        <is>
          <t>Guwahati</t>
        </is>
      </c>
      <c r="E1250" t="inlineStr">
        <is>
          <t>Corporate</t>
        </is>
      </c>
      <c r="F1250" t="inlineStr">
        <is>
          <t>Online</t>
        </is>
      </c>
      <c r="G1250" t="inlineStr">
        <is>
          <t>Furniture</t>
        </is>
      </c>
      <c r="H1250" t="inlineStr">
        <is>
          <t>Bookshelf</t>
        </is>
      </c>
      <c r="I1250" t="n">
        <v>1</v>
      </c>
      <c r="J1250" s="12" t="n">
        <v>5143.44</v>
      </c>
      <c r="K1250" s="13" t="n">
        <v>0</v>
      </c>
      <c r="L1250" s="12" t="n">
        <v>5143.44</v>
      </c>
      <c r="M1250" s="12" t="n">
        <v>3806.15</v>
      </c>
      <c r="N1250" s="12" t="n">
        <v>1337.29</v>
      </c>
      <c r="O1250" t="inlineStr">
        <is>
          <t>Debit Card</t>
        </is>
      </c>
      <c r="P1250" t="inlineStr">
        <is>
          <t>Sara Khan</t>
        </is>
      </c>
    </row>
    <row r="1251">
      <c r="A1251" t="inlineStr">
        <is>
          <t>ORD-2511-1250</t>
        </is>
      </c>
      <c r="B1251" s="11" t="n">
        <v>45984</v>
      </c>
      <c r="C1251" t="inlineStr">
        <is>
          <t>Central</t>
        </is>
      </c>
      <c r="D1251" t="inlineStr">
        <is>
          <t>Indore</t>
        </is>
      </c>
      <c r="E1251" t="inlineStr">
        <is>
          <t>Small Business</t>
        </is>
      </c>
      <c r="F1251" t="inlineStr">
        <is>
          <t>Retail Store</t>
        </is>
      </c>
      <c r="G1251" t="inlineStr">
        <is>
          <t>Technology</t>
        </is>
      </c>
      <c r="H1251" t="inlineStr">
        <is>
          <t>Printer</t>
        </is>
      </c>
      <c r="I1251" t="n">
        <v>4</v>
      </c>
      <c r="J1251" s="12" t="n">
        <v>9064.09</v>
      </c>
      <c r="K1251" s="13" t="n">
        <v>0.1</v>
      </c>
      <c r="L1251" s="12" t="n">
        <v>32630.72</v>
      </c>
      <c r="M1251" s="12" t="n">
        <v>30455.34</v>
      </c>
      <c r="N1251" s="12" t="n">
        <v>2175.38</v>
      </c>
      <c r="O1251" t="inlineStr">
        <is>
          <t>Net Banking</t>
        </is>
      </c>
      <c r="P1251" t="inlineStr">
        <is>
          <t>Anaya Rao</t>
        </is>
      </c>
    </row>
    <row r="1252">
      <c r="A1252" t="inlineStr">
        <is>
          <t>ORD-2502-1251</t>
        </is>
      </c>
      <c r="B1252" s="11" t="n">
        <v>45710</v>
      </c>
      <c r="C1252" t="inlineStr">
        <is>
          <t>East</t>
        </is>
      </c>
      <c r="D1252" t="inlineStr">
        <is>
          <t>Patna</t>
        </is>
      </c>
      <c r="E1252" t="inlineStr">
        <is>
          <t>Corporate</t>
        </is>
      </c>
      <c r="F1252" t="inlineStr">
        <is>
          <t>Online</t>
        </is>
      </c>
      <c r="G1252" t="inlineStr">
        <is>
          <t>Office Supplies</t>
        </is>
      </c>
      <c r="H1252" t="inlineStr">
        <is>
          <t>Notebook Pack</t>
        </is>
      </c>
      <c r="I1252" t="n">
        <v>4</v>
      </c>
      <c r="J1252" s="12" t="n">
        <v>332.75</v>
      </c>
      <c r="K1252" s="13" t="n">
        <v>0.05</v>
      </c>
      <c r="L1252" s="12" t="n">
        <v>1264.45</v>
      </c>
      <c r="M1252" s="12" t="n">
        <v>905.08</v>
      </c>
      <c r="N1252" s="12" t="n">
        <v>359.37</v>
      </c>
      <c r="O1252" t="inlineStr">
        <is>
          <t>UPI</t>
        </is>
      </c>
      <c r="P1252" t="inlineStr">
        <is>
          <t>Kabir Singh</t>
        </is>
      </c>
    </row>
    <row r="1253">
      <c r="A1253" t="inlineStr">
        <is>
          <t>ORD-2506-1252</t>
        </is>
      </c>
      <c r="B1253" s="11" t="n">
        <v>45824</v>
      </c>
      <c r="C1253" t="inlineStr">
        <is>
          <t>Central</t>
        </is>
      </c>
      <c r="D1253" t="inlineStr">
        <is>
          <t>Nagpur</t>
        </is>
      </c>
      <c r="E1253" t="inlineStr">
        <is>
          <t>Consumer</t>
        </is>
      </c>
      <c r="F1253" t="inlineStr">
        <is>
          <t>Retail Store</t>
        </is>
      </c>
      <c r="G1253" t="inlineStr">
        <is>
          <t>Office Supplies</t>
        </is>
      </c>
      <c r="H1253" t="inlineStr">
        <is>
          <t>Pens Box</t>
        </is>
      </c>
      <c r="I1253" t="n">
        <v>3</v>
      </c>
      <c r="J1253" s="12" t="n">
        <v>186.52</v>
      </c>
      <c r="K1253" s="13" t="n">
        <v>0.05</v>
      </c>
      <c r="L1253" s="12" t="n">
        <v>531.58</v>
      </c>
      <c r="M1253" s="12" t="n">
        <v>363.71</v>
      </c>
      <c r="N1253" s="12" t="n">
        <v>167.87</v>
      </c>
      <c r="O1253" t="inlineStr">
        <is>
          <t>Debit Card</t>
        </is>
      </c>
      <c r="P1253" t="inlineStr">
        <is>
          <t>Rohan Verma</t>
        </is>
      </c>
    </row>
    <row r="1254">
      <c r="A1254" t="inlineStr">
        <is>
          <t>ORD-2507-1253</t>
        </is>
      </c>
      <c r="B1254" s="11" t="n">
        <v>45847</v>
      </c>
      <c r="C1254" t="inlineStr">
        <is>
          <t>South</t>
        </is>
      </c>
      <c r="D1254" t="inlineStr">
        <is>
          <t>Hyderabad</t>
        </is>
      </c>
      <c r="E1254" t="inlineStr">
        <is>
          <t>Corporate</t>
        </is>
      </c>
      <c r="F1254" t="inlineStr">
        <is>
          <t>Retail Store</t>
        </is>
      </c>
      <c r="G1254" t="inlineStr">
        <is>
          <t>Furniture</t>
        </is>
      </c>
      <c r="H1254" t="inlineStr">
        <is>
          <t>Office Chair</t>
        </is>
      </c>
      <c r="I1254" t="n">
        <v>4</v>
      </c>
      <c r="J1254" s="12" t="n">
        <v>6599.1</v>
      </c>
      <c r="K1254" s="13" t="n">
        <v>0.15</v>
      </c>
      <c r="L1254" s="12" t="n">
        <v>22436.94</v>
      </c>
      <c r="M1254" s="12" t="n">
        <v>19005.41</v>
      </c>
      <c r="N1254" s="12" t="n">
        <v>3431.53</v>
      </c>
      <c r="O1254" t="inlineStr">
        <is>
          <t>Cash</t>
        </is>
      </c>
      <c r="P1254" t="inlineStr">
        <is>
          <t>Vivaan Gupta</t>
        </is>
      </c>
    </row>
    <row r="1255">
      <c r="A1255" t="inlineStr">
        <is>
          <t>ORD-2508-1254</t>
        </is>
      </c>
      <c r="B1255" s="11" t="n">
        <v>45871</v>
      </c>
      <c r="C1255" t="inlineStr">
        <is>
          <t>North</t>
        </is>
      </c>
      <c r="D1255" t="inlineStr">
        <is>
          <t>Lucknow</t>
        </is>
      </c>
      <c r="E1255" t="inlineStr">
        <is>
          <t>Corporate</t>
        </is>
      </c>
      <c r="F1255" t="inlineStr">
        <is>
          <t>Retail Store</t>
        </is>
      </c>
      <c r="G1255" t="inlineStr">
        <is>
          <t>Technology</t>
        </is>
      </c>
      <c r="H1255" t="inlineStr">
        <is>
          <t>Laptop</t>
        </is>
      </c>
      <c r="I1255" t="n">
        <v>8</v>
      </c>
      <c r="J1255" s="12" t="n">
        <v>44052.09</v>
      </c>
      <c r="K1255" s="13" t="n">
        <v>0.05</v>
      </c>
      <c r="L1255" s="12" t="n">
        <v>334795.88</v>
      </c>
      <c r="M1255" s="12" t="n">
        <v>310126.71</v>
      </c>
      <c r="N1255" s="12" t="n">
        <v>24669.17</v>
      </c>
      <c r="O1255" t="inlineStr">
        <is>
          <t>Credit Card</t>
        </is>
      </c>
      <c r="P1255" t="inlineStr">
        <is>
          <t>Meera Joshi</t>
        </is>
      </c>
    </row>
    <row r="1256">
      <c r="A1256" t="inlineStr">
        <is>
          <t>ORD-2504-1255</t>
        </is>
      </c>
      <c r="B1256" s="11" t="n">
        <v>45764</v>
      </c>
      <c r="C1256" t="inlineStr">
        <is>
          <t>East</t>
        </is>
      </c>
      <c r="D1256" t="inlineStr">
        <is>
          <t>Bhubaneswar</t>
        </is>
      </c>
      <c r="E1256" t="inlineStr">
        <is>
          <t>Corporate</t>
        </is>
      </c>
      <c r="F1256" t="inlineStr">
        <is>
          <t>Partner</t>
        </is>
      </c>
      <c r="G1256" t="inlineStr">
        <is>
          <t>Office Supplies</t>
        </is>
      </c>
      <c r="H1256" t="inlineStr">
        <is>
          <t>Stapler</t>
        </is>
      </c>
      <c r="I1256" t="n">
        <v>2</v>
      </c>
      <c r="J1256" s="12" t="n">
        <v>272.1</v>
      </c>
      <c r="K1256" s="13" t="n">
        <v>0.05</v>
      </c>
      <c r="L1256" s="12" t="n">
        <v>516.99</v>
      </c>
      <c r="M1256" s="12" t="n">
        <v>380.94</v>
      </c>
      <c r="N1256" s="12" t="n">
        <v>136.05</v>
      </c>
      <c r="O1256" t="inlineStr">
        <is>
          <t>Cash</t>
        </is>
      </c>
      <c r="P1256" t="inlineStr">
        <is>
          <t>Meera Joshi</t>
        </is>
      </c>
    </row>
    <row r="1257">
      <c r="A1257" t="inlineStr">
        <is>
          <t>ORD-2504-1256</t>
        </is>
      </c>
      <c r="B1257" s="11" t="n">
        <v>45768</v>
      </c>
      <c r="C1257" t="inlineStr">
        <is>
          <t>Central</t>
        </is>
      </c>
      <c r="D1257" t="inlineStr">
        <is>
          <t>Nagpur</t>
        </is>
      </c>
      <c r="E1257" t="inlineStr">
        <is>
          <t>Small Business</t>
        </is>
      </c>
      <c r="F1257" t="inlineStr">
        <is>
          <t>Retail Store</t>
        </is>
      </c>
      <c r="G1257" t="inlineStr">
        <is>
          <t>Office Supplies</t>
        </is>
      </c>
      <c r="H1257" t="inlineStr">
        <is>
          <t>Stapler</t>
        </is>
      </c>
      <c r="I1257" t="n">
        <v>2</v>
      </c>
      <c r="J1257" s="12" t="n">
        <v>245.87</v>
      </c>
      <c r="K1257" s="13" t="n">
        <v>0</v>
      </c>
      <c r="L1257" s="12" t="n">
        <v>491.74</v>
      </c>
      <c r="M1257" s="12" t="n">
        <v>344.22</v>
      </c>
      <c r="N1257" s="12" t="n">
        <v>147.52</v>
      </c>
      <c r="O1257" t="inlineStr">
        <is>
          <t>Cash</t>
        </is>
      </c>
      <c r="P1257" t="inlineStr">
        <is>
          <t>Anaya Rao</t>
        </is>
      </c>
    </row>
    <row r="1258">
      <c r="A1258" t="inlineStr">
        <is>
          <t>ORD-2501-1257</t>
        </is>
      </c>
      <c r="B1258" s="11" t="n">
        <v>45681</v>
      </c>
      <c r="C1258" t="inlineStr">
        <is>
          <t>West</t>
        </is>
      </c>
      <c r="D1258" t="inlineStr">
        <is>
          <t>Surat</t>
        </is>
      </c>
      <c r="E1258" t="inlineStr">
        <is>
          <t>Consumer</t>
        </is>
      </c>
      <c r="F1258" t="inlineStr">
        <is>
          <t>Online</t>
        </is>
      </c>
      <c r="G1258" t="inlineStr">
        <is>
          <t>Technology</t>
        </is>
      </c>
      <c r="H1258" t="inlineStr">
        <is>
          <t>Printer</t>
        </is>
      </c>
      <c r="I1258" t="n">
        <v>2</v>
      </c>
      <c r="J1258" s="12" t="n">
        <v>9310.030000000001</v>
      </c>
      <c r="K1258" s="13" t="n">
        <v>0.1</v>
      </c>
      <c r="L1258" s="12" t="n">
        <v>16758.05</v>
      </c>
      <c r="M1258" s="12" t="n">
        <v>15640.85</v>
      </c>
      <c r="N1258" s="12" t="n">
        <v>1117.2</v>
      </c>
      <c r="O1258" t="inlineStr">
        <is>
          <t>Net Banking</t>
        </is>
      </c>
      <c r="P1258" t="inlineStr">
        <is>
          <t>Rohan Verma</t>
        </is>
      </c>
    </row>
    <row r="1259">
      <c r="A1259" t="inlineStr">
        <is>
          <t>ORD-2510-1258</t>
        </is>
      </c>
      <c r="B1259" s="11" t="n">
        <v>45933</v>
      </c>
      <c r="C1259" t="inlineStr">
        <is>
          <t>East</t>
        </is>
      </c>
      <c r="D1259" t="inlineStr">
        <is>
          <t>Guwahati</t>
        </is>
      </c>
      <c r="E1259" t="inlineStr">
        <is>
          <t>Corporate</t>
        </is>
      </c>
      <c r="F1259" t="inlineStr">
        <is>
          <t>Partner</t>
        </is>
      </c>
      <c r="G1259" t="inlineStr">
        <is>
          <t>Technology</t>
        </is>
      </c>
      <c r="H1259" t="inlineStr">
        <is>
          <t>Headphones</t>
        </is>
      </c>
      <c r="I1259" t="n">
        <v>1</v>
      </c>
      <c r="J1259" s="12" t="n">
        <v>2287.94</v>
      </c>
      <c r="K1259" s="13" t="n">
        <v>0</v>
      </c>
      <c r="L1259" s="12" t="n">
        <v>2287.94</v>
      </c>
      <c r="M1259" s="12" t="n">
        <v>1784.59</v>
      </c>
      <c r="N1259" s="12" t="n">
        <v>503.35</v>
      </c>
      <c r="O1259" t="inlineStr">
        <is>
          <t>Debit Card</t>
        </is>
      </c>
      <c r="P1259" t="inlineStr">
        <is>
          <t>Kabir Singh</t>
        </is>
      </c>
    </row>
    <row r="1260">
      <c r="A1260" t="inlineStr">
        <is>
          <t>ORD-2503-1259</t>
        </is>
      </c>
      <c r="B1260" s="11" t="n">
        <v>45735</v>
      </c>
      <c r="C1260" t="inlineStr">
        <is>
          <t>Central</t>
        </is>
      </c>
      <c r="D1260" t="inlineStr">
        <is>
          <t>Raipur</t>
        </is>
      </c>
      <c r="E1260" t="inlineStr">
        <is>
          <t>Small Business</t>
        </is>
      </c>
      <c r="F1260" t="inlineStr">
        <is>
          <t>Partner</t>
        </is>
      </c>
      <c r="G1260" t="inlineStr">
        <is>
          <t>Office Supplies</t>
        </is>
      </c>
      <c r="H1260" t="inlineStr">
        <is>
          <t>Notebook Pack</t>
        </is>
      </c>
      <c r="I1260" t="n">
        <v>1</v>
      </c>
      <c r="J1260" s="12" t="n">
        <v>335.73</v>
      </c>
      <c r="K1260" s="13" t="n">
        <v>0</v>
      </c>
      <c r="L1260" s="12" t="n">
        <v>335.73</v>
      </c>
      <c r="M1260" s="12" t="n">
        <v>228.3</v>
      </c>
      <c r="N1260" s="12" t="n">
        <v>107.43</v>
      </c>
      <c r="O1260" t="inlineStr">
        <is>
          <t>Net Banking</t>
        </is>
      </c>
      <c r="P1260" t="inlineStr">
        <is>
          <t>Rohan Verma</t>
        </is>
      </c>
    </row>
    <row r="1261">
      <c r="A1261" t="inlineStr">
        <is>
          <t>ORD-2512-1260</t>
        </is>
      </c>
      <c r="B1261" s="11" t="n">
        <v>46011</v>
      </c>
      <c r="C1261" t="inlineStr">
        <is>
          <t>North</t>
        </is>
      </c>
      <c r="D1261" t="inlineStr">
        <is>
          <t>Jaipur</t>
        </is>
      </c>
      <c r="E1261" t="inlineStr">
        <is>
          <t>Small Business</t>
        </is>
      </c>
      <c r="F1261" t="inlineStr">
        <is>
          <t>Retail Store</t>
        </is>
      </c>
      <c r="G1261" t="inlineStr">
        <is>
          <t>Office Supplies</t>
        </is>
      </c>
      <c r="H1261" t="inlineStr">
        <is>
          <t>File Folder</t>
        </is>
      </c>
      <c r="I1261" t="n">
        <v>4</v>
      </c>
      <c r="J1261" s="12" t="n">
        <v>92.87</v>
      </c>
      <c r="K1261" s="13" t="n">
        <v>0.15</v>
      </c>
      <c r="L1261" s="12" t="n">
        <v>315.76</v>
      </c>
      <c r="M1261" s="12" t="n">
        <v>230.32</v>
      </c>
      <c r="N1261" s="12" t="n">
        <v>85.44</v>
      </c>
      <c r="O1261" t="inlineStr">
        <is>
          <t>Net Banking</t>
        </is>
      </c>
      <c r="P1261" t="inlineStr">
        <is>
          <t>Anaya Rao</t>
        </is>
      </c>
    </row>
    <row r="1262">
      <c r="A1262" t="inlineStr">
        <is>
          <t>ORD-2504-1261</t>
        </is>
      </c>
      <c r="B1262" s="11" t="n">
        <v>45767</v>
      </c>
      <c r="C1262" t="inlineStr">
        <is>
          <t>South</t>
        </is>
      </c>
      <c r="D1262" t="inlineStr">
        <is>
          <t>Hyderabad</t>
        </is>
      </c>
      <c r="E1262" t="inlineStr">
        <is>
          <t>Small Business</t>
        </is>
      </c>
      <c r="F1262" t="inlineStr">
        <is>
          <t>Retail Store</t>
        </is>
      </c>
      <c r="G1262" t="inlineStr">
        <is>
          <t>Furniture</t>
        </is>
      </c>
      <c r="H1262" t="inlineStr">
        <is>
          <t>Bookshelf</t>
        </is>
      </c>
      <c r="I1262" t="n">
        <v>2</v>
      </c>
      <c r="J1262" s="12" t="n">
        <v>4949.56</v>
      </c>
      <c r="K1262" s="13" t="n">
        <v>0.05</v>
      </c>
      <c r="L1262" s="12" t="n">
        <v>9404.16</v>
      </c>
      <c r="M1262" s="12" t="n">
        <v>7325.35</v>
      </c>
      <c r="N1262" s="12" t="n">
        <v>2078.81</v>
      </c>
      <c r="O1262" t="inlineStr">
        <is>
          <t>Net Banking</t>
        </is>
      </c>
      <c r="P1262" t="inlineStr">
        <is>
          <t>Aarav Sharma</t>
        </is>
      </c>
    </row>
    <row r="1263">
      <c r="A1263" t="inlineStr">
        <is>
          <t>ORD-2503-1262</t>
        </is>
      </c>
      <c r="B1263" s="11" t="n">
        <v>45729</v>
      </c>
      <c r="C1263" t="inlineStr">
        <is>
          <t>North</t>
        </is>
      </c>
      <c r="D1263" t="inlineStr">
        <is>
          <t>Lucknow</t>
        </is>
      </c>
      <c r="E1263" t="inlineStr">
        <is>
          <t>Small Business</t>
        </is>
      </c>
      <c r="F1263" t="inlineStr">
        <is>
          <t>Online</t>
        </is>
      </c>
      <c r="G1263" t="inlineStr">
        <is>
          <t>Furniture</t>
        </is>
      </c>
      <c r="H1263" t="inlineStr">
        <is>
          <t>Desk</t>
        </is>
      </c>
      <c r="I1263" t="n">
        <v>2</v>
      </c>
      <c r="J1263" s="12" t="n">
        <v>10668.38</v>
      </c>
      <c r="K1263" s="13" t="n">
        <v>0.05</v>
      </c>
      <c r="L1263" s="12" t="n">
        <v>20269.92</v>
      </c>
      <c r="M1263" s="12" t="n">
        <v>16215.94</v>
      </c>
      <c r="N1263" s="12" t="n">
        <v>4053.98</v>
      </c>
      <c r="O1263" t="inlineStr">
        <is>
          <t>Cash</t>
        </is>
      </c>
      <c r="P1263" t="inlineStr">
        <is>
          <t>Sara Khan</t>
        </is>
      </c>
    </row>
    <row r="1264">
      <c r="A1264" t="inlineStr">
        <is>
          <t>ORD-2501-1263</t>
        </is>
      </c>
      <c r="B1264" s="11" t="n">
        <v>45666</v>
      </c>
      <c r="C1264" t="inlineStr">
        <is>
          <t>Central</t>
        </is>
      </c>
      <c r="D1264" t="inlineStr">
        <is>
          <t>Nagpur</t>
        </is>
      </c>
      <c r="E1264" t="inlineStr">
        <is>
          <t>Small Business</t>
        </is>
      </c>
      <c r="F1264" t="inlineStr">
        <is>
          <t>Retail Store</t>
        </is>
      </c>
      <c r="G1264" t="inlineStr">
        <is>
          <t>Technology</t>
        </is>
      </c>
      <c r="H1264" t="inlineStr">
        <is>
          <t>Laptop</t>
        </is>
      </c>
      <c r="I1264" t="n">
        <v>8</v>
      </c>
      <c r="J1264" s="12" t="n">
        <v>40837.91</v>
      </c>
      <c r="K1264" s="13" t="n">
        <v>0.15</v>
      </c>
      <c r="L1264" s="12" t="n">
        <v>277697.79</v>
      </c>
      <c r="M1264" s="12" t="n">
        <v>287498.89</v>
      </c>
      <c r="N1264" s="12" t="n">
        <v>-9801.1</v>
      </c>
      <c r="O1264" t="inlineStr">
        <is>
          <t>Net Banking</t>
        </is>
      </c>
      <c r="P1264" t="inlineStr">
        <is>
          <t>Sara Khan</t>
        </is>
      </c>
    </row>
    <row r="1265">
      <c r="A1265" t="inlineStr">
        <is>
          <t>ORD-2511-1264</t>
        </is>
      </c>
      <c r="B1265" s="11" t="n">
        <v>45982</v>
      </c>
      <c r="C1265" t="inlineStr">
        <is>
          <t>North</t>
        </is>
      </c>
      <c r="D1265" t="inlineStr">
        <is>
          <t>Delhi</t>
        </is>
      </c>
      <c r="E1265" t="inlineStr">
        <is>
          <t>Consumer</t>
        </is>
      </c>
      <c r="F1265" t="inlineStr">
        <is>
          <t>Partner</t>
        </is>
      </c>
      <c r="G1265" t="inlineStr">
        <is>
          <t>Office Supplies</t>
        </is>
      </c>
      <c r="H1265" t="inlineStr">
        <is>
          <t>Notebook Pack</t>
        </is>
      </c>
      <c r="I1265" t="n">
        <v>1</v>
      </c>
      <c r="J1265" s="12" t="n">
        <v>328.29</v>
      </c>
      <c r="K1265" s="13" t="n">
        <v>0.1</v>
      </c>
      <c r="L1265" s="12" t="n">
        <v>295.46</v>
      </c>
      <c r="M1265" s="12" t="n">
        <v>223.24</v>
      </c>
      <c r="N1265" s="12" t="n">
        <v>72.22</v>
      </c>
      <c r="O1265" t="inlineStr">
        <is>
          <t>Credit Card</t>
        </is>
      </c>
      <c r="P1265" t="inlineStr">
        <is>
          <t>Anaya Rao</t>
        </is>
      </c>
    </row>
    <row r="1266">
      <c r="A1266" t="inlineStr">
        <is>
          <t>ORD-2511-1265</t>
        </is>
      </c>
      <c r="B1266" s="11" t="n">
        <v>45970</v>
      </c>
      <c r="C1266" t="inlineStr">
        <is>
          <t>South</t>
        </is>
      </c>
      <c r="D1266" t="inlineStr">
        <is>
          <t>Bengaluru</t>
        </is>
      </c>
      <c r="E1266" t="inlineStr">
        <is>
          <t>Small Business</t>
        </is>
      </c>
      <c r="F1266" t="inlineStr">
        <is>
          <t>Online</t>
        </is>
      </c>
      <c r="G1266" t="inlineStr">
        <is>
          <t>Office Supplies</t>
        </is>
      </c>
      <c r="H1266" t="inlineStr">
        <is>
          <t>File Folder</t>
        </is>
      </c>
      <c r="I1266" t="n">
        <v>4</v>
      </c>
      <c r="J1266" s="12" t="n">
        <v>89.51000000000001</v>
      </c>
      <c r="K1266" s="13" t="n">
        <v>0.15</v>
      </c>
      <c r="L1266" s="12" t="n">
        <v>304.33</v>
      </c>
      <c r="M1266" s="12" t="n">
        <v>221.98</v>
      </c>
      <c r="N1266" s="12" t="n">
        <v>82.34999999999999</v>
      </c>
      <c r="O1266" t="inlineStr">
        <is>
          <t>Net Banking</t>
        </is>
      </c>
      <c r="P1266" t="inlineStr">
        <is>
          <t>Diya Patel</t>
        </is>
      </c>
    </row>
    <row r="1267">
      <c r="A1267" t="inlineStr">
        <is>
          <t>ORD-2504-1266</t>
        </is>
      </c>
      <c r="B1267" s="11" t="n">
        <v>45751</v>
      </c>
      <c r="C1267" t="inlineStr">
        <is>
          <t>Central</t>
        </is>
      </c>
      <c r="D1267" t="inlineStr">
        <is>
          <t>Raipur</t>
        </is>
      </c>
      <c r="E1267" t="inlineStr">
        <is>
          <t>Corporate</t>
        </is>
      </c>
      <c r="F1267" t="inlineStr">
        <is>
          <t>Online</t>
        </is>
      </c>
      <c r="G1267" t="inlineStr">
        <is>
          <t>Furniture</t>
        </is>
      </c>
      <c r="H1267" t="inlineStr">
        <is>
          <t>Bookshelf</t>
        </is>
      </c>
      <c r="I1267" t="n">
        <v>3</v>
      </c>
      <c r="J1267" s="12" t="n">
        <v>5466.41</v>
      </c>
      <c r="K1267" s="13" t="n">
        <v>0.1</v>
      </c>
      <c r="L1267" s="12" t="n">
        <v>14759.31</v>
      </c>
      <c r="M1267" s="12" t="n">
        <v>12135.43</v>
      </c>
      <c r="N1267" s="12" t="n">
        <v>2623.88</v>
      </c>
      <c r="O1267" t="inlineStr">
        <is>
          <t>Debit Card</t>
        </is>
      </c>
      <c r="P1267" t="inlineStr">
        <is>
          <t>Rohan Verma</t>
        </is>
      </c>
    </row>
    <row r="1268">
      <c r="A1268" t="inlineStr">
        <is>
          <t>ORD-2501-1267</t>
        </is>
      </c>
      <c r="B1268" s="11" t="n">
        <v>45661</v>
      </c>
      <c r="C1268" t="inlineStr">
        <is>
          <t>Central</t>
        </is>
      </c>
      <c r="D1268" t="inlineStr">
        <is>
          <t>Nagpur</t>
        </is>
      </c>
      <c r="E1268" t="inlineStr">
        <is>
          <t>Consumer</t>
        </is>
      </c>
      <c r="F1268" t="inlineStr">
        <is>
          <t>Partner</t>
        </is>
      </c>
      <c r="G1268" t="inlineStr">
        <is>
          <t>Technology</t>
        </is>
      </c>
      <c r="H1268" t="inlineStr">
        <is>
          <t>Laptop</t>
        </is>
      </c>
      <c r="I1268" t="n">
        <v>1</v>
      </c>
      <c r="J1268" s="12" t="n">
        <v>39651.33</v>
      </c>
      <c r="K1268" s="13" t="n">
        <v>0.05</v>
      </c>
      <c r="L1268" s="12" t="n">
        <v>37668.76</v>
      </c>
      <c r="M1268" s="12" t="n">
        <v>34893.17</v>
      </c>
      <c r="N1268" s="12" t="n">
        <v>2775.59</v>
      </c>
      <c r="O1268" t="inlineStr">
        <is>
          <t>Net Banking</t>
        </is>
      </c>
      <c r="P1268" t="inlineStr">
        <is>
          <t>Anaya Rao</t>
        </is>
      </c>
    </row>
    <row r="1269">
      <c r="A1269" t="inlineStr">
        <is>
          <t>ORD-2512-1268</t>
        </is>
      </c>
      <c r="B1269" s="11" t="n">
        <v>45992</v>
      </c>
      <c r="C1269" t="inlineStr">
        <is>
          <t>South</t>
        </is>
      </c>
      <c r="D1269" t="inlineStr">
        <is>
          <t>Hyderabad</t>
        </is>
      </c>
      <c r="E1269" t="inlineStr">
        <is>
          <t>Consumer</t>
        </is>
      </c>
      <c r="F1269" t="inlineStr">
        <is>
          <t>Retail Store</t>
        </is>
      </c>
      <c r="G1269" t="inlineStr">
        <is>
          <t>Office Supplies</t>
        </is>
      </c>
      <c r="H1269" t="inlineStr">
        <is>
          <t>Paper Ream</t>
        </is>
      </c>
      <c r="I1269" t="n">
        <v>5</v>
      </c>
      <c r="J1269" s="12" t="n">
        <v>438.35</v>
      </c>
      <c r="K1269" s="13" t="n">
        <v>0</v>
      </c>
      <c r="L1269" s="12" t="n">
        <v>2191.75</v>
      </c>
      <c r="M1269" s="12" t="n">
        <v>1687.65</v>
      </c>
      <c r="N1269" s="12" t="n">
        <v>504.1</v>
      </c>
      <c r="O1269" t="inlineStr">
        <is>
          <t>UPI</t>
        </is>
      </c>
      <c r="P1269" t="inlineStr">
        <is>
          <t>Diya Patel</t>
        </is>
      </c>
    </row>
    <row r="1270">
      <c r="A1270" t="inlineStr">
        <is>
          <t>ORD-2501-1269</t>
        </is>
      </c>
      <c r="B1270" s="11" t="n">
        <v>45671</v>
      </c>
      <c r="C1270" t="inlineStr">
        <is>
          <t>Central</t>
        </is>
      </c>
      <c r="D1270" t="inlineStr">
        <is>
          <t>Bhopal</t>
        </is>
      </c>
      <c r="E1270" t="inlineStr">
        <is>
          <t>Corporate</t>
        </is>
      </c>
      <c r="F1270" t="inlineStr">
        <is>
          <t>Online</t>
        </is>
      </c>
      <c r="G1270" t="inlineStr">
        <is>
          <t>Office Supplies</t>
        </is>
      </c>
      <c r="H1270" t="inlineStr">
        <is>
          <t>File Folder</t>
        </is>
      </c>
      <c r="I1270" t="n">
        <v>1</v>
      </c>
      <c r="J1270" s="12" t="n">
        <v>83.8</v>
      </c>
      <c r="K1270" s="13" t="n">
        <v>0.05</v>
      </c>
      <c r="L1270" s="12" t="n">
        <v>79.61</v>
      </c>
      <c r="M1270" s="12" t="n">
        <v>51.96</v>
      </c>
      <c r="N1270" s="12" t="n">
        <v>27.65</v>
      </c>
      <c r="O1270" t="inlineStr">
        <is>
          <t>UPI</t>
        </is>
      </c>
      <c r="P1270" t="inlineStr">
        <is>
          <t>Meera Joshi</t>
        </is>
      </c>
    </row>
    <row r="1271">
      <c r="A1271" t="inlineStr">
        <is>
          <t>ORD-2506-1270</t>
        </is>
      </c>
      <c r="B1271" s="11" t="n">
        <v>45813</v>
      </c>
      <c r="C1271" t="inlineStr">
        <is>
          <t>South</t>
        </is>
      </c>
      <c r="D1271" t="inlineStr">
        <is>
          <t>Kochi</t>
        </is>
      </c>
      <c r="E1271" t="inlineStr">
        <is>
          <t>Consumer</t>
        </is>
      </c>
      <c r="F1271" t="inlineStr">
        <is>
          <t>Online</t>
        </is>
      </c>
      <c r="G1271" t="inlineStr">
        <is>
          <t>Technology</t>
        </is>
      </c>
      <c r="H1271" t="inlineStr">
        <is>
          <t>Headphones</t>
        </is>
      </c>
      <c r="I1271" t="n">
        <v>2</v>
      </c>
      <c r="J1271" s="12" t="n">
        <v>2295.87</v>
      </c>
      <c r="K1271" s="13" t="n">
        <v>0.15</v>
      </c>
      <c r="L1271" s="12" t="n">
        <v>3902.98</v>
      </c>
      <c r="M1271" s="12" t="n">
        <v>3581.56</v>
      </c>
      <c r="N1271" s="12" t="n">
        <v>321.42</v>
      </c>
      <c r="O1271" t="inlineStr">
        <is>
          <t>Debit Card</t>
        </is>
      </c>
      <c r="P1271" t="inlineStr">
        <is>
          <t>Diya Patel</t>
        </is>
      </c>
    </row>
    <row r="1272">
      <c r="A1272" t="inlineStr">
        <is>
          <t>ORD-2507-1271</t>
        </is>
      </c>
      <c r="B1272" s="11" t="n">
        <v>45850</v>
      </c>
      <c r="C1272" t="inlineStr">
        <is>
          <t>North</t>
        </is>
      </c>
      <c r="D1272" t="inlineStr">
        <is>
          <t>Lucknow</t>
        </is>
      </c>
      <c r="E1272" t="inlineStr">
        <is>
          <t>Corporate</t>
        </is>
      </c>
      <c r="F1272" t="inlineStr">
        <is>
          <t>Retail Store</t>
        </is>
      </c>
      <c r="G1272" t="inlineStr">
        <is>
          <t>Office Supplies</t>
        </is>
      </c>
      <c r="H1272" t="inlineStr">
        <is>
          <t>Stapler</t>
        </is>
      </c>
      <c r="I1272" t="n">
        <v>4</v>
      </c>
      <c r="J1272" s="12" t="n">
        <v>255.03</v>
      </c>
      <c r="K1272" s="13" t="n">
        <v>0.1</v>
      </c>
      <c r="L1272" s="12" t="n">
        <v>918.11</v>
      </c>
      <c r="M1272" s="12" t="n">
        <v>714.08</v>
      </c>
      <c r="N1272" s="12" t="n">
        <v>204.03</v>
      </c>
      <c r="O1272" t="inlineStr">
        <is>
          <t>Debit Card</t>
        </is>
      </c>
      <c r="P1272" t="inlineStr">
        <is>
          <t>Meera Joshi</t>
        </is>
      </c>
    </row>
    <row r="1273">
      <c r="A1273" t="inlineStr">
        <is>
          <t>ORD-2504-1272</t>
        </is>
      </c>
      <c r="B1273" s="11" t="n">
        <v>45763</v>
      </c>
      <c r="C1273" t="inlineStr">
        <is>
          <t>West</t>
        </is>
      </c>
      <c r="D1273" t="inlineStr">
        <is>
          <t>Mumbai</t>
        </is>
      </c>
      <c r="E1273" t="inlineStr">
        <is>
          <t>Small Business</t>
        </is>
      </c>
      <c r="F1273" t="inlineStr">
        <is>
          <t>Online</t>
        </is>
      </c>
      <c r="G1273" t="inlineStr">
        <is>
          <t>Technology</t>
        </is>
      </c>
      <c r="H1273" t="inlineStr">
        <is>
          <t>Monitor</t>
        </is>
      </c>
      <c r="I1273" t="n">
        <v>8</v>
      </c>
      <c r="J1273" s="12" t="n">
        <v>12656.61</v>
      </c>
      <c r="K1273" s="13" t="n">
        <v>0.1</v>
      </c>
      <c r="L1273" s="12" t="n">
        <v>91127.59</v>
      </c>
      <c r="M1273" s="12" t="n">
        <v>83027.36</v>
      </c>
      <c r="N1273" s="12" t="n">
        <v>8100.23</v>
      </c>
      <c r="O1273" t="inlineStr">
        <is>
          <t>UPI</t>
        </is>
      </c>
      <c r="P1273" t="inlineStr">
        <is>
          <t>Meera Joshi</t>
        </is>
      </c>
    </row>
    <row r="1274">
      <c r="A1274" t="inlineStr">
        <is>
          <t>ORD-2503-1273</t>
        </is>
      </c>
      <c r="B1274" s="11" t="n">
        <v>45719</v>
      </c>
      <c r="C1274" t="inlineStr">
        <is>
          <t>West</t>
        </is>
      </c>
      <c r="D1274" t="inlineStr">
        <is>
          <t>Ahmedabad</t>
        </is>
      </c>
      <c r="E1274" t="inlineStr">
        <is>
          <t>Consumer</t>
        </is>
      </c>
      <c r="F1274" t="inlineStr">
        <is>
          <t>Partner</t>
        </is>
      </c>
      <c r="G1274" t="inlineStr">
        <is>
          <t>Office Supplies</t>
        </is>
      </c>
      <c r="H1274" t="inlineStr">
        <is>
          <t>Paper Ream</t>
        </is>
      </c>
      <c r="I1274" t="n">
        <v>10</v>
      </c>
      <c r="J1274" s="12" t="n">
        <v>400.53</v>
      </c>
      <c r="K1274" s="13" t="n">
        <v>0.05</v>
      </c>
      <c r="L1274" s="12" t="n">
        <v>3805.03</v>
      </c>
      <c r="M1274" s="12" t="n">
        <v>3084.08</v>
      </c>
      <c r="N1274" s="12" t="n">
        <v>720.95</v>
      </c>
      <c r="O1274" t="inlineStr">
        <is>
          <t>Net Banking</t>
        </is>
      </c>
      <c r="P1274" t="inlineStr">
        <is>
          <t>Anaya Rao</t>
        </is>
      </c>
    </row>
    <row r="1275">
      <c r="A1275" t="inlineStr">
        <is>
          <t>ORD-2505-1274</t>
        </is>
      </c>
      <c r="B1275" s="11" t="n">
        <v>45788</v>
      </c>
      <c r="C1275" t="inlineStr">
        <is>
          <t>Central</t>
        </is>
      </c>
      <c r="D1275" t="inlineStr">
        <is>
          <t>Bhopal</t>
        </is>
      </c>
      <c r="E1275" t="inlineStr">
        <is>
          <t>Consumer</t>
        </is>
      </c>
      <c r="F1275" t="inlineStr">
        <is>
          <t>Retail Store</t>
        </is>
      </c>
      <c r="G1275" t="inlineStr">
        <is>
          <t>Furniture</t>
        </is>
      </c>
      <c r="H1275" t="inlineStr">
        <is>
          <t>Bookshelf</t>
        </is>
      </c>
      <c r="I1275" t="n">
        <v>1</v>
      </c>
      <c r="J1275" s="12" t="n">
        <v>5133.45</v>
      </c>
      <c r="K1275" s="13" t="n">
        <v>0.05</v>
      </c>
      <c r="L1275" s="12" t="n">
        <v>4876.78</v>
      </c>
      <c r="M1275" s="12" t="n">
        <v>3798.75</v>
      </c>
      <c r="N1275" s="12" t="n">
        <v>1078.03</v>
      </c>
      <c r="O1275" t="inlineStr">
        <is>
          <t>Net Banking</t>
        </is>
      </c>
      <c r="P1275" t="inlineStr">
        <is>
          <t>Rohan Verma</t>
        </is>
      </c>
    </row>
    <row r="1276">
      <c r="A1276" t="inlineStr">
        <is>
          <t>ORD-2502-1275</t>
        </is>
      </c>
      <c r="B1276" s="11" t="n">
        <v>45691</v>
      </c>
      <c r="C1276" t="inlineStr">
        <is>
          <t>West</t>
        </is>
      </c>
      <c r="D1276" t="inlineStr">
        <is>
          <t>Ahmedabad</t>
        </is>
      </c>
      <c r="E1276" t="inlineStr">
        <is>
          <t>Corporate</t>
        </is>
      </c>
      <c r="F1276" t="inlineStr">
        <is>
          <t>Retail Store</t>
        </is>
      </c>
      <c r="G1276" t="inlineStr">
        <is>
          <t>Technology</t>
        </is>
      </c>
      <c r="H1276" t="inlineStr">
        <is>
          <t>Printer</t>
        </is>
      </c>
      <c r="I1276" t="n">
        <v>10</v>
      </c>
      <c r="J1276" s="12" t="n">
        <v>9718.24</v>
      </c>
      <c r="K1276" s="13" t="n">
        <v>0</v>
      </c>
      <c r="L1276" s="12" t="n">
        <v>97182.39999999999</v>
      </c>
      <c r="M1276" s="12" t="n">
        <v>81633.22</v>
      </c>
      <c r="N1276" s="12" t="n">
        <v>15549.18</v>
      </c>
      <c r="O1276" t="inlineStr">
        <is>
          <t>Credit Card</t>
        </is>
      </c>
      <c r="P1276" t="inlineStr">
        <is>
          <t>Rohan Verma</t>
        </is>
      </c>
    </row>
    <row r="1277">
      <c r="A1277" t="inlineStr">
        <is>
          <t>ORD-2511-1276</t>
        </is>
      </c>
      <c r="B1277" s="11" t="n">
        <v>45989</v>
      </c>
      <c r="C1277" t="inlineStr">
        <is>
          <t>East</t>
        </is>
      </c>
      <c r="D1277" t="inlineStr">
        <is>
          <t>Kolkata</t>
        </is>
      </c>
      <c r="E1277" t="inlineStr">
        <is>
          <t>Small Business</t>
        </is>
      </c>
      <c r="F1277" t="inlineStr">
        <is>
          <t>Online</t>
        </is>
      </c>
      <c r="G1277" t="inlineStr">
        <is>
          <t>Technology</t>
        </is>
      </c>
      <c r="H1277" t="inlineStr">
        <is>
          <t>Keyboard</t>
        </is>
      </c>
      <c r="I1277" t="n">
        <v>5</v>
      </c>
      <c r="J1277" s="12" t="n">
        <v>1290.08</v>
      </c>
      <c r="K1277" s="13" t="n">
        <v>0</v>
      </c>
      <c r="L1277" s="12" t="n">
        <v>6450.4</v>
      </c>
      <c r="M1277" s="12" t="n">
        <v>4837.8</v>
      </c>
      <c r="N1277" s="12" t="n">
        <v>1612.6</v>
      </c>
      <c r="O1277" t="inlineStr">
        <is>
          <t>UPI</t>
        </is>
      </c>
      <c r="P1277" t="inlineStr">
        <is>
          <t>Anaya Rao</t>
        </is>
      </c>
    </row>
    <row r="1278">
      <c r="A1278" t="inlineStr">
        <is>
          <t>ORD-2501-1277</t>
        </is>
      </c>
      <c r="B1278" s="11" t="n">
        <v>45677</v>
      </c>
      <c r="C1278" t="inlineStr">
        <is>
          <t>North</t>
        </is>
      </c>
      <c r="D1278" t="inlineStr">
        <is>
          <t>Jaipur</t>
        </is>
      </c>
      <c r="E1278" t="inlineStr">
        <is>
          <t>Consumer</t>
        </is>
      </c>
      <c r="F1278" t="inlineStr">
        <is>
          <t>Retail Store</t>
        </is>
      </c>
      <c r="G1278" t="inlineStr">
        <is>
          <t>Office Supplies</t>
        </is>
      </c>
      <c r="H1278" t="inlineStr">
        <is>
          <t>Stapler</t>
        </is>
      </c>
      <c r="I1278" t="n">
        <v>4</v>
      </c>
      <c r="J1278" s="12" t="n">
        <v>264.89</v>
      </c>
      <c r="K1278" s="13" t="n">
        <v>0.05</v>
      </c>
      <c r="L1278" s="12" t="n">
        <v>1006.58</v>
      </c>
      <c r="M1278" s="12" t="n">
        <v>741.6900000000001</v>
      </c>
      <c r="N1278" s="12" t="n">
        <v>264.89</v>
      </c>
      <c r="O1278" t="inlineStr">
        <is>
          <t>UPI</t>
        </is>
      </c>
      <c r="P1278" t="inlineStr">
        <is>
          <t>Kabir Singh</t>
        </is>
      </c>
    </row>
    <row r="1279">
      <c r="A1279" t="inlineStr">
        <is>
          <t>ORD-2509-1278</t>
        </is>
      </c>
      <c r="B1279" s="11" t="n">
        <v>45923</v>
      </c>
      <c r="C1279" t="inlineStr">
        <is>
          <t>South</t>
        </is>
      </c>
      <c r="D1279" t="inlineStr">
        <is>
          <t>Chennai</t>
        </is>
      </c>
      <c r="E1279" t="inlineStr">
        <is>
          <t>Corporate</t>
        </is>
      </c>
      <c r="F1279" t="inlineStr">
        <is>
          <t>Online</t>
        </is>
      </c>
      <c r="G1279" t="inlineStr">
        <is>
          <t>Furniture</t>
        </is>
      </c>
      <c r="H1279" t="inlineStr">
        <is>
          <t>Office Chair</t>
        </is>
      </c>
      <c r="I1279" t="n">
        <v>6</v>
      </c>
      <c r="J1279" s="12" t="n">
        <v>6432.66</v>
      </c>
      <c r="K1279" s="13" t="n">
        <v>0</v>
      </c>
      <c r="L1279" s="12" t="n">
        <v>38595.96</v>
      </c>
      <c r="M1279" s="12" t="n">
        <v>27789.09</v>
      </c>
      <c r="N1279" s="12" t="n">
        <v>10806.87</v>
      </c>
      <c r="O1279" t="inlineStr">
        <is>
          <t>Net Banking</t>
        </is>
      </c>
      <c r="P1279" t="inlineStr">
        <is>
          <t>Vivaan Gupta</t>
        </is>
      </c>
    </row>
    <row r="1280">
      <c r="A1280" t="inlineStr">
        <is>
          <t>ORD-2511-1279</t>
        </is>
      </c>
      <c r="B1280" s="11" t="n">
        <v>45978</v>
      </c>
      <c r="C1280" t="inlineStr">
        <is>
          <t>East</t>
        </is>
      </c>
      <c r="D1280" t="inlineStr">
        <is>
          <t>Bhubaneswar</t>
        </is>
      </c>
      <c r="E1280" t="inlineStr">
        <is>
          <t>Corporate</t>
        </is>
      </c>
      <c r="F1280" t="inlineStr">
        <is>
          <t>Online</t>
        </is>
      </c>
      <c r="G1280" t="inlineStr">
        <is>
          <t>Office Supplies</t>
        </is>
      </c>
      <c r="H1280" t="inlineStr">
        <is>
          <t>Notebook Pack</t>
        </is>
      </c>
      <c r="I1280" t="n">
        <v>2</v>
      </c>
      <c r="J1280" s="12" t="n">
        <v>340.57</v>
      </c>
      <c r="K1280" s="13" t="n">
        <v>0.15</v>
      </c>
      <c r="L1280" s="12" t="n">
        <v>578.97</v>
      </c>
      <c r="M1280" s="12" t="n">
        <v>463.18</v>
      </c>
      <c r="N1280" s="12" t="n">
        <v>115.79</v>
      </c>
      <c r="O1280" t="inlineStr">
        <is>
          <t>UPI</t>
        </is>
      </c>
      <c r="P1280" t="inlineStr">
        <is>
          <t>Vivaan Gupta</t>
        </is>
      </c>
    </row>
    <row r="1281">
      <c r="A1281" t="inlineStr">
        <is>
          <t>ORD-2501-1280</t>
        </is>
      </c>
      <c r="B1281" s="11" t="n">
        <v>45681</v>
      </c>
      <c r="C1281" t="inlineStr">
        <is>
          <t>Central</t>
        </is>
      </c>
      <c r="D1281" t="inlineStr">
        <is>
          <t>Nagpur</t>
        </is>
      </c>
      <c r="E1281" t="inlineStr">
        <is>
          <t>Consumer</t>
        </is>
      </c>
      <c r="F1281" t="inlineStr">
        <is>
          <t>Retail Store</t>
        </is>
      </c>
      <c r="G1281" t="inlineStr">
        <is>
          <t>Office Supplies</t>
        </is>
      </c>
      <c r="H1281" t="inlineStr">
        <is>
          <t>File Folder</t>
        </is>
      </c>
      <c r="I1281" t="n">
        <v>3</v>
      </c>
      <c r="J1281" s="12" t="n">
        <v>85.08</v>
      </c>
      <c r="K1281" s="13" t="n">
        <v>0.1</v>
      </c>
      <c r="L1281" s="12" t="n">
        <v>229.72</v>
      </c>
      <c r="M1281" s="12" t="n">
        <v>158.25</v>
      </c>
      <c r="N1281" s="12" t="n">
        <v>71.47</v>
      </c>
      <c r="O1281" t="inlineStr">
        <is>
          <t>UPI</t>
        </is>
      </c>
      <c r="P1281" t="inlineStr">
        <is>
          <t>Diya Patel</t>
        </is>
      </c>
    </row>
    <row r="1282">
      <c r="A1282" t="inlineStr">
        <is>
          <t>ORD-2508-1281</t>
        </is>
      </c>
      <c r="B1282" s="11" t="n">
        <v>45872</v>
      </c>
      <c r="C1282" t="inlineStr">
        <is>
          <t>North</t>
        </is>
      </c>
      <c r="D1282" t="inlineStr">
        <is>
          <t>Delhi</t>
        </is>
      </c>
      <c r="E1282" t="inlineStr">
        <is>
          <t>Corporate</t>
        </is>
      </c>
      <c r="F1282" t="inlineStr">
        <is>
          <t>Online</t>
        </is>
      </c>
      <c r="G1282" t="inlineStr">
        <is>
          <t>Furniture</t>
        </is>
      </c>
      <c r="H1282" t="inlineStr">
        <is>
          <t>Bookshelf</t>
        </is>
      </c>
      <c r="I1282" t="n">
        <v>3</v>
      </c>
      <c r="J1282" s="12" t="n">
        <v>5531.26</v>
      </c>
      <c r="K1282" s="13" t="n">
        <v>0.05</v>
      </c>
      <c r="L1282" s="12" t="n">
        <v>15764.09</v>
      </c>
      <c r="M1282" s="12" t="n">
        <v>12279.4</v>
      </c>
      <c r="N1282" s="12" t="n">
        <v>3484.69</v>
      </c>
      <c r="O1282" t="inlineStr">
        <is>
          <t>Cash</t>
        </is>
      </c>
      <c r="P1282" t="inlineStr">
        <is>
          <t>Aarav Sharma</t>
        </is>
      </c>
    </row>
    <row r="1283">
      <c r="A1283" t="inlineStr">
        <is>
          <t>ORD-2506-1282</t>
        </is>
      </c>
      <c r="B1283" s="11" t="n">
        <v>45817</v>
      </c>
      <c r="C1283" t="inlineStr">
        <is>
          <t>West</t>
        </is>
      </c>
      <c r="D1283" t="inlineStr">
        <is>
          <t>Surat</t>
        </is>
      </c>
      <c r="E1283" t="inlineStr">
        <is>
          <t>Small Business</t>
        </is>
      </c>
      <c r="F1283" t="inlineStr">
        <is>
          <t>Partner</t>
        </is>
      </c>
      <c r="G1283" t="inlineStr">
        <is>
          <t>Technology</t>
        </is>
      </c>
      <c r="H1283" t="inlineStr">
        <is>
          <t>Headphones</t>
        </is>
      </c>
      <c r="I1283" t="n">
        <v>1</v>
      </c>
      <c r="J1283" s="12" t="n">
        <v>2152.69</v>
      </c>
      <c r="K1283" s="13" t="n">
        <v>0.1</v>
      </c>
      <c r="L1283" s="12" t="n">
        <v>1937.42</v>
      </c>
      <c r="M1283" s="12" t="n">
        <v>1679.1</v>
      </c>
      <c r="N1283" s="12" t="n">
        <v>258.32</v>
      </c>
      <c r="O1283" t="inlineStr">
        <is>
          <t>Credit Card</t>
        </is>
      </c>
      <c r="P1283" t="inlineStr">
        <is>
          <t>Anaya Rao</t>
        </is>
      </c>
    </row>
    <row r="1284">
      <c r="A1284" t="inlineStr">
        <is>
          <t>ORD-2509-1283</t>
        </is>
      </c>
      <c r="B1284" s="11" t="n">
        <v>45910</v>
      </c>
      <c r="C1284" t="inlineStr">
        <is>
          <t>Central</t>
        </is>
      </c>
      <c r="D1284" t="inlineStr">
        <is>
          <t>Indore</t>
        </is>
      </c>
      <c r="E1284" t="inlineStr">
        <is>
          <t>Consumer</t>
        </is>
      </c>
      <c r="F1284" t="inlineStr">
        <is>
          <t>Partner</t>
        </is>
      </c>
      <c r="G1284" t="inlineStr">
        <is>
          <t>Technology</t>
        </is>
      </c>
      <c r="H1284" t="inlineStr">
        <is>
          <t>Keyboard</t>
        </is>
      </c>
      <c r="I1284" t="n">
        <v>2</v>
      </c>
      <c r="J1284" s="12" t="n">
        <v>1499.07</v>
      </c>
      <c r="K1284" s="13" t="n">
        <v>0</v>
      </c>
      <c r="L1284" s="12" t="n">
        <v>2998.14</v>
      </c>
      <c r="M1284" s="12" t="n">
        <v>2248.61</v>
      </c>
      <c r="N1284" s="12" t="n">
        <v>749.53</v>
      </c>
      <c r="O1284" t="inlineStr">
        <is>
          <t>Credit Card</t>
        </is>
      </c>
      <c r="P1284" t="inlineStr">
        <is>
          <t>Diya Patel</t>
        </is>
      </c>
    </row>
    <row r="1285">
      <c r="A1285" t="inlineStr">
        <is>
          <t>ORD-2507-1284</t>
        </is>
      </c>
      <c r="B1285" s="11" t="n">
        <v>45864</v>
      </c>
      <c r="C1285" t="inlineStr">
        <is>
          <t>East</t>
        </is>
      </c>
      <c r="D1285" t="inlineStr">
        <is>
          <t>Kolkata</t>
        </is>
      </c>
      <c r="E1285" t="inlineStr">
        <is>
          <t>Corporate</t>
        </is>
      </c>
      <c r="F1285" t="inlineStr">
        <is>
          <t>Partner</t>
        </is>
      </c>
      <c r="G1285" t="inlineStr">
        <is>
          <t>Technology</t>
        </is>
      </c>
      <c r="H1285" t="inlineStr">
        <is>
          <t>Printer</t>
        </is>
      </c>
      <c r="I1285" t="n">
        <v>2</v>
      </c>
      <c r="J1285" s="12" t="n">
        <v>9742.24</v>
      </c>
      <c r="K1285" s="13" t="n">
        <v>0</v>
      </c>
      <c r="L1285" s="12" t="n">
        <v>19484.48</v>
      </c>
      <c r="M1285" s="12" t="n">
        <v>16366.96</v>
      </c>
      <c r="N1285" s="12" t="n">
        <v>3117.52</v>
      </c>
      <c r="O1285" t="inlineStr">
        <is>
          <t>Debit Card</t>
        </is>
      </c>
      <c r="P1285" t="inlineStr">
        <is>
          <t>Rohan Verma</t>
        </is>
      </c>
    </row>
    <row r="1286">
      <c r="A1286" t="inlineStr">
        <is>
          <t>ORD-2503-1285</t>
        </is>
      </c>
      <c r="B1286" s="11" t="n">
        <v>45725</v>
      </c>
      <c r="C1286" t="inlineStr">
        <is>
          <t>East</t>
        </is>
      </c>
      <c r="D1286" t="inlineStr">
        <is>
          <t>Guwahati</t>
        </is>
      </c>
      <c r="E1286" t="inlineStr">
        <is>
          <t>Consumer</t>
        </is>
      </c>
      <c r="F1286" t="inlineStr">
        <is>
          <t>Partner</t>
        </is>
      </c>
      <c r="G1286" t="inlineStr">
        <is>
          <t>Furniture</t>
        </is>
      </c>
      <c r="H1286" t="inlineStr">
        <is>
          <t>Office Chair</t>
        </is>
      </c>
      <c r="I1286" t="n">
        <v>4</v>
      </c>
      <c r="J1286" s="12" t="n">
        <v>7272.87</v>
      </c>
      <c r="K1286" s="13" t="n">
        <v>0.1</v>
      </c>
      <c r="L1286" s="12" t="n">
        <v>26182.33</v>
      </c>
      <c r="M1286" s="12" t="n">
        <v>20945.87</v>
      </c>
      <c r="N1286" s="12" t="n">
        <v>5236.46</v>
      </c>
      <c r="O1286" t="inlineStr">
        <is>
          <t>Debit Card</t>
        </is>
      </c>
      <c r="P1286" t="inlineStr">
        <is>
          <t>Aarav Sharma</t>
        </is>
      </c>
    </row>
    <row r="1287">
      <c r="A1287" t="inlineStr">
        <is>
          <t>ORD-2504-1286</t>
        </is>
      </c>
      <c r="B1287" s="11" t="n">
        <v>45759</v>
      </c>
      <c r="C1287" t="inlineStr">
        <is>
          <t>South</t>
        </is>
      </c>
      <c r="D1287" t="inlineStr">
        <is>
          <t>Bengaluru</t>
        </is>
      </c>
      <c r="E1287" t="inlineStr">
        <is>
          <t>Corporate</t>
        </is>
      </c>
      <c r="F1287" t="inlineStr">
        <is>
          <t>Retail Store</t>
        </is>
      </c>
      <c r="G1287" t="inlineStr">
        <is>
          <t>Technology</t>
        </is>
      </c>
      <c r="H1287" t="inlineStr">
        <is>
          <t>Keyboard</t>
        </is>
      </c>
      <c r="I1287" t="n">
        <v>3</v>
      </c>
      <c r="J1287" s="12" t="n">
        <v>1341.27</v>
      </c>
      <c r="K1287" s="13" t="n">
        <v>0.15</v>
      </c>
      <c r="L1287" s="12" t="n">
        <v>3420.24</v>
      </c>
      <c r="M1287" s="12" t="n">
        <v>3017.86</v>
      </c>
      <c r="N1287" s="12" t="n">
        <v>402.38</v>
      </c>
      <c r="O1287" t="inlineStr">
        <is>
          <t>Credit Card</t>
        </is>
      </c>
      <c r="P1287" t="inlineStr">
        <is>
          <t>Anaya Rao</t>
        </is>
      </c>
    </row>
    <row r="1288">
      <c r="A1288" t="inlineStr">
        <is>
          <t>ORD-2509-1287</t>
        </is>
      </c>
      <c r="B1288" s="11" t="n">
        <v>45905</v>
      </c>
      <c r="C1288" t="inlineStr">
        <is>
          <t>East</t>
        </is>
      </c>
      <c r="D1288" t="inlineStr">
        <is>
          <t>Patna</t>
        </is>
      </c>
      <c r="E1288" t="inlineStr">
        <is>
          <t>Consumer</t>
        </is>
      </c>
      <c r="F1288" t="inlineStr">
        <is>
          <t>Retail Store</t>
        </is>
      </c>
      <c r="G1288" t="inlineStr">
        <is>
          <t>Office Supplies</t>
        </is>
      </c>
      <c r="H1288" t="inlineStr">
        <is>
          <t>Pens Box</t>
        </is>
      </c>
      <c r="I1288" t="n">
        <v>5</v>
      </c>
      <c r="J1288" s="12" t="n">
        <v>177.28</v>
      </c>
      <c r="K1288" s="13" t="n">
        <v>0.2</v>
      </c>
      <c r="L1288" s="12" t="n">
        <v>709.12</v>
      </c>
      <c r="M1288" s="12" t="n">
        <v>576.16</v>
      </c>
      <c r="N1288" s="12" t="n">
        <v>132.96</v>
      </c>
      <c r="O1288" t="inlineStr">
        <is>
          <t>Cash</t>
        </is>
      </c>
      <c r="P1288" t="inlineStr">
        <is>
          <t>Rohan Verma</t>
        </is>
      </c>
    </row>
    <row r="1289">
      <c r="A1289" t="inlineStr">
        <is>
          <t>ORD-2510-1288</t>
        </is>
      </c>
      <c r="B1289" s="11" t="n">
        <v>45937</v>
      </c>
      <c r="C1289" t="inlineStr">
        <is>
          <t>West</t>
        </is>
      </c>
      <c r="D1289" t="inlineStr">
        <is>
          <t>Mumbai</t>
        </is>
      </c>
      <c r="E1289" t="inlineStr">
        <is>
          <t>Corporate</t>
        </is>
      </c>
      <c r="F1289" t="inlineStr">
        <is>
          <t>Online</t>
        </is>
      </c>
      <c r="G1289" t="inlineStr">
        <is>
          <t>Office Supplies</t>
        </is>
      </c>
      <c r="H1289" t="inlineStr">
        <is>
          <t>Paper Ream</t>
        </is>
      </c>
      <c r="I1289" t="n">
        <v>2</v>
      </c>
      <c r="J1289" s="12" t="n">
        <v>448.49</v>
      </c>
      <c r="K1289" s="13" t="n">
        <v>0.1</v>
      </c>
      <c r="L1289" s="12" t="n">
        <v>807.28</v>
      </c>
      <c r="M1289" s="12" t="n">
        <v>690.67</v>
      </c>
      <c r="N1289" s="12" t="n">
        <v>116.61</v>
      </c>
      <c r="O1289" t="inlineStr">
        <is>
          <t>Net Banking</t>
        </is>
      </c>
      <c r="P1289" t="inlineStr">
        <is>
          <t>Sara Khan</t>
        </is>
      </c>
    </row>
    <row r="1290">
      <c r="A1290" t="inlineStr">
        <is>
          <t>ORD-2509-1289</t>
        </is>
      </c>
      <c r="B1290" s="11" t="n">
        <v>45907</v>
      </c>
      <c r="C1290" t="inlineStr">
        <is>
          <t>Central</t>
        </is>
      </c>
      <c r="D1290" t="inlineStr">
        <is>
          <t>Nagpur</t>
        </is>
      </c>
      <c r="E1290" t="inlineStr">
        <is>
          <t>Corporate</t>
        </is>
      </c>
      <c r="F1290" t="inlineStr">
        <is>
          <t>Online</t>
        </is>
      </c>
      <c r="G1290" t="inlineStr">
        <is>
          <t>Office Supplies</t>
        </is>
      </c>
      <c r="H1290" t="inlineStr">
        <is>
          <t>Pens Box</t>
        </is>
      </c>
      <c r="I1290" t="n">
        <v>1</v>
      </c>
      <c r="J1290" s="12" t="n">
        <v>187.58</v>
      </c>
      <c r="K1290" s="13" t="n">
        <v>0.15</v>
      </c>
      <c r="L1290" s="12" t="n">
        <v>159.44</v>
      </c>
      <c r="M1290" s="12" t="n">
        <v>121.93</v>
      </c>
      <c r="N1290" s="12" t="n">
        <v>37.51</v>
      </c>
      <c r="O1290" t="inlineStr">
        <is>
          <t>Net Banking</t>
        </is>
      </c>
      <c r="P1290" t="inlineStr">
        <is>
          <t>Vivaan Gupta</t>
        </is>
      </c>
    </row>
    <row r="1291">
      <c r="A1291" t="inlineStr">
        <is>
          <t>ORD-2511-1290</t>
        </is>
      </c>
      <c r="B1291" s="11" t="n">
        <v>45986</v>
      </c>
      <c r="C1291" t="inlineStr">
        <is>
          <t>North</t>
        </is>
      </c>
      <c r="D1291" t="inlineStr">
        <is>
          <t>Jaipur</t>
        </is>
      </c>
      <c r="E1291" t="inlineStr">
        <is>
          <t>Small Business</t>
        </is>
      </c>
      <c r="F1291" t="inlineStr">
        <is>
          <t>Partner</t>
        </is>
      </c>
      <c r="G1291" t="inlineStr">
        <is>
          <t>Technology</t>
        </is>
      </c>
      <c r="H1291" t="inlineStr">
        <is>
          <t>Monitor</t>
        </is>
      </c>
      <c r="I1291" t="n">
        <v>2</v>
      </c>
      <c r="J1291" s="12" t="n">
        <v>11722.27</v>
      </c>
      <c r="K1291" s="13" t="n">
        <v>0.05</v>
      </c>
      <c r="L1291" s="12" t="n">
        <v>22272.31</v>
      </c>
      <c r="M1291" s="12" t="n">
        <v>19224.52</v>
      </c>
      <c r="N1291" s="12" t="n">
        <v>3047.79</v>
      </c>
      <c r="O1291" t="inlineStr">
        <is>
          <t>Net Banking</t>
        </is>
      </c>
      <c r="P1291" t="inlineStr">
        <is>
          <t>Kabir Singh</t>
        </is>
      </c>
    </row>
    <row r="1292">
      <c r="A1292" t="inlineStr">
        <is>
          <t>ORD-2506-1291</t>
        </is>
      </c>
      <c r="B1292" s="11" t="n">
        <v>45835</v>
      </c>
      <c r="C1292" t="inlineStr">
        <is>
          <t>East</t>
        </is>
      </c>
      <c r="D1292" t="inlineStr">
        <is>
          <t>Guwahati</t>
        </is>
      </c>
      <c r="E1292" t="inlineStr">
        <is>
          <t>Small Business</t>
        </is>
      </c>
      <c r="F1292" t="inlineStr">
        <is>
          <t>Online</t>
        </is>
      </c>
      <c r="G1292" t="inlineStr">
        <is>
          <t>Furniture</t>
        </is>
      </c>
      <c r="H1292" t="inlineStr">
        <is>
          <t>Desk</t>
        </is>
      </c>
      <c r="I1292" t="n">
        <v>3</v>
      </c>
      <c r="J1292" s="12" t="n">
        <v>12357.98</v>
      </c>
      <c r="K1292" s="13" t="n">
        <v>0.15</v>
      </c>
      <c r="L1292" s="12" t="n">
        <v>31512.85</v>
      </c>
      <c r="M1292" s="12" t="n">
        <v>28176.19</v>
      </c>
      <c r="N1292" s="12" t="n">
        <v>3336.66</v>
      </c>
      <c r="O1292" t="inlineStr">
        <is>
          <t>Debit Card</t>
        </is>
      </c>
      <c r="P1292" t="inlineStr">
        <is>
          <t>Meera Joshi</t>
        </is>
      </c>
    </row>
    <row r="1293">
      <c r="A1293" t="inlineStr">
        <is>
          <t>ORD-2503-1292</t>
        </is>
      </c>
      <c r="B1293" s="11" t="n">
        <v>45730</v>
      </c>
      <c r="C1293" t="inlineStr">
        <is>
          <t>South</t>
        </is>
      </c>
      <c r="D1293" t="inlineStr">
        <is>
          <t>Bengaluru</t>
        </is>
      </c>
      <c r="E1293" t="inlineStr">
        <is>
          <t>Consumer</t>
        </is>
      </c>
      <c r="F1293" t="inlineStr">
        <is>
          <t>Partner</t>
        </is>
      </c>
      <c r="G1293" t="inlineStr">
        <is>
          <t>Technology</t>
        </is>
      </c>
      <c r="H1293" t="inlineStr">
        <is>
          <t>Printer</t>
        </is>
      </c>
      <c r="I1293" t="n">
        <v>4</v>
      </c>
      <c r="J1293" s="12" t="n">
        <v>9653.42</v>
      </c>
      <c r="K1293" s="13" t="n">
        <v>0.05</v>
      </c>
      <c r="L1293" s="12" t="n">
        <v>36683</v>
      </c>
      <c r="M1293" s="12" t="n">
        <v>32435.49</v>
      </c>
      <c r="N1293" s="12" t="n">
        <v>4247.51</v>
      </c>
      <c r="O1293" t="inlineStr">
        <is>
          <t>Cash</t>
        </is>
      </c>
      <c r="P1293" t="inlineStr">
        <is>
          <t>Aarav Sharma</t>
        </is>
      </c>
    </row>
    <row r="1294">
      <c r="A1294" t="inlineStr">
        <is>
          <t>ORD-2509-1293</t>
        </is>
      </c>
      <c r="B1294" s="11" t="n">
        <v>45930</v>
      </c>
      <c r="C1294" t="inlineStr">
        <is>
          <t>East</t>
        </is>
      </c>
      <c r="D1294" t="inlineStr">
        <is>
          <t>Patna</t>
        </is>
      </c>
      <c r="E1294" t="inlineStr">
        <is>
          <t>Consumer</t>
        </is>
      </c>
      <c r="F1294" t="inlineStr">
        <is>
          <t>Partner</t>
        </is>
      </c>
      <c r="G1294" t="inlineStr">
        <is>
          <t>Office Supplies</t>
        </is>
      </c>
      <c r="H1294" t="inlineStr">
        <is>
          <t>Paper Ream</t>
        </is>
      </c>
      <c r="I1294" t="n">
        <v>8</v>
      </c>
      <c r="J1294" s="12" t="n">
        <v>411.56</v>
      </c>
      <c r="K1294" s="13" t="n">
        <v>0.1</v>
      </c>
      <c r="L1294" s="12" t="n">
        <v>2963.23</v>
      </c>
      <c r="M1294" s="12" t="n">
        <v>2535.21</v>
      </c>
      <c r="N1294" s="12" t="n">
        <v>428.02</v>
      </c>
      <c r="O1294" t="inlineStr">
        <is>
          <t>UPI</t>
        </is>
      </c>
      <c r="P1294" t="inlineStr">
        <is>
          <t>Meera Joshi</t>
        </is>
      </c>
    </row>
    <row r="1295">
      <c r="A1295" t="inlineStr">
        <is>
          <t>ORD-2503-1294</t>
        </is>
      </c>
      <c r="B1295" s="11" t="n">
        <v>45735</v>
      </c>
      <c r="C1295" t="inlineStr">
        <is>
          <t>Central</t>
        </is>
      </c>
      <c r="D1295" t="inlineStr">
        <is>
          <t>Nagpur</t>
        </is>
      </c>
      <c r="E1295" t="inlineStr">
        <is>
          <t>Corporate</t>
        </is>
      </c>
      <c r="F1295" t="inlineStr">
        <is>
          <t>Retail Store</t>
        </is>
      </c>
      <c r="G1295" t="inlineStr">
        <is>
          <t>Office Supplies</t>
        </is>
      </c>
      <c r="H1295" t="inlineStr">
        <is>
          <t>Stapler</t>
        </is>
      </c>
      <c r="I1295" t="n">
        <v>2</v>
      </c>
      <c r="J1295" s="12" t="n">
        <v>279.52</v>
      </c>
      <c r="K1295" s="13" t="n">
        <v>0</v>
      </c>
      <c r="L1295" s="12" t="n">
        <v>559.04</v>
      </c>
      <c r="M1295" s="12" t="n">
        <v>391.33</v>
      </c>
      <c r="N1295" s="12" t="n">
        <v>167.71</v>
      </c>
      <c r="O1295" t="inlineStr">
        <is>
          <t>Debit Card</t>
        </is>
      </c>
      <c r="P1295" t="inlineStr">
        <is>
          <t>Vivaan Gupta</t>
        </is>
      </c>
    </row>
    <row r="1296">
      <c r="A1296" t="inlineStr">
        <is>
          <t>ORD-2509-1295</t>
        </is>
      </c>
      <c r="B1296" s="11" t="n">
        <v>45901</v>
      </c>
      <c r="C1296" t="inlineStr">
        <is>
          <t>West</t>
        </is>
      </c>
      <c r="D1296" t="inlineStr">
        <is>
          <t>Ahmedabad</t>
        </is>
      </c>
      <c r="E1296" t="inlineStr">
        <is>
          <t>Small Business</t>
        </is>
      </c>
      <c r="F1296" t="inlineStr">
        <is>
          <t>Partner</t>
        </is>
      </c>
      <c r="G1296" t="inlineStr">
        <is>
          <t>Technology</t>
        </is>
      </c>
      <c r="H1296" t="inlineStr">
        <is>
          <t>Keyboard</t>
        </is>
      </c>
      <c r="I1296" t="n">
        <v>4</v>
      </c>
      <c r="J1296" s="12" t="n">
        <v>1304.77</v>
      </c>
      <c r="K1296" s="13" t="n">
        <v>0.05</v>
      </c>
      <c r="L1296" s="12" t="n">
        <v>4958.13</v>
      </c>
      <c r="M1296" s="12" t="n">
        <v>3914.31</v>
      </c>
      <c r="N1296" s="12" t="n">
        <v>1043.82</v>
      </c>
      <c r="O1296" t="inlineStr">
        <is>
          <t>Net Banking</t>
        </is>
      </c>
      <c r="P1296" t="inlineStr">
        <is>
          <t>Meera Joshi</t>
        </is>
      </c>
    </row>
    <row r="1297">
      <c r="A1297" t="inlineStr">
        <is>
          <t>ORD-2511-1296</t>
        </is>
      </c>
      <c r="B1297" s="11" t="n">
        <v>45971</v>
      </c>
      <c r="C1297" t="inlineStr">
        <is>
          <t>Central</t>
        </is>
      </c>
      <c r="D1297" t="inlineStr">
        <is>
          <t>Bhopal</t>
        </is>
      </c>
      <c r="E1297" t="inlineStr">
        <is>
          <t>Consumer</t>
        </is>
      </c>
      <c r="F1297" t="inlineStr">
        <is>
          <t>Online</t>
        </is>
      </c>
      <c r="G1297" t="inlineStr">
        <is>
          <t>Technology</t>
        </is>
      </c>
      <c r="H1297" t="inlineStr">
        <is>
          <t>Laptop</t>
        </is>
      </c>
      <c r="I1297" t="n">
        <v>4</v>
      </c>
      <c r="J1297" s="12" t="n">
        <v>41871.86</v>
      </c>
      <c r="K1297" s="13" t="n">
        <v>0</v>
      </c>
      <c r="L1297" s="12" t="n">
        <v>167487.44</v>
      </c>
      <c r="M1297" s="12" t="n">
        <v>147388.95</v>
      </c>
      <c r="N1297" s="12" t="n">
        <v>20098.49</v>
      </c>
      <c r="O1297" t="inlineStr">
        <is>
          <t>Debit Card</t>
        </is>
      </c>
      <c r="P1297" t="inlineStr">
        <is>
          <t>Kabir Singh</t>
        </is>
      </c>
    </row>
    <row r="1298">
      <c r="A1298" t="inlineStr">
        <is>
          <t>ORD-2511-1297</t>
        </is>
      </c>
      <c r="B1298" s="11" t="n">
        <v>45988</v>
      </c>
      <c r="C1298" t="inlineStr">
        <is>
          <t>West</t>
        </is>
      </c>
      <c r="D1298" t="inlineStr">
        <is>
          <t>Surat</t>
        </is>
      </c>
      <c r="E1298" t="inlineStr">
        <is>
          <t>Corporate</t>
        </is>
      </c>
      <c r="F1298" t="inlineStr">
        <is>
          <t>Online</t>
        </is>
      </c>
      <c r="G1298" t="inlineStr">
        <is>
          <t>Office Supplies</t>
        </is>
      </c>
      <c r="H1298" t="inlineStr">
        <is>
          <t>Notebook Pack</t>
        </is>
      </c>
      <c r="I1298" t="n">
        <v>1</v>
      </c>
      <c r="J1298" s="12" t="n">
        <v>325.95</v>
      </c>
      <c r="K1298" s="13" t="n">
        <v>0.15</v>
      </c>
      <c r="L1298" s="12" t="n">
        <v>277.06</v>
      </c>
      <c r="M1298" s="12" t="n">
        <v>221.65</v>
      </c>
      <c r="N1298" s="12" t="n">
        <v>55.41</v>
      </c>
      <c r="O1298" t="inlineStr">
        <is>
          <t>Debit Card</t>
        </is>
      </c>
      <c r="P1298" t="inlineStr">
        <is>
          <t>Diya Patel</t>
        </is>
      </c>
    </row>
    <row r="1299">
      <c r="A1299" t="inlineStr">
        <is>
          <t>ORD-2510-1298</t>
        </is>
      </c>
      <c r="B1299" s="11" t="n">
        <v>45957</v>
      </c>
      <c r="C1299" t="inlineStr">
        <is>
          <t>South</t>
        </is>
      </c>
      <c r="D1299" t="inlineStr">
        <is>
          <t>Chennai</t>
        </is>
      </c>
      <c r="E1299" t="inlineStr">
        <is>
          <t>Small Business</t>
        </is>
      </c>
      <c r="F1299" t="inlineStr">
        <is>
          <t>Online</t>
        </is>
      </c>
      <c r="G1299" t="inlineStr">
        <is>
          <t>Furniture</t>
        </is>
      </c>
      <c r="H1299" t="inlineStr">
        <is>
          <t>Bookshelf</t>
        </is>
      </c>
      <c r="I1299" t="n">
        <v>1</v>
      </c>
      <c r="J1299" s="12" t="n">
        <v>5056.45</v>
      </c>
      <c r="K1299" s="13" t="n">
        <v>0</v>
      </c>
      <c r="L1299" s="12" t="n">
        <v>5056.45</v>
      </c>
      <c r="M1299" s="12" t="n">
        <v>3741.77</v>
      </c>
      <c r="N1299" s="12" t="n">
        <v>1314.68</v>
      </c>
      <c r="O1299" t="inlineStr">
        <is>
          <t>Cash</t>
        </is>
      </c>
      <c r="P1299" t="inlineStr">
        <is>
          <t>Rohan Verma</t>
        </is>
      </c>
    </row>
    <row r="1300">
      <c r="A1300" t="inlineStr">
        <is>
          <t>ORD-2509-1299</t>
        </is>
      </c>
      <c r="B1300" s="11" t="n">
        <v>45926</v>
      </c>
      <c r="C1300" t="inlineStr">
        <is>
          <t>North</t>
        </is>
      </c>
      <c r="D1300" t="inlineStr">
        <is>
          <t>Lucknow</t>
        </is>
      </c>
      <c r="E1300" t="inlineStr">
        <is>
          <t>Small Business</t>
        </is>
      </c>
      <c r="F1300" t="inlineStr">
        <is>
          <t>Partner</t>
        </is>
      </c>
      <c r="G1300" t="inlineStr">
        <is>
          <t>Technology</t>
        </is>
      </c>
      <c r="H1300" t="inlineStr">
        <is>
          <t>Printer</t>
        </is>
      </c>
      <c r="I1300" t="n">
        <v>4</v>
      </c>
      <c r="J1300" s="12" t="n">
        <v>8929.790000000001</v>
      </c>
      <c r="K1300" s="13" t="n">
        <v>0.05</v>
      </c>
      <c r="L1300" s="12" t="n">
        <v>33933.2</v>
      </c>
      <c r="M1300" s="12" t="n">
        <v>30004.09</v>
      </c>
      <c r="N1300" s="12" t="n">
        <v>3929.11</v>
      </c>
      <c r="O1300" t="inlineStr">
        <is>
          <t>Debit Card</t>
        </is>
      </c>
      <c r="P1300" t="inlineStr">
        <is>
          <t>Kabir Singh</t>
        </is>
      </c>
    </row>
    <row r="1301">
      <c r="A1301" t="inlineStr">
        <is>
          <t>ORD-2502-1300</t>
        </is>
      </c>
      <c r="B1301" s="11" t="n">
        <v>45694</v>
      </c>
      <c r="C1301" t="inlineStr">
        <is>
          <t>East</t>
        </is>
      </c>
      <c r="D1301" t="inlineStr">
        <is>
          <t>Bhubaneswar</t>
        </is>
      </c>
      <c r="E1301" t="inlineStr">
        <is>
          <t>Corporate</t>
        </is>
      </c>
      <c r="F1301" t="inlineStr">
        <is>
          <t>Retail Store</t>
        </is>
      </c>
      <c r="G1301" t="inlineStr">
        <is>
          <t>Technology</t>
        </is>
      </c>
      <c r="H1301" t="inlineStr">
        <is>
          <t>Laptop</t>
        </is>
      </c>
      <c r="I1301" t="n">
        <v>2</v>
      </c>
      <c r="J1301" s="12" t="n">
        <v>39398.27</v>
      </c>
      <c r="K1301" s="13" t="n">
        <v>0.15</v>
      </c>
      <c r="L1301" s="12" t="n">
        <v>66977.06</v>
      </c>
      <c r="M1301" s="12" t="n">
        <v>69340.96000000001</v>
      </c>
      <c r="N1301" s="12" t="n">
        <v>-2363.9</v>
      </c>
      <c r="O1301" t="inlineStr">
        <is>
          <t>Cash</t>
        </is>
      </c>
      <c r="P1301" t="inlineStr">
        <is>
          <t>Kabir Singh</t>
        </is>
      </c>
    </row>
    <row r="1302">
      <c r="A1302" t="inlineStr">
        <is>
          <t>ORD-2512-1301</t>
        </is>
      </c>
      <c r="B1302" s="11" t="n">
        <v>46021</v>
      </c>
      <c r="C1302" t="inlineStr">
        <is>
          <t>West</t>
        </is>
      </c>
      <c r="D1302" t="inlineStr">
        <is>
          <t>Ahmedabad</t>
        </is>
      </c>
      <c r="E1302" t="inlineStr">
        <is>
          <t>Small Business</t>
        </is>
      </c>
      <c r="F1302" t="inlineStr">
        <is>
          <t>Retail Store</t>
        </is>
      </c>
      <c r="G1302" t="inlineStr">
        <is>
          <t>Technology</t>
        </is>
      </c>
      <c r="H1302" t="inlineStr">
        <is>
          <t>Printer</t>
        </is>
      </c>
      <c r="I1302" t="n">
        <v>3</v>
      </c>
      <c r="J1302" s="12" t="n">
        <v>9852.27</v>
      </c>
      <c r="K1302" s="13" t="n">
        <v>0</v>
      </c>
      <c r="L1302" s="12" t="n">
        <v>29556.81</v>
      </c>
      <c r="M1302" s="12" t="n">
        <v>24827.72</v>
      </c>
      <c r="N1302" s="12" t="n">
        <v>4729.09</v>
      </c>
      <c r="O1302" t="inlineStr">
        <is>
          <t>UPI</t>
        </is>
      </c>
      <c r="P1302" t="inlineStr">
        <is>
          <t>Anaya Rao</t>
        </is>
      </c>
    </row>
    <row r="1303">
      <c r="A1303" t="inlineStr">
        <is>
          <t>ORD-2512-1302</t>
        </is>
      </c>
      <c r="B1303" s="11" t="n">
        <v>46017</v>
      </c>
      <c r="C1303" t="inlineStr">
        <is>
          <t>West</t>
        </is>
      </c>
      <c r="D1303" t="inlineStr">
        <is>
          <t>Surat</t>
        </is>
      </c>
      <c r="E1303" t="inlineStr">
        <is>
          <t>Small Business</t>
        </is>
      </c>
      <c r="F1303" t="inlineStr">
        <is>
          <t>Partner</t>
        </is>
      </c>
      <c r="G1303" t="inlineStr">
        <is>
          <t>Technology</t>
        </is>
      </c>
      <c r="H1303" t="inlineStr">
        <is>
          <t>Laptop</t>
        </is>
      </c>
      <c r="I1303" t="n">
        <v>3</v>
      </c>
      <c r="J1303" s="12" t="n">
        <v>40522.97</v>
      </c>
      <c r="K1303" s="13" t="n">
        <v>0.15</v>
      </c>
      <c r="L1303" s="12" t="n">
        <v>103333.57</v>
      </c>
      <c r="M1303" s="12" t="n">
        <v>106980.64</v>
      </c>
      <c r="N1303" s="12" t="n">
        <v>-3647.07</v>
      </c>
      <c r="O1303" t="inlineStr">
        <is>
          <t>Net Banking</t>
        </is>
      </c>
      <c r="P1303" t="inlineStr">
        <is>
          <t>Rohan Verma</t>
        </is>
      </c>
    </row>
    <row r="1304">
      <c r="A1304" t="inlineStr">
        <is>
          <t>ORD-2511-1303</t>
        </is>
      </c>
      <c r="B1304" s="11" t="n">
        <v>45985</v>
      </c>
      <c r="C1304" t="inlineStr">
        <is>
          <t>Central</t>
        </is>
      </c>
      <c r="D1304" t="inlineStr">
        <is>
          <t>Raipur</t>
        </is>
      </c>
      <c r="E1304" t="inlineStr">
        <is>
          <t>Consumer</t>
        </is>
      </c>
      <c r="F1304" t="inlineStr">
        <is>
          <t>Online</t>
        </is>
      </c>
      <c r="G1304" t="inlineStr">
        <is>
          <t>Furniture</t>
        </is>
      </c>
      <c r="H1304" t="inlineStr">
        <is>
          <t>Desk</t>
        </is>
      </c>
      <c r="I1304" t="n">
        <v>4</v>
      </c>
      <c r="J1304" s="12" t="n">
        <v>11236.26</v>
      </c>
      <c r="K1304" s="13" t="n">
        <v>0</v>
      </c>
      <c r="L1304" s="12" t="n">
        <v>44945.04</v>
      </c>
      <c r="M1304" s="12" t="n">
        <v>34158.23</v>
      </c>
      <c r="N1304" s="12" t="n">
        <v>10786.81</v>
      </c>
      <c r="O1304" t="inlineStr">
        <is>
          <t>Debit Card</t>
        </is>
      </c>
      <c r="P1304" t="inlineStr">
        <is>
          <t>Meera Joshi</t>
        </is>
      </c>
    </row>
    <row r="1305">
      <c r="A1305" t="inlineStr">
        <is>
          <t>ORD-2510-1304</t>
        </is>
      </c>
      <c r="B1305" s="11" t="n">
        <v>45957</v>
      </c>
      <c r="C1305" t="inlineStr">
        <is>
          <t>West</t>
        </is>
      </c>
      <c r="D1305" t="inlineStr">
        <is>
          <t>Pune</t>
        </is>
      </c>
      <c r="E1305" t="inlineStr">
        <is>
          <t>Small Business</t>
        </is>
      </c>
      <c r="F1305" t="inlineStr">
        <is>
          <t>Retail Store</t>
        </is>
      </c>
      <c r="G1305" t="inlineStr">
        <is>
          <t>Office Supplies</t>
        </is>
      </c>
      <c r="H1305" t="inlineStr">
        <is>
          <t>Notebook Pack</t>
        </is>
      </c>
      <c r="I1305" t="n">
        <v>2</v>
      </c>
      <c r="J1305" s="12" t="n">
        <v>377.85</v>
      </c>
      <c r="K1305" s="13" t="n">
        <v>0</v>
      </c>
      <c r="L1305" s="12" t="n">
        <v>755.7</v>
      </c>
      <c r="M1305" s="12" t="n">
        <v>513.88</v>
      </c>
      <c r="N1305" s="12" t="n">
        <v>241.82</v>
      </c>
      <c r="O1305" t="inlineStr">
        <is>
          <t>Cash</t>
        </is>
      </c>
      <c r="P1305" t="inlineStr">
        <is>
          <t>Vivaan Gupta</t>
        </is>
      </c>
    </row>
    <row r="1306">
      <c r="A1306" t="inlineStr">
        <is>
          <t>ORD-2511-1305</t>
        </is>
      </c>
      <c r="B1306" s="11" t="n">
        <v>45968</v>
      </c>
      <c r="C1306" t="inlineStr">
        <is>
          <t>Central</t>
        </is>
      </c>
      <c r="D1306" t="inlineStr">
        <is>
          <t>Nagpur</t>
        </is>
      </c>
      <c r="E1306" t="inlineStr">
        <is>
          <t>Consumer</t>
        </is>
      </c>
      <c r="F1306" t="inlineStr">
        <is>
          <t>Partner</t>
        </is>
      </c>
      <c r="G1306" t="inlineStr">
        <is>
          <t>Technology</t>
        </is>
      </c>
      <c r="H1306" t="inlineStr">
        <is>
          <t>Laptop</t>
        </is>
      </c>
      <c r="I1306" t="n">
        <v>3</v>
      </c>
      <c r="J1306" s="12" t="n">
        <v>43972.99</v>
      </c>
      <c r="K1306" s="13" t="n">
        <v>0.1</v>
      </c>
      <c r="L1306" s="12" t="n">
        <v>118727.07</v>
      </c>
      <c r="M1306" s="12" t="n">
        <v>116088.69</v>
      </c>
      <c r="N1306" s="12" t="n">
        <v>2638.38</v>
      </c>
      <c r="O1306" t="inlineStr">
        <is>
          <t>Credit Card</t>
        </is>
      </c>
      <c r="P1306" t="inlineStr">
        <is>
          <t>Diya Patel</t>
        </is>
      </c>
    </row>
    <row r="1307">
      <c r="A1307" t="inlineStr">
        <is>
          <t>ORD-2505-1306</t>
        </is>
      </c>
      <c r="B1307" s="11" t="n">
        <v>45780</v>
      </c>
      <c r="C1307" t="inlineStr">
        <is>
          <t>East</t>
        </is>
      </c>
      <c r="D1307" t="inlineStr">
        <is>
          <t>Guwahati</t>
        </is>
      </c>
      <c r="E1307" t="inlineStr">
        <is>
          <t>Corporate</t>
        </is>
      </c>
      <c r="F1307" t="inlineStr">
        <is>
          <t>Retail Store</t>
        </is>
      </c>
      <c r="G1307" t="inlineStr">
        <is>
          <t>Office Supplies</t>
        </is>
      </c>
      <c r="H1307" t="inlineStr">
        <is>
          <t>Stapler</t>
        </is>
      </c>
      <c r="I1307" t="n">
        <v>2</v>
      </c>
      <c r="J1307" s="12" t="n">
        <v>253.65</v>
      </c>
      <c r="K1307" s="13" t="n">
        <v>0.1</v>
      </c>
      <c r="L1307" s="12" t="n">
        <v>456.57</v>
      </c>
      <c r="M1307" s="12" t="n">
        <v>355.11</v>
      </c>
      <c r="N1307" s="12" t="n">
        <v>101.46</v>
      </c>
      <c r="O1307" t="inlineStr">
        <is>
          <t>Cash</t>
        </is>
      </c>
      <c r="P1307" t="inlineStr">
        <is>
          <t>Aarav Sharma</t>
        </is>
      </c>
    </row>
    <row r="1308">
      <c r="A1308" t="inlineStr">
        <is>
          <t>ORD-2507-1307</t>
        </is>
      </c>
      <c r="B1308" s="11" t="n">
        <v>45862</v>
      </c>
      <c r="C1308" t="inlineStr">
        <is>
          <t>West</t>
        </is>
      </c>
      <c r="D1308" t="inlineStr">
        <is>
          <t>Mumbai</t>
        </is>
      </c>
      <c r="E1308" t="inlineStr">
        <is>
          <t>Consumer</t>
        </is>
      </c>
      <c r="F1308" t="inlineStr">
        <is>
          <t>Retail Store</t>
        </is>
      </c>
      <c r="G1308" t="inlineStr">
        <is>
          <t>Technology</t>
        </is>
      </c>
      <c r="H1308" t="inlineStr">
        <is>
          <t>Printer</t>
        </is>
      </c>
      <c r="I1308" t="n">
        <v>3</v>
      </c>
      <c r="J1308" s="12" t="n">
        <v>10177.84</v>
      </c>
      <c r="K1308" s="13" t="n">
        <v>0</v>
      </c>
      <c r="L1308" s="12" t="n">
        <v>30533.52</v>
      </c>
      <c r="M1308" s="12" t="n">
        <v>25648.16</v>
      </c>
      <c r="N1308" s="12" t="n">
        <v>4885.36</v>
      </c>
      <c r="O1308" t="inlineStr">
        <is>
          <t>Debit Card</t>
        </is>
      </c>
      <c r="P1308" t="inlineStr">
        <is>
          <t>Aarav Sharma</t>
        </is>
      </c>
    </row>
    <row r="1309">
      <c r="A1309" t="inlineStr">
        <is>
          <t>ORD-2508-1308</t>
        </is>
      </c>
      <c r="B1309" s="11" t="n">
        <v>45891</v>
      </c>
      <c r="C1309" t="inlineStr">
        <is>
          <t>East</t>
        </is>
      </c>
      <c r="D1309" t="inlineStr">
        <is>
          <t>Bhubaneswar</t>
        </is>
      </c>
      <c r="E1309" t="inlineStr">
        <is>
          <t>Corporate</t>
        </is>
      </c>
      <c r="F1309" t="inlineStr">
        <is>
          <t>Retail Store</t>
        </is>
      </c>
      <c r="G1309" t="inlineStr">
        <is>
          <t>Office Supplies</t>
        </is>
      </c>
      <c r="H1309" t="inlineStr">
        <is>
          <t>Stapler</t>
        </is>
      </c>
      <c r="I1309" t="n">
        <v>4</v>
      </c>
      <c r="J1309" s="12" t="n">
        <v>279.37</v>
      </c>
      <c r="K1309" s="13" t="n">
        <v>0.05</v>
      </c>
      <c r="L1309" s="12" t="n">
        <v>1061.61</v>
      </c>
      <c r="M1309" s="12" t="n">
        <v>782.24</v>
      </c>
      <c r="N1309" s="12" t="n">
        <v>279.37</v>
      </c>
      <c r="O1309" t="inlineStr">
        <is>
          <t>Credit Card</t>
        </is>
      </c>
      <c r="P1309" t="inlineStr">
        <is>
          <t>Sara Khan</t>
        </is>
      </c>
    </row>
    <row r="1310">
      <c r="A1310" t="inlineStr">
        <is>
          <t>ORD-2508-1309</t>
        </is>
      </c>
      <c r="B1310" s="11" t="n">
        <v>45892</v>
      </c>
      <c r="C1310" t="inlineStr">
        <is>
          <t>East</t>
        </is>
      </c>
      <c r="D1310" t="inlineStr">
        <is>
          <t>Patna</t>
        </is>
      </c>
      <c r="E1310" t="inlineStr">
        <is>
          <t>Small Business</t>
        </is>
      </c>
      <c r="F1310" t="inlineStr">
        <is>
          <t>Retail Store</t>
        </is>
      </c>
      <c r="G1310" t="inlineStr">
        <is>
          <t>Technology</t>
        </is>
      </c>
      <c r="H1310" t="inlineStr">
        <is>
          <t>Printer</t>
        </is>
      </c>
      <c r="I1310" t="n">
        <v>3</v>
      </c>
      <c r="J1310" s="12" t="n">
        <v>9725.4</v>
      </c>
      <c r="K1310" s="13" t="n">
        <v>0.15</v>
      </c>
      <c r="L1310" s="12" t="n">
        <v>24799.77</v>
      </c>
      <c r="M1310" s="12" t="n">
        <v>24508.01</v>
      </c>
      <c r="N1310" s="12" t="n">
        <v>291.76</v>
      </c>
      <c r="O1310" t="inlineStr">
        <is>
          <t>Net Banking</t>
        </is>
      </c>
      <c r="P1310" t="inlineStr">
        <is>
          <t>Kabir Singh</t>
        </is>
      </c>
    </row>
    <row r="1311">
      <c r="A1311" t="inlineStr">
        <is>
          <t>ORD-2509-1310</t>
        </is>
      </c>
      <c r="B1311" s="11" t="n">
        <v>45913</v>
      </c>
      <c r="C1311" t="inlineStr">
        <is>
          <t>North</t>
        </is>
      </c>
      <c r="D1311" t="inlineStr">
        <is>
          <t>Chandigarh</t>
        </is>
      </c>
      <c r="E1311" t="inlineStr">
        <is>
          <t>Consumer</t>
        </is>
      </c>
      <c r="F1311" t="inlineStr">
        <is>
          <t>Retail Store</t>
        </is>
      </c>
      <c r="G1311" t="inlineStr">
        <is>
          <t>Furniture</t>
        </is>
      </c>
      <c r="H1311" t="inlineStr">
        <is>
          <t>Office Chair</t>
        </is>
      </c>
      <c r="I1311" t="n">
        <v>3</v>
      </c>
      <c r="J1311" s="12" t="n">
        <v>7165.82</v>
      </c>
      <c r="K1311" s="13" t="n">
        <v>0.1</v>
      </c>
      <c r="L1311" s="12" t="n">
        <v>19347.71</v>
      </c>
      <c r="M1311" s="12" t="n">
        <v>15478.17</v>
      </c>
      <c r="N1311" s="12" t="n">
        <v>3869.54</v>
      </c>
      <c r="O1311" t="inlineStr">
        <is>
          <t>Net Banking</t>
        </is>
      </c>
      <c r="P1311" t="inlineStr">
        <is>
          <t>Diya Patel</t>
        </is>
      </c>
    </row>
    <row r="1312">
      <c r="A1312" t="inlineStr">
        <is>
          <t>ORD-2502-1311</t>
        </is>
      </c>
      <c r="B1312" s="11" t="n">
        <v>45704</v>
      </c>
      <c r="C1312" t="inlineStr">
        <is>
          <t>West</t>
        </is>
      </c>
      <c r="D1312" t="inlineStr">
        <is>
          <t>Ahmedabad</t>
        </is>
      </c>
      <c r="E1312" t="inlineStr">
        <is>
          <t>Corporate</t>
        </is>
      </c>
      <c r="F1312" t="inlineStr">
        <is>
          <t>Partner</t>
        </is>
      </c>
      <c r="G1312" t="inlineStr">
        <is>
          <t>Office Supplies</t>
        </is>
      </c>
      <c r="H1312" t="inlineStr">
        <is>
          <t>Notebook Pack</t>
        </is>
      </c>
      <c r="I1312" t="n">
        <v>3</v>
      </c>
      <c r="J1312" s="12" t="n">
        <v>343.43</v>
      </c>
      <c r="K1312" s="13" t="n">
        <v>0</v>
      </c>
      <c r="L1312" s="12" t="n">
        <v>1030.29</v>
      </c>
      <c r="M1312" s="12" t="n">
        <v>700.6</v>
      </c>
      <c r="N1312" s="12" t="n">
        <v>329.69</v>
      </c>
      <c r="O1312" t="inlineStr">
        <is>
          <t>Debit Card</t>
        </is>
      </c>
      <c r="P1312" t="inlineStr">
        <is>
          <t>Sara Khan</t>
        </is>
      </c>
    </row>
    <row r="1313">
      <c r="A1313" t="inlineStr">
        <is>
          <t>ORD-2506-1312</t>
        </is>
      </c>
      <c r="B1313" s="11" t="n">
        <v>45830</v>
      </c>
      <c r="C1313" t="inlineStr">
        <is>
          <t>West</t>
        </is>
      </c>
      <c r="D1313" t="inlineStr">
        <is>
          <t>Ahmedabad</t>
        </is>
      </c>
      <c r="E1313" t="inlineStr">
        <is>
          <t>Consumer</t>
        </is>
      </c>
      <c r="F1313" t="inlineStr">
        <is>
          <t>Partner</t>
        </is>
      </c>
      <c r="G1313" t="inlineStr">
        <is>
          <t>Office Supplies</t>
        </is>
      </c>
      <c r="H1313" t="inlineStr">
        <is>
          <t>File Folder</t>
        </is>
      </c>
      <c r="I1313" t="n">
        <v>1</v>
      </c>
      <c r="J1313" s="12" t="n">
        <v>83.03</v>
      </c>
      <c r="K1313" s="13" t="n">
        <v>0</v>
      </c>
      <c r="L1313" s="12" t="n">
        <v>83.03</v>
      </c>
      <c r="M1313" s="12" t="n">
        <v>51.48</v>
      </c>
      <c r="N1313" s="12" t="n">
        <v>31.55</v>
      </c>
      <c r="O1313" t="inlineStr">
        <is>
          <t>Net Banking</t>
        </is>
      </c>
      <c r="P1313" t="inlineStr">
        <is>
          <t>Rohan Verma</t>
        </is>
      </c>
    </row>
    <row r="1314">
      <c r="A1314" t="inlineStr">
        <is>
          <t>ORD-2510-1313</t>
        </is>
      </c>
      <c r="B1314" s="11" t="n">
        <v>45944</v>
      </c>
      <c r="C1314" t="inlineStr">
        <is>
          <t>Central</t>
        </is>
      </c>
      <c r="D1314" t="inlineStr">
        <is>
          <t>Indore</t>
        </is>
      </c>
      <c r="E1314" t="inlineStr">
        <is>
          <t>Small Business</t>
        </is>
      </c>
      <c r="F1314" t="inlineStr">
        <is>
          <t>Partner</t>
        </is>
      </c>
      <c r="G1314" t="inlineStr">
        <is>
          <t>Furniture</t>
        </is>
      </c>
      <c r="H1314" t="inlineStr">
        <is>
          <t>Desk</t>
        </is>
      </c>
      <c r="I1314" t="n">
        <v>3</v>
      </c>
      <c r="J1314" s="12" t="n">
        <v>10751.79</v>
      </c>
      <c r="K1314" s="13" t="n">
        <v>0</v>
      </c>
      <c r="L1314" s="12" t="n">
        <v>32255.37</v>
      </c>
      <c r="M1314" s="12" t="n">
        <v>24514.08</v>
      </c>
      <c r="N1314" s="12" t="n">
        <v>7741.29</v>
      </c>
      <c r="O1314" t="inlineStr">
        <is>
          <t>Debit Card</t>
        </is>
      </c>
      <c r="P1314" t="inlineStr">
        <is>
          <t>Rohan Verma</t>
        </is>
      </c>
    </row>
    <row r="1315">
      <c r="A1315" t="inlineStr">
        <is>
          <t>ORD-2503-1314</t>
        </is>
      </c>
      <c r="B1315" s="11" t="n">
        <v>45732</v>
      </c>
      <c r="C1315" t="inlineStr">
        <is>
          <t>East</t>
        </is>
      </c>
      <c r="D1315" t="inlineStr">
        <is>
          <t>Bhubaneswar</t>
        </is>
      </c>
      <c r="E1315" t="inlineStr">
        <is>
          <t>Small Business</t>
        </is>
      </c>
      <c r="F1315" t="inlineStr">
        <is>
          <t>Retail Store</t>
        </is>
      </c>
      <c r="G1315" t="inlineStr">
        <is>
          <t>Furniture</t>
        </is>
      </c>
      <c r="H1315" t="inlineStr">
        <is>
          <t>Desk</t>
        </is>
      </c>
      <c r="I1315" t="n">
        <v>1</v>
      </c>
      <c r="J1315" s="12" t="n">
        <v>12134.82</v>
      </c>
      <c r="K1315" s="13" t="n">
        <v>0.05</v>
      </c>
      <c r="L1315" s="12" t="n">
        <v>11528.08</v>
      </c>
      <c r="M1315" s="12" t="n">
        <v>9222.459999999999</v>
      </c>
      <c r="N1315" s="12" t="n">
        <v>2305.62</v>
      </c>
      <c r="O1315" t="inlineStr">
        <is>
          <t>Cash</t>
        </is>
      </c>
      <c r="P1315" t="inlineStr">
        <is>
          <t>Diya Patel</t>
        </is>
      </c>
    </row>
    <row r="1316">
      <c r="A1316" t="inlineStr">
        <is>
          <t>ORD-2506-1315</t>
        </is>
      </c>
      <c r="B1316" s="11" t="n">
        <v>45823</v>
      </c>
      <c r="C1316" t="inlineStr">
        <is>
          <t>South</t>
        </is>
      </c>
      <c r="D1316" t="inlineStr">
        <is>
          <t>Kochi</t>
        </is>
      </c>
      <c r="E1316" t="inlineStr">
        <is>
          <t>Corporate</t>
        </is>
      </c>
      <c r="F1316" t="inlineStr">
        <is>
          <t>Online</t>
        </is>
      </c>
      <c r="G1316" t="inlineStr">
        <is>
          <t>Office Supplies</t>
        </is>
      </c>
      <c r="H1316" t="inlineStr">
        <is>
          <t>Stapler</t>
        </is>
      </c>
      <c r="I1316" t="n">
        <v>1</v>
      </c>
      <c r="J1316" s="12" t="n">
        <v>266.97</v>
      </c>
      <c r="K1316" s="13" t="n">
        <v>0.1</v>
      </c>
      <c r="L1316" s="12" t="n">
        <v>240.27</v>
      </c>
      <c r="M1316" s="12" t="n">
        <v>186.88</v>
      </c>
      <c r="N1316" s="12" t="n">
        <v>53.39</v>
      </c>
      <c r="O1316" t="inlineStr">
        <is>
          <t>Debit Card</t>
        </is>
      </c>
      <c r="P1316" t="inlineStr">
        <is>
          <t>Meera Joshi</t>
        </is>
      </c>
    </row>
    <row r="1317">
      <c r="A1317" t="inlineStr">
        <is>
          <t>ORD-2512-1316</t>
        </is>
      </c>
      <c r="B1317" s="11" t="n">
        <v>46013</v>
      </c>
      <c r="C1317" t="inlineStr">
        <is>
          <t>South</t>
        </is>
      </c>
      <c r="D1317" t="inlineStr">
        <is>
          <t>Chennai</t>
        </is>
      </c>
      <c r="E1317" t="inlineStr">
        <is>
          <t>Corporate</t>
        </is>
      </c>
      <c r="F1317" t="inlineStr">
        <is>
          <t>Online</t>
        </is>
      </c>
      <c r="G1317" t="inlineStr">
        <is>
          <t>Technology</t>
        </is>
      </c>
      <c r="H1317" t="inlineStr">
        <is>
          <t>Printer</t>
        </is>
      </c>
      <c r="I1317" t="n">
        <v>3</v>
      </c>
      <c r="J1317" s="12" t="n">
        <v>8960.969999999999</v>
      </c>
      <c r="K1317" s="13" t="n">
        <v>0.15</v>
      </c>
      <c r="L1317" s="12" t="n">
        <v>22850.47</v>
      </c>
      <c r="M1317" s="12" t="n">
        <v>22581.64</v>
      </c>
      <c r="N1317" s="12" t="n">
        <v>268.83</v>
      </c>
      <c r="O1317" t="inlineStr">
        <is>
          <t>Credit Card</t>
        </is>
      </c>
      <c r="P1317" t="inlineStr">
        <is>
          <t>Anaya Rao</t>
        </is>
      </c>
    </row>
    <row r="1318">
      <c r="A1318" t="inlineStr">
        <is>
          <t>ORD-2508-1317</t>
        </is>
      </c>
      <c r="B1318" s="11" t="n">
        <v>45882</v>
      </c>
      <c r="C1318" t="inlineStr">
        <is>
          <t>West</t>
        </is>
      </c>
      <c r="D1318" t="inlineStr">
        <is>
          <t>Pune</t>
        </is>
      </c>
      <c r="E1318" t="inlineStr">
        <is>
          <t>Small Business</t>
        </is>
      </c>
      <c r="F1318" t="inlineStr">
        <is>
          <t>Retail Store</t>
        </is>
      </c>
      <c r="G1318" t="inlineStr">
        <is>
          <t>Furniture</t>
        </is>
      </c>
      <c r="H1318" t="inlineStr">
        <is>
          <t>Desk</t>
        </is>
      </c>
      <c r="I1318" t="n">
        <v>1</v>
      </c>
      <c r="J1318" s="12" t="n">
        <v>11315.29</v>
      </c>
      <c r="K1318" s="13" t="n">
        <v>0.1</v>
      </c>
      <c r="L1318" s="12" t="n">
        <v>10183.76</v>
      </c>
      <c r="M1318" s="12" t="n">
        <v>8599.620000000001</v>
      </c>
      <c r="N1318" s="12" t="n">
        <v>1584.14</v>
      </c>
      <c r="O1318" t="inlineStr">
        <is>
          <t>Net Banking</t>
        </is>
      </c>
      <c r="P1318" t="inlineStr">
        <is>
          <t>Sara Khan</t>
        </is>
      </c>
    </row>
    <row r="1319">
      <c r="A1319" t="inlineStr">
        <is>
          <t>ORD-2505-1318</t>
        </is>
      </c>
      <c r="B1319" s="11" t="n">
        <v>45792</v>
      </c>
      <c r="C1319" t="inlineStr">
        <is>
          <t>West</t>
        </is>
      </c>
      <c r="D1319" t="inlineStr">
        <is>
          <t>Ahmedabad</t>
        </is>
      </c>
      <c r="E1319" t="inlineStr">
        <is>
          <t>Corporate</t>
        </is>
      </c>
      <c r="F1319" t="inlineStr">
        <is>
          <t>Online</t>
        </is>
      </c>
      <c r="G1319" t="inlineStr">
        <is>
          <t>Furniture</t>
        </is>
      </c>
      <c r="H1319" t="inlineStr">
        <is>
          <t>Office Chair</t>
        </is>
      </c>
      <c r="I1319" t="n">
        <v>6</v>
      </c>
      <c r="J1319" s="12" t="n">
        <v>6604.33</v>
      </c>
      <c r="K1319" s="13" t="n">
        <v>0.15</v>
      </c>
      <c r="L1319" s="12" t="n">
        <v>33682.08</v>
      </c>
      <c r="M1319" s="12" t="n">
        <v>28530.71</v>
      </c>
      <c r="N1319" s="12" t="n">
        <v>5151.37</v>
      </c>
      <c r="O1319" t="inlineStr">
        <is>
          <t>UPI</t>
        </is>
      </c>
      <c r="P1319" t="inlineStr">
        <is>
          <t>Sara Khan</t>
        </is>
      </c>
    </row>
    <row r="1320">
      <c r="A1320" t="inlineStr">
        <is>
          <t>ORD-2512-1319</t>
        </is>
      </c>
      <c r="B1320" s="11" t="n">
        <v>46017</v>
      </c>
      <c r="C1320" t="inlineStr">
        <is>
          <t>South</t>
        </is>
      </c>
      <c r="D1320" t="inlineStr">
        <is>
          <t>Chennai</t>
        </is>
      </c>
      <c r="E1320" t="inlineStr">
        <is>
          <t>Corporate</t>
        </is>
      </c>
      <c r="F1320" t="inlineStr">
        <is>
          <t>Partner</t>
        </is>
      </c>
      <c r="G1320" t="inlineStr">
        <is>
          <t>Technology</t>
        </is>
      </c>
      <c r="H1320" t="inlineStr">
        <is>
          <t>Monitor</t>
        </is>
      </c>
      <c r="I1320" t="n">
        <v>10</v>
      </c>
      <c r="J1320" s="12" t="n">
        <v>12514.91</v>
      </c>
      <c r="K1320" s="13" t="n">
        <v>0.15</v>
      </c>
      <c r="L1320" s="12" t="n">
        <v>106376.74</v>
      </c>
      <c r="M1320" s="12" t="n">
        <v>102622.26</v>
      </c>
      <c r="N1320" s="12" t="n">
        <v>3754.48</v>
      </c>
      <c r="O1320" t="inlineStr">
        <is>
          <t>Net Banking</t>
        </is>
      </c>
      <c r="P1320" t="inlineStr">
        <is>
          <t>Diya Patel</t>
        </is>
      </c>
    </row>
    <row r="1321">
      <c r="A1321" t="inlineStr">
        <is>
          <t>ORD-2511-1320</t>
        </is>
      </c>
      <c r="B1321" s="11" t="n">
        <v>45967</v>
      </c>
      <c r="C1321" t="inlineStr">
        <is>
          <t>South</t>
        </is>
      </c>
      <c r="D1321" t="inlineStr">
        <is>
          <t>Hyderabad</t>
        </is>
      </c>
      <c r="E1321" t="inlineStr">
        <is>
          <t>Consumer</t>
        </is>
      </c>
      <c r="F1321" t="inlineStr">
        <is>
          <t>Retail Store</t>
        </is>
      </c>
      <c r="G1321" t="inlineStr">
        <is>
          <t>Office Supplies</t>
        </is>
      </c>
      <c r="H1321" t="inlineStr">
        <is>
          <t>Paper Ream</t>
        </is>
      </c>
      <c r="I1321" t="n">
        <v>4</v>
      </c>
      <c r="J1321" s="12" t="n">
        <v>441.58</v>
      </c>
      <c r="K1321" s="13" t="n">
        <v>0.2</v>
      </c>
      <c r="L1321" s="12" t="n">
        <v>1413.06</v>
      </c>
      <c r="M1321" s="12" t="n">
        <v>1360.07</v>
      </c>
      <c r="N1321" s="12" t="n">
        <v>52.99</v>
      </c>
      <c r="O1321" t="inlineStr">
        <is>
          <t>Net Banking</t>
        </is>
      </c>
      <c r="P1321" t="inlineStr">
        <is>
          <t>Aarav Sharma</t>
        </is>
      </c>
    </row>
    <row r="1322">
      <c r="A1322" t="inlineStr">
        <is>
          <t>ORD-2508-1321</t>
        </is>
      </c>
      <c r="B1322" s="11" t="n">
        <v>45893</v>
      </c>
      <c r="C1322" t="inlineStr">
        <is>
          <t>Central</t>
        </is>
      </c>
      <c r="D1322" t="inlineStr">
        <is>
          <t>Nagpur</t>
        </is>
      </c>
      <c r="E1322" t="inlineStr">
        <is>
          <t>Consumer</t>
        </is>
      </c>
      <c r="F1322" t="inlineStr">
        <is>
          <t>Partner</t>
        </is>
      </c>
      <c r="G1322" t="inlineStr">
        <is>
          <t>Furniture</t>
        </is>
      </c>
      <c r="H1322" t="inlineStr">
        <is>
          <t>Bookshelf</t>
        </is>
      </c>
      <c r="I1322" t="n">
        <v>3</v>
      </c>
      <c r="J1322" s="12" t="n">
        <v>5612.5</v>
      </c>
      <c r="K1322" s="13" t="n">
        <v>0</v>
      </c>
      <c r="L1322" s="12" t="n">
        <v>16837.5</v>
      </c>
      <c r="M1322" s="12" t="n">
        <v>12459.75</v>
      </c>
      <c r="N1322" s="12" t="n">
        <v>4377.75</v>
      </c>
      <c r="O1322" t="inlineStr">
        <is>
          <t>Debit Card</t>
        </is>
      </c>
      <c r="P1322" t="inlineStr">
        <is>
          <t>Aarav Sharma</t>
        </is>
      </c>
    </row>
    <row r="1323">
      <c r="A1323" t="inlineStr">
        <is>
          <t>ORD-2506-1322</t>
        </is>
      </c>
      <c r="B1323" s="11" t="n">
        <v>45835</v>
      </c>
      <c r="C1323" t="inlineStr">
        <is>
          <t>West</t>
        </is>
      </c>
      <c r="D1323" t="inlineStr">
        <is>
          <t>Pune</t>
        </is>
      </c>
      <c r="E1323" t="inlineStr">
        <is>
          <t>Small Business</t>
        </is>
      </c>
      <c r="F1323" t="inlineStr">
        <is>
          <t>Retail Store</t>
        </is>
      </c>
      <c r="G1323" t="inlineStr">
        <is>
          <t>Technology</t>
        </is>
      </c>
      <c r="H1323" t="inlineStr">
        <is>
          <t>Monitor</t>
        </is>
      </c>
      <c r="I1323" t="n">
        <v>4</v>
      </c>
      <c r="J1323" s="12" t="n">
        <v>12937.74</v>
      </c>
      <c r="K1323" s="13" t="n">
        <v>0</v>
      </c>
      <c r="L1323" s="12" t="n">
        <v>51750.96</v>
      </c>
      <c r="M1323" s="12" t="n">
        <v>42435.79</v>
      </c>
      <c r="N1323" s="12" t="n">
        <v>9315.17</v>
      </c>
      <c r="O1323" t="inlineStr">
        <is>
          <t>Credit Card</t>
        </is>
      </c>
      <c r="P1323" t="inlineStr">
        <is>
          <t>Anaya Rao</t>
        </is>
      </c>
    </row>
    <row r="1324">
      <c r="A1324" t="inlineStr">
        <is>
          <t>ORD-2508-1323</t>
        </is>
      </c>
      <c r="B1324" s="11" t="n">
        <v>45878</v>
      </c>
      <c r="C1324" t="inlineStr">
        <is>
          <t>South</t>
        </is>
      </c>
      <c r="D1324" t="inlineStr">
        <is>
          <t>Kochi</t>
        </is>
      </c>
      <c r="E1324" t="inlineStr">
        <is>
          <t>Corporate</t>
        </is>
      </c>
      <c r="F1324" t="inlineStr">
        <is>
          <t>Retail Store</t>
        </is>
      </c>
      <c r="G1324" t="inlineStr">
        <is>
          <t>Technology</t>
        </is>
      </c>
      <c r="H1324" t="inlineStr">
        <is>
          <t>Printer</t>
        </is>
      </c>
      <c r="I1324" t="n">
        <v>4</v>
      </c>
      <c r="J1324" s="12" t="n">
        <v>9799.75</v>
      </c>
      <c r="K1324" s="13" t="n">
        <v>0.05</v>
      </c>
      <c r="L1324" s="12" t="n">
        <v>37239.05</v>
      </c>
      <c r="M1324" s="12" t="n">
        <v>32927.16</v>
      </c>
      <c r="N1324" s="12" t="n">
        <v>4311.89</v>
      </c>
      <c r="O1324" t="inlineStr">
        <is>
          <t>UPI</t>
        </is>
      </c>
      <c r="P1324" t="inlineStr">
        <is>
          <t>Vivaan Gupta</t>
        </is>
      </c>
    </row>
    <row r="1325">
      <c r="A1325" t="inlineStr">
        <is>
          <t>ORD-2503-1324</t>
        </is>
      </c>
      <c r="B1325" s="11" t="n">
        <v>45731</v>
      </c>
      <c r="C1325" t="inlineStr">
        <is>
          <t>Central</t>
        </is>
      </c>
      <c r="D1325" t="inlineStr">
        <is>
          <t>Raipur</t>
        </is>
      </c>
      <c r="E1325" t="inlineStr">
        <is>
          <t>Corporate</t>
        </is>
      </c>
      <c r="F1325" t="inlineStr">
        <is>
          <t>Partner</t>
        </is>
      </c>
      <c r="G1325" t="inlineStr">
        <is>
          <t>Office Supplies</t>
        </is>
      </c>
      <c r="H1325" t="inlineStr">
        <is>
          <t>Stapler</t>
        </is>
      </c>
      <c r="I1325" t="n">
        <v>1</v>
      </c>
      <c r="J1325" s="12" t="n">
        <v>268.82</v>
      </c>
      <c r="K1325" s="13" t="n">
        <v>0.1</v>
      </c>
      <c r="L1325" s="12" t="n">
        <v>241.94</v>
      </c>
      <c r="M1325" s="12" t="n">
        <v>188.17</v>
      </c>
      <c r="N1325" s="12" t="n">
        <v>53.77</v>
      </c>
      <c r="O1325" t="inlineStr">
        <is>
          <t>Credit Card</t>
        </is>
      </c>
      <c r="P1325" t="inlineStr">
        <is>
          <t>Diya Patel</t>
        </is>
      </c>
    </row>
    <row r="1326">
      <c r="A1326" t="inlineStr">
        <is>
          <t>ORD-2511-1325</t>
        </is>
      </c>
      <c r="B1326" s="11" t="n">
        <v>45972</v>
      </c>
      <c r="C1326" t="inlineStr">
        <is>
          <t>North</t>
        </is>
      </c>
      <c r="D1326" t="inlineStr">
        <is>
          <t>Lucknow</t>
        </is>
      </c>
      <c r="E1326" t="inlineStr">
        <is>
          <t>Consumer</t>
        </is>
      </c>
      <c r="F1326" t="inlineStr">
        <is>
          <t>Online</t>
        </is>
      </c>
      <c r="G1326" t="inlineStr">
        <is>
          <t>Office Supplies</t>
        </is>
      </c>
      <c r="H1326" t="inlineStr">
        <is>
          <t>Paper Ream</t>
        </is>
      </c>
      <c r="I1326" t="n">
        <v>1</v>
      </c>
      <c r="J1326" s="12" t="n">
        <v>452.24</v>
      </c>
      <c r="K1326" s="13" t="n">
        <v>0</v>
      </c>
      <c r="L1326" s="12" t="n">
        <v>452.24</v>
      </c>
      <c r="M1326" s="12" t="n">
        <v>348.22</v>
      </c>
      <c r="N1326" s="12" t="n">
        <v>104.02</v>
      </c>
      <c r="O1326" t="inlineStr">
        <is>
          <t>Credit Card</t>
        </is>
      </c>
      <c r="P1326" t="inlineStr">
        <is>
          <t>Anaya Rao</t>
        </is>
      </c>
    </row>
    <row r="1327">
      <c r="A1327" t="inlineStr">
        <is>
          <t>ORD-2503-1326</t>
        </is>
      </c>
      <c r="B1327" s="11" t="n">
        <v>45719</v>
      </c>
      <c r="C1327" t="inlineStr">
        <is>
          <t>East</t>
        </is>
      </c>
      <c r="D1327" t="inlineStr">
        <is>
          <t>Kolkata</t>
        </is>
      </c>
      <c r="E1327" t="inlineStr">
        <is>
          <t>Corporate</t>
        </is>
      </c>
      <c r="F1327" t="inlineStr">
        <is>
          <t>Retail Store</t>
        </is>
      </c>
      <c r="G1327" t="inlineStr">
        <is>
          <t>Technology</t>
        </is>
      </c>
      <c r="H1327" t="inlineStr">
        <is>
          <t>Monitor</t>
        </is>
      </c>
      <c r="I1327" t="n">
        <v>8</v>
      </c>
      <c r="J1327" s="12" t="n">
        <v>13398.06</v>
      </c>
      <c r="K1327" s="13" t="n">
        <v>0.1</v>
      </c>
      <c r="L1327" s="12" t="n">
        <v>96466.03</v>
      </c>
      <c r="M1327" s="12" t="n">
        <v>87891.27</v>
      </c>
      <c r="N1327" s="12" t="n">
        <v>8574.76</v>
      </c>
      <c r="O1327" t="inlineStr">
        <is>
          <t>Debit Card</t>
        </is>
      </c>
      <c r="P1327" t="inlineStr">
        <is>
          <t>Anaya Rao</t>
        </is>
      </c>
    </row>
    <row r="1328">
      <c r="A1328" t="inlineStr">
        <is>
          <t>ORD-2503-1327</t>
        </is>
      </c>
      <c r="B1328" s="11" t="n">
        <v>45728</v>
      </c>
      <c r="C1328" t="inlineStr">
        <is>
          <t>East</t>
        </is>
      </c>
      <c r="D1328" t="inlineStr">
        <is>
          <t>Patna</t>
        </is>
      </c>
      <c r="E1328" t="inlineStr">
        <is>
          <t>Corporate</t>
        </is>
      </c>
      <c r="F1328" t="inlineStr">
        <is>
          <t>Retail Store</t>
        </is>
      </c>
      <c r="G1328" t="inlineStr">
        <is>
          <t>Technology</t>
        </is>
      </c>
      <c r="H1328" t="inlineStr">
        <is>
          <t>Monitor</t>
        </is>
      </c>
      <c r="I1328" t="n">
        <v>2</v>
      </c>
      <c r="J1328" s="12" t="n">
        <v>12360.72</v>
      </c>
      <c r="K1328" s="13" t="n">
        <v>0</v>
      </c>
      <c r="L1328" s="12" t="n">
        <v>24721.44</v>
      </c>
      <c r="M1328" s="12" t="n">
        <v>20271.58</v>
      </c>
      <c r="N1328" s="12" t="n">
        <v>4449.86</v>
      </c>
      <c r="O1328" t="inlineStr">
        <is>
          <t>Credit Card</t>
        </is>
      </c>
      <c r="P1328" t="inlineStr">
        <is>
          <t>Kabir Singh</t>
        </is>
      </c>
    </row>
    <row r="1329">
      <c r="A1329" t="inlineStr">
        <is>
          <t>ORD-2505-1328</t>
        </is>
      </c>
      <c r="B1329" s="11" t="n">
        <v>45791</v>
      </c>
      <c r="C1329" t="inlineStr">
        <is>
          <t>West</t>
        </is>
      </c>
      <c r="D1329" t="inlineStr">
        <is>
          <t>Pune</t>
        </is>
      </c>
      <c r="E1329" t="inlineStr">
        <is>
          <t>Corporate</t>
        </is>
      </c>
      <c r="F1329" t="inlineStr">
        <is>
          <t>Online</t>
        </is>
      </c>
      <c r="G1329" t="inlineStr">
        <is>
          <t>Technology</t>
        </is>
      </c>
      <c r="H1329" t="inlineStr">
        <is>
          <t>Printer</t>
        </is>
      </c>
      <c r="I1329" t="n">
        <v>2</v>
      </c>
      <c r="J1329" s="12" t="n">
        <v>8863.98</v>
      </c>
      <c r="K1329" s="13" t="n">
        <v>0.1</v>
      </c>
      <c r="L1329" s="12" t="n">
        <v>15955.16</v>
      </c>
      <c r="M1329" s="12" t="n">
        <v>14891.49</v>
      </c>
      <c r="N1329" s="12" t="n">
        <v>1063.67</v>
      </c>
      <c r="O1329" t="inlineStr">
        <is>
          <t>Cash</t>
        </is>
      </c>
      <c r="P1329" t="inlineStr">
        <is>
          <t>Rohan Verma</t>
        </is>
      </c>
    </row>
    <row r="1330">
      <c r="A1330" t="inlineStr">
        <is>
          <t>ORD-2501-1329</t>
        </is>
      </c>
      <c r="B1330" s="11" t="n">
        <v>45668</v>
      </c>
      <c r="C1330" t="inlineStr">
        <is>
          <t>Central</t>
        </is>
      </c>
      <c r="D1330" t="inlineStr">
        <is>
          <t>Bhopal</t>
        </is>
      </c>
      <c r="E1330" t="inlineStr">
        <is>
          <t>Small Business</t>
        </is>
      </c>
      <c r="F1330" t="inlineStr">
        <is>
          <t>Online</t>
        </is>
      </c>
      <c r="G1330" t="inlineStr">
        <is>
          <t>Furniture</t>
        </is>
      </c>
      <c r="H1330" t="inlineStr">
        <is>
          <t>Storage Cabinet</t>
        </is>
      </c>
      <c r="I1330" t="n">
        <v>1</v>
      </c>
      <c r="J1330" s="12" t="n">
        <v>8427.959999999999</v>
      </c>
      <c r="K1330" s="13" t="n">
        <v>0.05</v>
      </c>
      <c r="L1330" s="12" t="n">
        <v>8006.56</v>
      </c>
      <c r="M1330" s="12" t="n">
        <v>6742.37</v>
      </c>
      <c r="N1330" s="12" t="n">
        <v>1264.19</v>
      </c>
      <c r="O1330" t="inlineStr">
        <is>
          <t>Credit Card</t>
        </is>
      </c>
      <c r="P1330" t="inlineStr">
        <is>
          <t>Sara Khan</t>
        </is>
      </c>
    </row>
    <row r="1331">
      <c r="A1331" t="inlineStr">
        <is>
          <t>ORD-2507-1330</t>
        </is>
      </c>
      <c r="B1331" s="11" t="n">
        <v>45854</v>
      </c>
      <c r="C1331" t="inlineStr">
        <is>
          <t>East</t>
        </is>
      </c>
      <c r="D1331" t="inlineStr">
        <is>
          <t>Kolkata</t>
        </is>
      </c>
      <c r="E1331" t="inlineStr">
        <is>
          <t>Consumer</t>
        </is>
      </c>
      <c r="F1331" t="inlineStr">
        <is>
          <t>Online</t>
        </is>
      </c>
      <c r="G1331" t="inlineStr">
        <is>
          <t>Office Supplies</t>
        </is>
      </c>
      <c r="H1331" t="inlineStr">
        <is>
          <t>File Folder</t>
        </is>
      </c>
      <c r="I1331" t="n">
        <v>6</v>
      </c>
      <c r="J1331" s="12" t="n">
        <v>95.17</v>
      </c>
      <c r="K1331" s="13" t="n">
        <v>0.1</v>
      </c>
      <c r="L1331" s="12" t="n">
        <v>513.92</v>
      </c>
      <c r="M1331" s="12" t="n">
        <v>354.03</v>
      </c>
      <c r="N1331" s="12" t="n">
        <v>159.89</v>
      </c>
      <c r="O1331" t="inlineStr">
        <is>
          <t>Cash</t>
        </is>
      </c>
      <c r="P1331" t="inlineStr">
        <is>
          <t>Anaya Rao</t>
        </is>
      </c>
    </row>
    <row r="1332">
      <c r="A1332" t="inlineStr">
        <is>
          <t>ORD-2504-1331</t>
        </is>
      </c>
      <c r="B1332" s="11" t="n">
        <v>45751</v>
      </c>
      <c r="C1332" t="inlineStr">
        <is>
          <t>Central</t>
        </is>
      </c>
      <c r="D1332" t="inlineStr">
        <is>
          <t>Indore</t>
        </is>
      </c>
      <c r="E1332" t="inlineStr">
        <is>
          <t>Corporate</t>
        </is>
      </c>
      <c r="F1332" t="inlineStr">
        <is>
          <t>Partner</t>
        </is>
      </c>
      <c r="G1332" t="inlineStr">
        <is>
          <t>Furniture</t>
        </is>
      </c>
      <c r="H1332" t="inlineStr">
        <is>
          <t>Office Chair</t>
        </is>
      </c>
      <c r="I1332" t="n">
        <v>1</v>
      </c>
      <c r="J1332" s="12" t="n">
        <v>6424.28</v>
      </c>
      <c r="K1332" s="13" t="n">
        <v>0.1</v>
      </c>
      <c r="L1332" s="12" t="n">
        <v>5781.85</v>
      </c>
      <c r="M1332" s="12" t="n">
        <v>4625.48</v>
      </c>
      <c r="N1332" s="12" t="n">
        <v>1156.37</v>
      </c>
      <c r="O1332" t="inlineStr">
        <is>
          <t>UPI</t>
        </is>
      </c>
      <c r="P1332" t="inlineStr">
        <is>
          <t>Anaya Rao</t>
        </is>
      </c>
    </row>
    <row r="1333">
      <c r="A1333" t="inlineStr">
        <is>
          <t>ORD-2512-1332</t>
        </is>
      </c>
      <c r="B1333" s="11" t="n">
        <v>46019</v>
      </c>
      <c r="C1333" t="inlineStr">
        <is>
          <t>South</t>
        </is>
      </c>
      <c r="D1333" t="inlineStr">
        <is>
          <t>Chennai</t>
        </is>
      </c>
      <c r="E1333" t="inlineStr">
        <is>
          <t>Small Business</t>
        </is>
      </c>
      <c r="F1333" t="inlineStr">
        <is>
          <t>Online</t>
        </is>
      </c>
      <c r="G1333" t="inlineStr">
        <is>
          <t>Office Supplies</t>
        </is>
      </c>
      <c r="H1333" t="inlineStr">
        <is>
          <t>Stapler</t>
        </is>
      </c>
      <c r="I1333" t="n">
        <v>5</v>
      </c>
      <c r="J1333" s="12" t="n">
        <v>240.81</v>
      </c>
      <c r="K1333" s="13" t="n">
        <v>0</v>
      </c>
      <c r="L1333" s="12" t="n">
        <v>1204.05</v>
      </c>
      <c r="M1333" s="12" t="n">
        <v>842.83</v>
      </c>
      <c r="N1333" s="12" t="n">
        <v>361.22</v>
      </c>
      <c r="O1333" t="inlineStr">
        <is>
          <t>Net Banking</t>
        </is>
      </c>
      <c r="P1333" t="inlineStr">
        <is>
          <t>Rohan Verma</t>
        </is>
      </c>
    </row>
    <row r="1334">
      <c r="A1334" t="inlineStr">
        <is>
          <t>ORD-2502-1333</t>
        </is>
      </c>
      <c r="B1334" s="11" t="n">
        <v>45713</v>
      </c>
      <c r="C1334" t="inlineStr">
        <is>
          <t>East</t>
        </is>
      </c>
      <c r="D1334" t="inlineStr">
        <is>
          <t>Patna</t>
        </is>
      </c>
      <c r="E1334" t="inlineStr">
        <is>
          <t>Small Business</t>
        </is>
      </c>
      <c r="F1334" t="inlineStr">
        <is>
          <t>Online</t>
        </is>
      </c>
      <c r="G1334" t="inlineStr">
        <is>
          <t>Office Supplies</t>
        </is>
      </c>
      <c r="H1334" t="inlineStr">
        <is>
          <t>Notebook Pack</t>
        </is>
      </c>
      <c r="I1334" t="n">
        <v>3</v>
      </c>
      <c r="J1334" s="12" t="n">
        <v>349.87</v>
      </c>
      <c r="K1334" s="13" t="n">
        <v>0.15</v>
      </c>
      <c r="L1334" s="12" t="n">
        <v>892.17</v>
      </c>
      <c r="M1334" s="12" t="n">
        <v>713.73</v>
      </c>
      <c r="N1334" s="12" t="n">
        <v>178.44</v>
      </c>
      <c r="O1334" t="inlineStr">
        <is>
          <t>Cash</t>
        </is>
      </c>
      <c r="P1334" t="inlineStr">
        <is>
          <t>Sara Khan</t>
        </is>
      </c>
    </row>
    <row r="1335">
      <c r="A1335" t="inlineStr">
        <is>
          <t>ORD-2508-1334</t>
        </is>
      </c>
      <c r="B1335" s="11" t="n">
        <v>45890</v>
      </c>
      <c r="C1335" t="inlineStr">
        <is>
          <t>Central</t>
        </is>
      </c>
      <c r="D1335" t="inlineStr">
        <is>
          <t>Nagpur</t>
        </is>
      </c>
      <c r="E1335" t="inlineStr">
        <is>
          <t>Corporate</t>
        </is>
      </c>
      <c r="F1335" t="inlineStr">
        <is>
          <t>Online</t>
        </is>
      </c>
      <c r="G1335" t="inlineStr">
        <is>
          <t>Office Supplies</t>
        </is>
      </c>
      <c r="H1335" t="inlineStr">
        <is>
          <t>File Folder</t>
        </is>
      </c>
      <c r="I1335" t="n">
        <v>3</v>
      </c>
      <c r="J1335" s="12" t="n">
        <v>90.78</v>
      </c>
      <c r="K1335" s="13" t="n">
        <v>0</v>
      </c>
      <c r="L1335" s="12" t="n">
        <v>272.34</v>
      </c>
      <c r="M1335" s="12" t="n">
        <v>168.85</v>
      </c>
      <c r="N1335" s="12" t="n">
        <v>103.49</v>
      </c>
      <c r="O1335" t="inlineStr">
        <is>
          <t>Net Banking</t>
        </is>
      </c>
      <c r="P1335" t="inlineStr">
        <is>
          <t>Kabir Singh</t>
        </is>
      </c>
    </row>
    <row r="1336">
      <c r="A1336" t="inlineStr">
        <is>
          <t>ORD-2505-1335</t>
        </is>
      </c>
      <c r="B1336" s="11" t="n">
        <v>45780</v>
      </c>
      <c r="C1336" t="inlineStr">
        <is>
          <t>West</t>
        </is>
      </c>
      <c r="D1336" t="inlineStr">
        <is>
          <t>Pune</t>
        </is>
      </c>
      <c r="E1336" t="inlineStr">
        <is>
          <t>Corporate</t>
        </is>
      </c>
      <c r="F1336" t="inlineStr">
        <is>
          <t>Partner</t>
        </is>
      </c>
      <c r="G1336" t="inlineStr">
        <is>
          <t>Office Supplies</t>
        </is>
      </c>
      <c r="H1336" t="inlineStr">
        <is>
          <t>File Folder</t>
        </is>
      </c>
      <c r="I1336" t="n">
        <v>2</v>
      </c>
      <c r="J1336" s="12" t="n">
        <v>96</v>
      </c>
      <c r="K1336" s="13" t="n">
        <v>0.05</v>
      </c>
      <c r="L1336" s="12" t="n">
        <v>182.4</v>
      </c>
      <c r="M1336" s="12" t="n">
        <v>119.04</v>
      </c>
      <c r="N1336" s="12" t="n">
        <v>63.36</v>
      </c>
      <c r="O1336" t="inlineStr">
        <is>
          <t>Cash</t>
        </is>
      </c>
      <c r="P1336" t="inlineStr">
        <is>
          <t>Diya Patel</t>
        </is>
      </c>
    </row>
    <row r="1337">
      <c r="A1337" t="inlineStr">
        <is>
          <t>ORD-2509-1336</t>
        </is>
      </c>
      <c r="B1337" s="11" t="n">
        <v>45924</v>
      </c>
      <c r="C1337" t="inlineStr">
        <is>
          <t>North</t>
        </is>
      </c>
      <c r="D1337" t="inlineStr">
        <is>
          <t>Chandigarh</t>
        </is>
      </c>
      <c r="E1337" t="inlineStr">
        <is>
          <t>Small Business</t>
        </is>
      </c>
      <c r="F1337" t="inlineStr">
        <is>
          <t>Partner</t>
        </is>
      </c>
      <c r="G1337" t="inlineStr">
        <is>
          <t>Furniture</t>
        </is>
      </c>
      <c r="H1337" t="inlineStr">
        <is>
          <t>Storage Cabinet</t>
        </is>
      </c>
      <c r="I1337" t="n">
        <v>3</v>
      </c>
      <c r="J1337" s="12" t="n">
        <v>8930.860000000001</v>
      </c>
      <c r="K1337" s="13" t="n">
        <v>0.1</v>
      </c>
      <c r="L1337" s="12" t="n">
        <v>24113.32</v>
      </c>
      <c r="M1337" s="12" t="n">
        <v>21434.06</v>
      </c>
      <c r="N1337" s="12" t="n">
        <v>2679.26</v>
      </c>
      <c r="O1337" t="inlineStr">
        <is>
          <t>UPI</t>
        </is>
      </c>
      <c r="P1337" t="inlineStr">
        <is>
          <t>Rohan Verma</t>
        </is>
      </c>
    </row>
    <row r="1338">
      <c r="A1338" t="inlineStr">
        <is>
          <t>ORD-2506-1337</t>
        </is>
      </c>
      <c r="B1338" s="11" t="n">
        <v>45822</v>
      </c>
      <c r="C1338" t="inlineStr">
        <is>
          <t>South</t>
        </is>
      </c>
      <c r="D1338" t="inlineStr">
        <is>
          <t>Kochi</t>
        </is>
      </c>
      <c r="E1338" t="inlineStr">
        <is>
          <t>Corporate</t>
        </is>
      </c>
      <c r="F1338" t="inlineStr">
        <is>
          <t>Retail Store</t>
        </is>
      </c>
      <c r="G1338" t="inlineStr">
        <is>
          <t>Office Supplies</t>
        </is>
      </c>
      <c r="H1338" t="inlineStr">
        <is>
          <t>File Folder</t>
        </is>
      </c>
      <c r="I1338" t="n">
        <v>1</v>
      </c>
      <c r="J1338" s="12" t="n">
        <v>88.94</v>
      </c>
      <c r="K1338" s="13" t="n">
        <v>0.2</v>
      </c>
      <c r="L1338" s="12" t="n">
        <v>71.15000000000001</v>
      </c>
      <c r="M1338" s="12" t="n">
        <v>55.14</v>
      </c>
      <c r="N1338" s="12" t="n">
        <v>16.01</v>
      </c>
      <c r="O1338" t="inlineStr">
        <is>
          <t>Credit Card</t>
        </is>
      </c>
      <c r="P1338" t="inlineStr">
        <is>
          <t>Anaya Rao</t>
        </is>
      </c>
    </row>
    <row r="1339">
      <c r="A1339" t="inlineStr">
        <is>
          <t>ORD-2501-1338</t>
        </is>
      </c>
      <c r="B1339" s="11" t="n">
        <v>45670</v>
      </c>
      <c r="C1339" t="inlineStr">
        <is>
          <t>West</t>
        </is>
      </c>
      <c r="D1339" t="inlineStr">
        <is>
          <t>Mumbai</t>
        </is>
      </c>
      <c r="E1339" t="inlineStr">
        <is>
          <t>Corporate</t>
        </is>
      </c>
      <c r="F1339" t="inlineStr">
        <is>
          <t>Partner</t>
        </is>
      </c>
      <c r="G1339" t="inlineStr">
        <is>
          <t>Furniture</t>
        </is>
      </c>
      <c r="H1339" t="inlineStr">
        <is>
          <t>Office Chair</t>
        </is>
      </c>
      <c r="I1339" t="n">
        <v>3</v>
      </c>
      <c r="J1339" s="12" t="n">
        <v>6588.82</v>
      </c>
      <c r="K1339" s="13" t="n">
        <v>0.1</v>
      </c>
      <c r="L1339" s="12" t="n">
        <v>17789.81</v>
      </c>
      <c r="M1339" s="12" t="n">
        <v>14231.85</v>
      </c>
      <c r="N1339" s="12" t="n">
        <v>3557.96</v>
      </c>
      <c r="O1339" t="inlineStr">
        <is>
          <t>Credit Card</t>
        </is>
      </c>
      <c r="P1339" t="inlineStr">
        <is>
          <t>Aarav Sharma</t>
        </is>
      </c>
    </row>
    <row r="1340">
      <c r="A1340" t="inlineStr">
        <is>
          <t>ORD-2504-1339</t>
        </is>
      </c>
      <c r="B1340" s="11" t="n">
        <v>45754</v>
      </c>
      <c r="C1340" t="inlineStr">
        <is>
          <t>North</t>
        </is>
      </c>
      <c r="D1340" t="inlineStr">
        <is>
          <t>Chandigarh</t>
        </is>
      </c>
      <c r="E1340" t="inlineStr">
        <is>
          <t>Corporate</t>
        </is>
      </c>
      <c r="F1340" t="inlineStr">
        <is>
          <t>Partner</t>
        </is>
      </c>
      <c r="G1340" t="inlineStr">
        <is>
          <t>Office Supplies</t>
        </is>
      </c>
      <c r="H1340" t="inlineStr">
        <is>
          <t>Notebook Pack</t>
        </is>
      </c>
      <c r="I1340" t="n">
        <v>4</v>
      </c>
      <c r="J1340" s="12" t="n">
        <v>331.71</v>
      </c>
      <c r="K1340" s="13" t="n">
        <v>0.1</v>
      </c>
      <c r="L1340" s="12" t="n">
        <v>1194.16</v>
      </c>
      <c r="M1340" s="12" t="n">
        <v>902.25</v>
      </c>
      <c r="N1340" s="12" t="n">
        <v>291.91</v>
      </c>
      <c r="O1340" t="inlineStr">
        <is>
          <t>Credit Card</t>
        </is>
      </c>
      <c r="P1340" t="inlineStr">
        <is>
          <t>Aarav Sharma</t>
        </is>
      </c>
    </row>
    <row r="1341">
      <c r="A1341" t="inlineStr">
        <is>
          <t>ORD-2501-1340</t>
        </is>
      </c>
      <c r="B1341" s="11" t="n">
        <v>45682</v>
      </c>
      <c r="C1341" t="inlineStr">
        <is>
          <t>East</t>
        </is>
      </c>
      <c r="D1341" t="inlineStr">
        <is>
          <t>Guwahati</t>
        </is>
      </c>
      <c r="E1341" t="inlineStr">
        <is>
          <t>Small Business</t>
        </is>
      </c>
      <c r="F1341" t="inlineStr">
        <is>
          <t>Retail Store</t>
        </is>
      </c>
      <c r="G1341" t="inlineStr">
        <is>
          <t>Technology</t>
        </is>
      </c>
      <c r="H1341" t="inlineStr">
        <is>
          <t>Printer</t>
        </is>
      </c>
      <c r="I1341" t="n">
        <v>2</v>
      </c>
      <c r="J1341" s="12" t="n">
        <v>9992.09</v>
      </c>
      <c r="K1341" s="13" t="n">
        <v>0.1</v>
      </c>
      <c r="L1341" s="12" t="n">
        <v>17985.76</v>
      </c>
      <c r="M1341" s="12" t="n">
        <v>16786.71</v>
      </c>
      <c r="N1341" s="12" t="n">
        <v>1199.05</v>
      </c>
      <c r="O1341" t="inlineStr">
        <is>
          <t>Cash</t>
        </is>
      </c>
      <c r="P1341" t="inlineStr">
        <is>
          <t>Kabir Singh</t>
        </is>
      </c>
    </row>
    <row r="1342">
      <c r="A1342" t="inlineStr">
        <is>
          <t>ORD-2509-1341</t>
        </is>
      </c>
      <c r="B1342" s="11" t="n">
        <v>45918</v>
      </c>
      <c r="C1342" t="inlineStr">
        <is>
          <t>East</t>
        </is>
      </c>
      <c r="D1342" t="inlineStr">
        <is>
          <t>Kolkata</t>
        </is>
      </c>
      <c r="E1342" t="inlineStr">
        <is>
          <t>Small Business</t>
        </is>
      </c>
      <c r="F1342" t="inlineStr">
        <is>
          <t>Retail Store</t>
        </is>
      </c>
      <c r="G1342" t="inlineStr">
        <is>
          <t>Technology</t>
        </is>
      </c>
      <c r="H1342" t="inlineStr">
        <is>
          <t>Printer</t>
        </is>
      </c>
      <c r="I1342" t="n">
        <v>1</v>
      </c>
      <c r="J1342" s="12" t="n">
        <v>10096.38</v>
      </c>
      <c r="K1342" s="13" t="n">
        <v>0.2</v>
      </c>
      <c r="L1342" s="12" t="n">
        <v>8077.1</v>
      </c>
      <c r="M1342" s="12" t="n">
        <v>8480.959999999999</v>
      </c>
      <c r="N1342" s="12" t="n">
        <v>-403.86</v>
      </c>
      <c r="O1342" t="inlineStr">
        <is>
          <t>Credit Card</t>
        </is>
      </c>
      <c r="P1342" t="inlineStr">
        <is>
          <t>Meera Joshi</t>
        </is>
      </c>
    </row>
    <row r="1343">
      <c r="A1343" t="inlineStr">
        <is>
          <t>ORD-2509-1342</t>
        </is>
      </c>
      <c r="B1343" s="11" t="n">
        <v>45911</v>
      </c>
      <c r="C1343" t="inlineStr">
        <is>
          <t>South</t>
        </is>
      </c>
      <c r="D1343" t="inlineStr">
        <is>
          <t>Bengaluru</t>
        </is>
      </c>
      <c r="E1343" t="inlineStr">
        <is>
          <t>Corporate</t>
        </is>
      </c>
      <c r="F1343" t="inlineStr">
        <is>
          <t>Online</t>
        </is>
      </c>
      <c r="G1343" t="inlineStr">
        <is>
          <t>Technology</t>
        </is>
      </c>
      <c r="H1343" t="inlineStr">
        <is>
          <t>Laptop</t>
        </is>
      </c>
      <c r="I1343" t="n">
        <v>6</v>
      </c>
      <c r="J1343" s="12" t="n">
        <v>43272.7</v>
      </c>
      <c r="K1343" s="13" t="n">
        <v>0</v>
      </c>
      <c r="L1343" s="12" t="n">
        <v>259636.2</v>
      </c>
      <c r="M1343" s="12" t="n">
        <v>228479.86</v>
      </c>
      <c r="N1343" s="12" t="n">
        <v>31156.34</v>
      </c>
      <c r="O1343" t="inlineStr">
        <is>
          <t>UPI</t>
        </is>
      </c>
      <c r="P1343" t="inlineStr">
        <is>
          <t>Sara Khan</t>
        </is>
      </c>
    </row>
    <row r="1344">
      <c r="A1344" t="inlineStr">
        <is>
          <t>ORD-2504-1343</t>
        </is>
      </c>
      <c r="B1344" s="11" t="n">
        <v>45748</v>
      </c>
      <c r="C1344" t="inlineStr">
        <is>
          <t>West</t>
        </is>
      </c>
      <c r="D1344" t="inlineStr">
        <is>
          <t>Pune</t>
        </is>
      </c>
      <c r="E1344" t="inlineStr">
        <is>
          <t>Small Business</t>
        </is>
      </c>
      <c r="F1344" t="inlineStr">
        <is>
          <t>Online</t>
        </is>
      </c>
      <c r="G1344" t="inlineStr">
        <is>
          <t>Furniture</t>
        </is>
      </c>
      <c r="H1344" t="inlineStr">
        <is>
          <t>Office Chair</t>
        </is>
      </c>
      <c r="I1344" t="n">
        <v>6</v>
      </c>
      <c r="J1344" s="12" t="n">
        <v>6425.65</v>
      </c>
      <c r="K1344" s="13" t="n">
        <v>0.05</v>
      </c>
      <c r="L1344" s="12" t="n">
        <v>36626.2</v>
      </c>
      <c r="M1344" s="12" t="n">
        <v>27758.81</v>
      </c>
      <c r="N1344" s="12" t="n">
        <v>8867.389999999999</v>
      </c>
      <c r="O1344" t="inlineStr">
        <is>
          <t>Cash</t>
        </is>
      </c>
      <c r="P1344" t="inlineStr">
        <is>
          <t>Rohan Verma</t>
        </is>
      </c>
    </row>
    <row r="1345">
      <c r="A1345" t="inlineStr">
        <is>
          <t>ORD-2508-1344</t>
        </is>
      </c>
      <c r="B1345" s="11" t="n">
        <v>45874</v>
      </c>
      <c r="C1345" t="inlineStr">
        <is>
          <t>Central</t>
        </is>
      </c>
      <c r="D1345" t="inlineStr">
        <is>
          <t>Raipur</t>
        </is>
      </c>
      <c r="E1345" t="inlineStr">
        <is>
          <t>Corporate</t>
        </is>
      </c>
      <c r="F1345" t="inlineStr">
        <is>
          <t>Partner</t>
        </is>
      </c>
      <c r="G1345" t="inlineStr">
        <is>
          <t>Technology</t>
        </is>
      </c>
      <c r="H1345" t="inlineStr">
        <is>
          <t>Printer</t>
        </is>
      </c>
      <c r="I1345" t="n">
        <v>8</v>
      </c>
      <c r="J1345" s="12" t="n">
        <v>10128.88</v>
      </c>
      <c r="K1345" s="13" t="n">
        <v>0.1</v>
      </c>
      <c r="L1345" s="12" t="n">
        <v>72927.94</v>
      </c>
      <c r="M1345" s="12" t="n">
        <v>68066.07000000001</v>
      </c>
      <c r="N1345" s="12" t="n">
        <v>4861.87</v>
      </c>
      <c r="O1345" t="inlineStr">
        <is>
          <t>Credit Card</t>
        </is>
      </c>
      <c r="P1345" t="inlineStr">
        <is>
          <t>Vivaan Gupta</t>
        </is>
      </c>
    </row>
    <row r="1346">
      <c r="A1346" t="inlineStr">
        <is>
          <t>ORD-2507-1345</t>
        </is>
      </c>
      <c r="B1346" s="11" t="n">
        <v>45869</v>
      </c>
      <c r="C1346" t="inlineStr">
        <is>
          <t>West</t>
        </is>
      </c>
      <c r="D1346" t="inlineStr">
        <is>
          <t>Ahmedabad</t>
        </is>
      </c>
      <c r="E1346" t="inlineStr">
        <is>
          <t>Small Business</t>
        </is>
      </c>
      <c r="F1346" t="inlineStr">
        <is>
          <t>Online</t>
        </is>
      </c>
      <c r="G1346" t="inlineStr">
        <is>
          <t>Office Supplies</t>
        </is>
      </c>
      <c r="H1346" t="inlineStr">
        <is>
          <t>Stapler</t>
        </is>
      </c>
      <c r="I1346" t="n">
        <v>6</v>
      </c>
      <c r="J1346" s="12" t="n">
        <v>259.51</v>
      </c>
      <c r="K1346" s="13" t="n">
        <v>0.15</v>
      </c>
      <c r="L1346" s="12" t="n">
        <v>1323.5</v>
      </c>
      <c r="M1346" s="12" t="n">
        <v>1089.94</v>
      </c>
      <c r="N1346" s="12" t="n">
        <v>233.56</v>
      </c>
      <c r="O1346" t="inlineStr">
        <is>
          <t>Debit Card</t>
        </is>
      </c>
      <c r="P1346" t="inlineStr">
        <is>
          <t>Aarav Sharma</t>
        </is>
      </c>
    </row>
    <row r="1347">
      <c r="A1347" t="inlineStr">
        <is>
          <t>ORD-2512-1346</t>
        </is>
      </c>
      <c r="B1347" s="11" t="n">
        <v>46014</v>
      </c>
      <c r="C1347" t="inlineStr">
        <is>
          <t>West</t>
        </is>
      </c>
      <c r="D1347" t="inlineStr">
        <is>
          <t>Pune</t>
        </is>
      </c>
      <c r="E1347" t="inlineStr">
        <is>
          <t>Consumer</t>
        </is>
      </c>
      <c r="F1347" t="inlineStr">
        <is>
          <t>Retail Store</t>
        </is>
      </c>
      <c r="G1347" t="inlineStr">
        <is>
          <t>Office Supplies</t>
        </is>
      </c>
      <c r="H1347" t="inlineStr">
        <is>
          <t>Pens Box</t>
        </is>
      </c>
      <c r="I1347" t="n">
        <v>4</v>
      </c>
      <c r="J1347" s="12" t="n">
        <v>168.89</v>
      </c>
      <c r="K1347" s="13" t="n">
        <v>0</v>
      </c>
      <c r="L1347" s="12" t="n">
        <v>675.5599999999999</v>
      </c>
      <c r="M1347" s="12" t="n">
        <v>439.11</v>
      </c>
      <c r="N1347" s="12" t="n">
        <v>236.45</v>
      </c>
      <c r="O1347" t="inlineStr">
        <is>
          <t>Credit Card</t>
        </is>
      </c>
      <c r="P1347" t="inlineStr">
        <is>
          <t>Kabir Singh</t>
        </is>
      </c>
    </row>
    <row r="1348">
      <c r="A1348" t="inlineStr">
        <is>
          <t>ORD-2510-1347</t>
        </is>
      </c>
      <c r="B1348" s="11" t="n">
        <v>45932</v>
      </c>
      <c r="C1348" t="inlineStr">
        <is>
          <t>East</t>
        </is>
      </c>
      <c r="D1348" t="inlineStr">
        <is>
          <t>Patna</t>
        </is>
      </c>
      <c r="E1348" t="inlineStr">
        <is>
          <t>Corporate</t>
        </is>
      </c>
      <c r="F1348" t="inlineStr">
        <is>
          <t>Retail Store</t>
        </is>
      </c>
      <c r="G1348" t="inlineStr">
        <is>
          <t>Office Supplies</t>
        </is>
      </c>
      <c r="H1348" t="inlineStr">
        <is>
          <t>Paper Ream</t>
        </is>
      </c>
      <c r="I1348" t="n">
        <v>2</v>
      </c>
      <c r="J1348" s="12" t="n">
        <v>448.94</v>
      </c>
      <c r="K1348" s="13" t="n">
        <v>0.1</v>
      </c>
      <c r="L1348" s="12" t="n">
        <v>808.09</v>
      </c>
      <c r="M1348" s="12" t="n">
        <v>691.37</v>
      </c>
      <c r="N1348" s="12" t="n">
        <v>116.72</v>
      </c>
      <c r="O1348" t="inlineStr">
        <is>
          <t>Cash</t>
        </is>
      </c>
      <c r="P1348" t="inlineStr">
        <is>
          <t>Rohan Verma</t>
        </is>
      </c>
    </row>
    <row r="1349">
      <c r="A1349" t="inlineStr">
        <is>
          <t>ORD-2505-1348</t>
        </is>
      </c>
      <c r="B1349" s="11" t="n">
        <v>45803</v>
      </c>
      <c r="C1349" t="inlineStr">
        <is>
          <t>Central</t>
        </is>
      </c>
      <c r="D1349" t="inlineStr">
        <is>
          <t>Raipur</t>
        </is>
      </c>
      <c r="E1349" t="inlineStr">
        <is>
          <t>Consumer</t>
        </is>
      </c>
      <c r="F1349" t="inlineStr">
        <is>
          <t>Online</t>
        </is>
      </c>
      <c r="G1349" t="inlineStr">
        <is>
          <t>Technology</t>
        </is>
      </c>
      <c r="H1349" t="inlineStr">
        <is>
          <t>Monitor</t>
        </is>
      </c>
      <c r="I1349" t="n">
        <v>4</v>
      </c>
      <c r="J1349" s="12" t="n">
        <v>13271.2</v>
      </c>
      <c r="K1349" s="13" t="n">
        <v>0.05</v>
      </c>
      <c r="L1349" s="12" t="n">
        <v>50430.56</v>
      </c>
      <c r="M1349" s="12" t="n">
        <v>43529.54</v>
      </c>
      <c r="N1349" s="12" t="n">
        <v>6901.02</v>
      </c>
      <c r="O1349" t="inlineStr">
        <is>
          <t>Cash</t>
        </is>
      </c>
      <c r="P1349" t="inlineStr">
        <is>
          <t>Anaya Rao</t>
        </is>
      </c>
    </row>
    <row r="1350">
      <c r="A1350" t="inlineStr">
        <is>
          <t>ORD-2504-1349</t>
        </is>
      </c>
      <c r="B1350" s="11" t="n">
        <v>45760</v>
      </c>
      <c r="C1350" t="inlineStr">
        <is>
          <t>South</t>
        </is>
      </c>
      <c r="D1350" t="inlineStr">
        <is>
          <t>Bengaluru</t>
        </is>
      </c>
      <c r="E1350" t="inlineStr">
        <is>
          <t>Corporate</t>
        </is>
      </c>
      <c r="F1350" t="inlineStr">
        <is>
          <t>Online</t>
        </is>
      </c>
      <c r="G1350" t="inlineStr">
        <is>
          <t>Furniture</t>
        </is>
      </c>
      <c r="H1350" t="inlineStr">
        <is>
          <t>Bookshelf</t>
        </is>
      </c>
      <c r="I1350" t="n">
        <v>3</v>
      </c>
      <c r="J1350" s="12" t="n">
        <v>4815.64</v>
      </c>
      <c r="K1350" s="13" t="n">
        <v>0</v>
      </c>
      <c r="L1350" s="12" t="n">
        <v>14446.92</v>
      </c>
      <c r="M1350" s="12" t="n">
        <v>10690.72</v>
      </c>
      <c r="N1350" s="12" t="n">
        <v>3756.2</v>
      </c>
      <c r="O1350" t="inlineStr">
        <is>
          <t>Credit Card</t>
        </is>
      </c>
      <c r="P1350" t="inlineStr">
        <is>
          <t>Diya Patel</t>
        </is>
      </c>
    </row>
    <row r="1351">
      <c r="A1351" t="inlineStr">
        <is>
          <t>ORD-2505-1350</t>
        </is>
      </c>
      <c r="B1351" s="11" t="n">
        <v>45781</v>
      </c>
      <c r="C1351" t="inlineStr">
        <is>
          <t>West</t>
        </is>
      </c>
      <c r="D1351" t="inlineStr">
        <is>
          <t>Ahmedabad</t>
        </is>
      </c>
      <c r="E1351" t="inlineStr">
        <is>
          <t>Small Business</t>
        </is>
      </c>
      <c r="F1351" t="inlineStr">
        <is>
          <t>Partner</t>
        </is>
      </c>
      <c r="G1351" t="inlineStr">
        <is>
          <t>Furniture</t>
        </is>
      </c>
      <c r="H1351" t="inlineStr">
        <is>
          <t>Bookshelf</t>
        </is>
      </c>
      <c r="I1351" t="n">
        <v>4</v>
      </c>
      <c r="J1351" s="12" t="n">
        <v>5423.91</v>
      </c>
      <c r="K1351" s="13" t="n">
        <v>0.05</v>
      </c>
      <c r="L1351" s="12" t="n">
        <v>20610.86</v>
      </c>
      <c r="M1351" s="12" t="n">
        <v>16054.77</v>
      </c>
      <c r="N1351" s="12" t="n">
        <v>4556.09</v>
      </c>
      <c r="O1351" t="inlineStr">
        <is>
          <t>UPI</t>
        </is>
      </c>
      <c r="P1351" t="inlineStr">
        <is>
          <t>Meera Joshi</t>
        </is>
      </c>
    </row>
    <row r="1352">
      <c r="A1352" t="inlineStr">
        <is>
          <t>ORD-2506-1351</t>
        </is>
      </c>
      <c r="B1352" s="11" t="n">
        <v>45820</v>
      </c>
      <c r="C1352" t="inlineStr">
        <is>
          <t>North</t>
        </is>
      </c>
      <c r="D1352" t="inlineStr">
        <is>
          <t>Delhi</t>
        </is>
      </c>
      <c r="E1352" t="inlineStr">
        <is>
          <t>Corporate</t>
        </is>
      </c>
      <c r="F1352" t="inlineStr">
        <is>
          <t>Retail Store</t>
        </is>
      </c>
      <c r="G1352" t="inlineStr">
        <is>
          <t>Technology</t>
        </is>
      </c>
      <c r="H1352" t="inlineStr">
        <is>
          <t>Keyboard</t>
        </is>
      </c>
      <c r="I1352" t="n">
        <v>2</v>
      </c>
      <c r="J1352" s="12" t="n">
        <v>1494.49</v>
      </c>
      <c r="K1352" s="13" t="n">
        <v>0.2</v>
      </c>
      <c r="L1352" s="12" t="n">
        <v>2391.18</v>
      </c>
      <c r="M1352" s="12" t="n">
        <v>2241.74</v>
      </c>
      <c r="N1352" s="12" t="n">
        <v>149.44</v>
      </c>
      <c r="O1352" t="inlineStr">
        <is>
          <t>UPI</t>
        </is>
      </c>
      <c r="P1352" t="inlineStr">
        <is>
          <t>Aarav Sharma</t>
        </is>
      </c>
    </row>
    <row r="1353">
      <c r="A1353" t="inlineStr">
        <is>
          <t>ORD-2507-1352</t>
        </is>
      </c>
      <c r="B1353" s="11" t="n">
        <v>45858</v>
      </c>
      <c r="C1353" t="inlineStr">
        <is>
          <t>West</t>
        </is>
      </c>
      <c r="D1353" t="inlineStr">
        <is>
          <t>Pune</t>
        </is>
      </c>
      <c r="E1353" t="inlineStr">
        <is>
          <t>Corporate</t>
        </is>
      </c>
      <c r="F1353" t="inlineStr">
        <is>
          <t>Partner</t>
        </is>
      </c>
      <c r="G1353" t="inlineStr">
        <is>
          <t>Technology</t>
        </is>
      </c>
      <c r="H1353" t="inlineStr">
        <is>
          <t>Headphones</t>
        </is>
      </c>
      <c r="I1353" t="n">
        <v>3</v>
      </c>
      <c r="J1353" s="12" t="n">
        <v>2244.78</v>
      </c>
      <c r="K1353" s="13" t="n">
        <v>0</v>
      </c>
      <c r="L1353" s="12" t="n">
        <v>6734.34</v>
      </c>
      <c r="M1353" s="12" t="n">
        <v>5252.79</v>
      </c>
      <c r="N1353" s="12" t="n">
        <v>1481.55</v>
      </c>
      <c r="O1353" t="inlineStr">
        <is>
          <t>Debit Card</t>
        </is>
      </c>
      <c r="P1353" t="inlineStr">
        <is>
          <t>Aarav Sharma</t>
        </is>
      </c>
    </row>
    <row r="1354">
      <c r="A1354" t="inlineStr">
        <is>
          <t>ORD-2508-1353</t>
        </is>
      </c>
      <c r="B1354" s="11" t="n">
        <v>45883</v>
      </c>
      <c r="C1354" t="inlineStr">
        <is>
          <t>North</t>
        </is>
      </c>
      <c r="D1354" t="inlineStr">
        <is>
          <t>Jaipur</t>
        </is>
      </c>
      <c r="E1354" t="inlineStr">
        <is>
          <t>Corporate</t>
        </is>
      </c>
      <c r="F1354" t="inlineStr">
        <is>
          <t>Online</t>
        </is>
      </c>
      <c r="G1354" t="inlineStr">
        <is>
          <t>Office Supplies</t>
        </is>
      </c>
      <c r="H1354" t="inlineStr">
        <is>
          <t>Notebook Pack</t>
        </is>
      </c>
      <c r="I1354" t="n">
        <v>3</v>
      </c>
      <c r="J1354" s="12" t="n">
        <v>330.03</v>
      </c>
      <c r="K1354" s="13" t="n">
        <v>0.1</v>
      </c>
      <c r="L1354" s="12" t="n">
        <v>891.08</v>
      </c>
      <c r="M1354" s="12" t="n">
        <v>673.26</v>
      </c>
      <c r="N1354" s="12" t="n">
        <v>217.82</v>
      </c>
      <c r="O1354" t="inlineStr">
        <is>
          <t>Credit Card</t>
        </is>
      </c>
      <c r="P1354" t="inlineStr">
        <is>
          <t>Diya Patel</t>
        </is>
      </c>
    </row>
    <row r="1355">
      <c r="A1355" t="inlineStr">
        <is>
          <t>ORD-2507-1354</t>
        </is>
      </c>
      <c r="B1355" s="11" t="n">
        <v>45867</v>
      </c>
      <c r="C1355" t="inlineStr">
        <is>
          <t>Central</t>
        </is>
      </c>
      <c r="D1355" t="inlineStr">
        <is>
          <t>Bhopal</t>
        </is>
      </c>
      <c r="E1355" t="inlineStr">
        <is>
          <t>Consumer</t>
        </is>
      </c>
      <c r="F1355" t="inlineStr">
        <is>
          <t>Online</t>
        </is>
      </c>
      <c r="G1355" t="inlineStr">
        <is>
          <t>Office Supplies</t>
        </is>
      </c>
      <c r="H1355" t="inlineStr">
        <is>
          <t>Notebook Pack</t>
        </is>
      </c>
      <c r="I1355" t="n">
        <v>4</v>
      </c>
      <c r="J1355" s="12" t="n">
        <v>340.01</v>
      </c>
      <c r="K1355" s="13" t="n">
        <v>0.1</v>
      </c>
      <c r="L1355" s="12" t="n">
        <v>1224.04</v>
      </c>
      <c r="M1355" s="12" t="n">
        <v>924.83</v>
      </c>
      <c r="N1355" s="12" t="n">
        <v>299.21</v>
      </c>
      <c r="O1355" t="inlineStr">
        <is>
          <t>Credit Card</t>
        </is>
      </c>
      <c r="P1355" t="inlineStr">
        <is>
          <t>Meera Joshi</t>
        </is>
      </c>
    </row>
    <row r="1356">
      <c r="A1356" t="inlineStr">
        <is>
          <t>ORD-2501-1355</t>
        </is>
      </c>
      <c r="B1356" s="11" t="n">
        <v>45661</v>
      </c>
      <c r="C1356" t="inlineStr">
        <is>
          <t>West</t>
        </is>
      </c>
      <c r="D1356" t="inlineStr">
        <is>
          <t>Mumbai</t>
        </is>
      </c>
      <c r="E1356" t="inlineStr">
        <is>
          <t>Consumer</t>
        </is>
      </c>
      <c r="F1356" t="inlineStr">
        <is>
          <t>Partner</t>
        </is>
      </c>
      <c r="G1356" t="inlineStr">
        <is>
          <t>Office Supplies</t>
        </is>
      </c>
      <c r="H1356" t="inlineStr">
        <is>
          <t>Notebook Pack</t>
        </is>
      </c>
      <c r="I1356" t="n">
        <v>1</v>
      </c>
      <c r="J1356" s="12" t="n">
        <v>353.75</v>
      </c>
      <c r="K1356" s="13" t="n">
        <v>0.05</v>
      </c>
      <c r="L1356" s="12" t="n">
        <v>336.06</v>
      </c>
      <c r="M1356" s="12" t="n">
        <v>240.55</v>
      </c>
      <c r="N1356" s="12" t="n">
        <v>95.51000000000001</v>
      </c>
      <c r="O1356" t="inlineStr">
        <is>
          <t>Credit Card</t>
        </is>
      </c>
      <c r="P1356" t="inlineStr">
        <is>
          <t>Diya Patel</t>
        </is>
      </c>
    </row>
    <row r="1357">
      <c r="A1357" t="inlineStr">
        <is>
          <t>ORD-2501-1356</t>
        </is>
      </c>
      <c r="B1357" s="11" t="n">
        <v>45668</v>
      </c>
      <c r="C1357" t="inlineStr">
        <is>
          <t>West</t>
        </is>
      </c>
      <c r="D1357" t="inlineStr">
        <is>
          <t>Surat</t>
        </is>
      </c>
      <c r="E1357" t="inlineStr">
        <is>
          <t>Consumer</t>
        </is>
      </c>
      <c r="F1357" t="inlineStr">
        <is>
          <t>Partner</t>
        </is>
      </c>
      <c r="G1357" t="inlineStr">
        <is>
          <t>Technology</t>
        </is>
      </c>
      <c r="H1357" t="inlineStr">
        <is>
          <t>Headphones</t>
        </is>
      </c>
      <c r="I1357" t="n">
        <v>4</v>
      </c>
      <c r="J1357" s="12" t="n">
        <v>2344.4</v>
      </c>
      <c r="K1357" s="13" t="n">
        <v>0.05</v>
      </c>
      <c r="L1357" s="12" t="n">
        <v>8908.719999999999</v>
      </c>
      <c r="M1357" s="12" t="n">
        <v>7314.53</v>
      </c>
      <c r="N1357" s="12" t="n">
        <v>1594.19</v>
      </c>
      <c r="O1357" t="inlineStr">
        <is>
          <t>Debit Card</t>
        </is>
      </c>
      <c r="P1357" t="inlineStr">
        <is>
          <t>Rohan Verma</t>
        </is>
      </c>
    </row>
    <row r="1358">
      <c r="A1358" t="inlineStr">
        <is>
          <t>ORD-2506-1357</t>
        </is>
      </c>
      <c r="B1358" s="11" t="n">
        <v>45834</v>
      </c>
      <c r="C1358" t="inlineStr">
        <is>
          <t>West</t>
        </is>
      </c>
      <c r="D1358" t="inlineStr">
        <is>
          <t>Surat</t>
        </is>
      </c>
      <c r="E1358" t="inlineStr">
        <is>
          <t>Corporate</t>
        </is>
      </c>
      <c r="F1358" t="inlineStr">
        <is>
          <t>Partner</t>
        </is>
      </c>
      <c r="G1358" t="inlineStr">
        <is>
          <t>Technology</t>
        </is>
      </c>
      <c r="H1358" t="inlineStr">
        <is>
          <t>Keyboard</t>
        </is>
      </c>
      <c r="I1358" t="n">
        <v>3</v>
      </c>
      <c r="J1358" s="12" t="n">
        <v>1338.14</v>
      </c>
      <c r="K1358" s="13" t="n">
        <v>0.15</v>
      </c>
      <c r="L1358" s="12" t="n">
        <v>3412.26</v>
      </c>
      <c r="M1358" s="12" t="n">
        <v>3010.82</v>
      </c>
      <c r="N1358" s="12" t="n">
        <v>401.44</v>
      </c>
      <c r="O1358" t="inlineStr">
        <is>
          <t>UPI</t>
        </is>
      </c>
      <c r="P1358" t="inlineStr">
        <is>
          <t>Vivaan Gupta</t>
        </is>
      </c>
    </row>
    <row r="1359">
      <c r="A1359" t="inlineStr">
        <is>
          <t>ORD-2505-1358</t>
        </is>
      </c>
      <c r="B1359" s="11" t="n">
        <v>45789</v>
      </c>
      <c r="C1359" t="inlineStr">
        <is>
          <t>South</t>
        </is>
      </c>
      <c r="D1359" t="inlineStr">
        <is>
          <t>Hyderabad</t>
        </is>
      </c>
      <c r="E1359" t="inlineStr">
        <is>
          <t>Corporate</t>
        </is>
      </c>
      <c r="F1359" t="inlineStr">
        <is>
          <t>Retail Store</t>
        </is>
      </c>
      <c r="G1359" t="inlineStr">
        <is>
          <t>Office Supplies</t>
        </is>
      </c>
      <c r="H1359" t="inlineStr">
        <is>
          <t>Paper Ream</t>
        </is>
      </c>
      <c r="I1359" t="n">
        <v>1</v>
      </c>
      <c r="J1359" s="12" t="n">
        <v>396.08</v>
      </c>
      <c r="K1359" s="13" t="n">
        <v>0.15</v>
      </c>
      <c r="L1359" s="12" t="n">
        <v>336.67</v>
      </c>
      <c r="M1359" s="12" t="n">
        <v>304.98</v>
      </c>
      <c r="N1359" s="12" t="n">
        <v>31.69</v>
      </c>
      <c r="O1359" t="inlineStr">
        <is>
          <t>Cash</t>
        </is>
      </c>
      <c r="P1359" t="inlineStr">
        <is>
          <t>Meera Joshi</t>
        </is>
      </c>
    </row>
    <row r="1360">
      <c r="A1360" t="inlineStr">
        <is>
          <t>ORD-2507-1359</t>
        </is>
      </c>
      <c r="B1360" s="11" t="n">
        <v>45863</v>
      </c>
      <c r="C1360" t="inlineStr">
        <is>
          <t>South</t>
        </is>
      </c>
      <c r="D1360" t="inlineStr">
        <is>
          <t>Hyderabad</t>
        </is>
      </c>
      <c r="E1360" t="inlineStr">
        <is>
          <t>Small Business</t>
        </is>
      </c>
      <c r="F1360" t="inlineStr">
        <is>
          <t>Retail Store</t>
        </is>
      </c>
      <c r="G1360" t="inlineStr">
        <is>
          <t>Technology</t>
        </is>
      </c>
      <c r="H1360" t="inlineStr">
        <is>
          <t>Printer</t>
        </is>
      </c>
      <c r="I1360" t="n">
        <v>8</v>
      </c>
      <c r="J1360" s="12" t="n">
        <v>9374.940000000001</v>
      </c>
      <c r="K1360" s="13" t="n">
        <v>0.05</v>
      </c>
      <c r="L1360" s="12" t="n">
        <v>71249.53999999999</v>
      </c>
      <c r="M1360" s="12" t="n">
        <v>62999.6</v>
      </c>
      <c r="N1360" s="12" t="n">
        <v>8249.940000000001</v>
      </c>
      <c r="O1360" t="inlineStr">
        <is>
          <t>Debit Card</t>
        </is>
      </c>
      <c r="P1360" t="inlineStr">
        <is>
          <t>Vivaan Gupta</t>
        </is>
      </c>
    </row>
    <row r="1361">
      <c r="A1361" t="inlineStr">
        <is>
          <t>ORD-2508-1360</t>
        </is>
      </c>
      <c r="B1361" s="11" t="n">
        <v>45895</v>
      </c>
      <c r="C1361" t="inlineStr">
        <is>
          <t>East</t>
        </is>
      </c>
      <c r="D1361" t="inlineStr">
        <is>
          <t>Bhubaneswar</t>
        </is>
      </c>
      <c r="E1361" t="inlineStr">
        <is>
          <t>Consumer</t>
        </is>
      </c>
      <c r="F1361" t="inlineStr">
        <is>
          <t>Online</t>
        </is>
      </c>
      <c r="G1361" t="inlineStr">
        <is>
          <t>Furniture</t>
        </is>
      </c>
      <c r="H1361" t="inlineStr">
        <is>
          <t>Office Chair</t>
        </is>
      </c>
      <c r="I1361" t="n">
        <v>4</v>
      </c>
      <c r="J1361" s="12" t="n">
        <v>6832.57</v>
      </c>
      <c r="K1361" s="13" t="n">
        <v>0</v>
      </c>
      <c r="L1361" s="12" t="n">
        <v>27330.28</v>
      </c>
      <c r="M1361" s="12" t="n">
        <v>19677.8</v>
      </c>
      <c r="N1361" s="12" t="n">
        <v>7652.48</v>
      </c>
      <c r="O1361" t="inlineStr">
        <is>
          <t>UPI</t>
        </is>
      </c>
      <c r="P1361" t="inlineStr">
        <is>
          <t>Meera Joshi</t>
        </is>
      </c>
    </row>
    <row r="1362">
      <c r="A1362" t="inlineStr">
        <is>
          <t>ORD-2512-1361</t>
        </is>
      </c>
      <c r="B1362" s="11" t="n">
        <v>45995</v>
      </c>
      <c r="C1362" t="inlineStr">
        <is>
          <t>Central</t>
        </is>
      </c>
      <c r="D1362" t="inlineStr">
        <is>
          <t>Raipur</t>
        </is>
      </c>
      <c r="E1362" t="inlineStr">
        <is>
          <t>Small Business</t>
        </is>
      </c>
      <c r="F1362" t="inlineStr">
        <is>
          <t>Retail Store</t>
        </is>
      </c>
      <c r="G1362" t="inlineStr">
        <is>
          <t>Furniture</t>
        </is>
      </c>
      <c r="H1362" t="inlineStr">
        <is>
          <t>Bookshelf</t>
        </is>
      </c>
      <c r="I1362" t="n">
        <v>3</v>
      </c>
      <c r="J1362" s="12" t="n">
        <v>5123.63</v>
      </c>
      <c r="K1362" s="13" t="n">
        <v>0.1</v>
      </c>
      <c r="L1362" s="12" t="n">
        <v>13833.8</v>
      </c>
      <c r="M1362" s="12" t="n">
        <v>11374.46</v>
      </c>
      <c r="N1362" s="12" t="n">
        <v>2459.34</v>
      </c>
      <c r="O1362" t="inlineStr">
        <is>
          <t>UPI</t>
        </is>
      </c>
      <c r="P1362" t="inlineStr">
        <is>
          <t>Vivaan Gupta</t>
        </is>
      </c>
    </row>
    <row r="1363">
      <c r="A1363" t="inlineStr">
        <is>
          <t>ORD-2503-1362</t>
        </is>
      </c>
      <c r="B1363" s="11" t="n">
        <v>45730</v>
      </c>
      <c r="C1363" t="inlineStr">
        <is>
          <t>West</t>
        </is>
      </c>
      <c r="D1363" t="inlineStr">
        <is>
          <t>Mumbai</t>
        </is>
      </c>
      <c r="E1363" t="inlineStr">
        <is>
          <t>Small Business</t>
        </is>
      </c>
      <c r="F1363" t="inlineStr">
        <is>
          <t>Retail Store</t>
        </is>
      </c>
      <c r="G1363" t="inlineStr">
        <is>
          <t>Furniture</t>
        </is>
      </c>
      <c r="H1363" t="inlineStr">
        <is>
          <t>Storage Cabinet</t>
        </is>
      </c>
      <c r="I1363" t="n">
        <v>4</v>
      </c>
      <c r="J1363" s="12" t="n">
        <v>9374.030000000001</v>
      </c>
      <c r="K1363" s="13" t="n">
        <v>0.05</v>
      </c>
      <c r="L1363" s="12" t="n">
        <v>35621.31</v>
      </c>
      <c r="M1363" s="12" t="n">
        <v>29996.9</v>
      </c>
      <c r="N1363" s="12" t="n">
        <v>5624.41</v>
      </c>
      <c r="O1363" t="inlineStr">
        <is>
          <t>Credit Card</t>
        </is>
      </c>
      <c r="P1363" t="inlineStr">
        <is>
          <t>Meera Joshi</t>
        </is>
      </c>
    </row>
    <row r="1364">
      <c r="A1364" t="inlineStr">
        <is>
          <t>ORD-2504-1363</t>
        </is>
      </c>
      <c r="B1364" s="11" t="n">
        <v>45769</v>
      </c>
      <c r="C1364" t="inlineStr">
        <is>
          <t>East</t>
        </is>
      </c>
      <c r="D1364" t="inlineStr">
        <is>
          <t>Patna</t>
        </is>
      </c>
      <c r="E1364" t="inlineStr">
        <is>
          <t>Corporate</t>
        </is>
      </c>
      <c r="F1364" t="inlineStr">
        <is>
          <t>Online</t>
        </is>
      </c>
      <c r="G1364" t="inlineStr">
        <is>
          <t>Office Supplies</t>
        </is>
      </c>
      <c r="H1364" t="inlineStr">
        <is>
          <t>Pens Box</t>
        </is>
      </c>
      <c r="I1364" t="n">
        <v>2</v>
      </c>
      <c r="J1364" s="12" t="n">
        <v>170.79</v>
      </c>
      <c r="K1364" s="13" t="n">
        <v>0.1</v>
      </c>
      <c r="L1364" s="12" t="n">
        <v>307.42</v>
      </c>
      <c r="M1364" s="12" t="n">
        <v>222.03</v>
      </c>
      <c r="N1364" s="12" t="n">
        <v>85.39</v>
      </c>
      <c r="O1364" t="inlineStr">
        <is>
          <t>UPI</t>
        </is>
      </c>
      <c r="P1364" t="inlineStr">
        <is>
          <t>Vivaan Gupta</t>
        </is>
      </c>
    </row>
    <row r="1365">
      <c r="A1365" t="inlineStr">
        <is>
          <t>ORD-2510-1364</t>
        </is>
      </c>
      <c r="B1365" s="11" t="n">
        <v>45948</v>
      </c>
      <c r="C1365" t="inlineStr">
        <is>
          <t>South</t>
        </is>
      </c>
      <c r="D1365" t="inlineStr">
        <is>
          <t>Hyderabad</t>
        </is>
      </c>
      <c r="E1365" t="inlineStr">
        <is>
          <t>Small Business</t>
        </is>
      </c>
      <c r="F1365" t="inlineStr">
        <is>
          <t>Online</t>
        </is>
      </c>
      <c r="G1365" t="inlineStr">
        <is>
          <t>Office Supplies</t>
        </is>
      </c>
      <c r="H1365" t="inlineStr">
        <is>
          <t>Paper Ream</t>
        </is>
      </c>
      <c r="I1365" t="n">
        <v>4</v>
      </c>
      <c r="J1365" s="12" t="n">
        <v>429.49</v>
      </c>
      <c r="K1365" s="13" t="n">
        <v>0.1</v>
      </c>
      <c r="L1365" s="12" t="n">
        <v>1546.16</v>
      </c>
      <c r="M1365" s="12" t="n">
        <v>1322.83</v>
      </c>
      <c r="N1365" s="12" t="n">
        <v>223.33</v>
      </c>
      <c r="O1365" t="inlineStr">
        <is>
          <t>UPI</t>
        </is>
      </c>
      <c r="P1365" t="inlineStr">
        <is>
          <t>Vivaan Gupta</t>
        </is>
      </c>
    </row>
    <row r="1366">
      <c r="A1366" t="inlineStr">
        <is>
          <t>ORD-2506-1365</t>
        </is>
      </c>
      <c r="B1366" s="11" t="n">
        <v>45820</v>
      </c>
      <c r="C1366" t="inlineStr">
        <is>
          <t>West</t>
        </is>
      </c>
      <c r="D1366" t="inlineStr">
        <is>
          <t>Pune</t>
        </is>
      </c>
      <c r="E1366" t="inlineStr">
        <is>
          <t>Small Business</t>
        </is>
      </c>
      <c r="F1366" t="inlineStr">
        <is>
          <t>Partner</t>
        </is>
      </c>
      <c r="G1366" t="inlineStr">
        <is>
          <t>Office Supplies</t>
        </is>
      </c>
      <c r="H1366" t="inlineStr">
        <is>
          <t>Stapler</t>
        </is>
      </c>
      <c r="I1366" t="n">
        <v>4</v>
      </c>
      <c r="J1366" s="12" t="n">
        <v>259.45</v>
      </c>
      <c r="K1366" s="13" t="n">
        <v>0.1</v>
      </c>
      <c r="L1366" s="12" t="n">
        <v>934.02</v>
      </c>
      <c r="M1366" s="12" t="n">
        <v>726.46</v>
      </c>
      <c r="N1366" s="12" t="n">
        <v>207.56</v>
      </c>
      <c r="O1366" t="inlineStr">
        <is>
          <t>Cash</t>
        </is>
      </c>
      <c r="P1366" t="inlineStr">
        <is>
          <t>Aarav Sharma</t>
        </is>
      </c>
    </row>
    <row r="1367">
      <c r="A1367" t="inlineStr">
        <is>
          <t>ORD-2512-1366</t>
        </is>
      </c>
      <c r="B1367" s="11" t="n">
        <v>46004</v>
      </c>
      <c r="C1367" t="inlineStr">
        <is>
          <t>North</t>
        </is>
      </c>
      <c r="D1367" t="inlineStr">
        <is>
          <t>Delhi</t>
        </is>
      </c>
      <c r="E1367" t="inlineStr">
        <is>
          <t>Corporate</t>
        </is>
      </c>
      <c r="F1367" t="inlineStr">
        <is>
          <t>Online</t>
        </is>
      </c>
      <c r="G1367" t="inlineStr">
        <is>
          <t>Technology</t>
        </is>
      </c>
      <c r="H1367" t="inlineStr">
        <is>
          <t>Monitor</t>
        </is>
      </c>
      <c r="I1367" t="n">
        <v>1</v>
      </c>
      <c r="J1367" s="12" t="n">
        <v>13238.93</v>
      </c>
      <c r="K1367" s="13" t="n">
        <v>0.15</v>
      </c>
      <c r="L1367" s="12" t="n">
        <v>11253.09</v>
      </c>
      <c r="M1367" s="12" t="n">
        <v>10855.92</v>
      </c>
      <c r="N1367" s="12" t="n">
        <v>397.17</v>
      </c>
      <c r="O1367" t="inlineStr">
        <is>
          <t>Net Banking</t>
        </is>
      </c>
      <c r="P1367" t="inlineStr">
        <is>
          <t>Sara Khan</t>
        </is>
      </c>
    </row>
    <row r="1368">
      <c r="A1368" t="inlineStr">
        <is>
          <t>ORD-2504-1367</t>
        </is>
      </c>
      <c r="B1368" s="11" t="n">
        <v>45761</v>
      </c>
      <c r="C1368" t="inlineStr">
        <is>
          <t>South</t>
        </is>
      </c>
      <c r="D1368" t="inlineStr">
        <is>
          <t>Chennai</t>
        </is>
      </c>
      <c r="E1368" t="inlineStr">
        <is>
          <t>Small Business</t>
        </is>
      </c>
      <c r="F1368" t="inlineStr">
        <is>
          <t>Retail Store</t>
        </is>
      </c>
      <c r="G1368" t="inlineStr">
        <is>
          <t>Technology</t>
        </is>
      </c>
      <c r="H1368" t="inlineStr">
        <is>
          <t>Headphones</t>
        </is>
      </c>
      <c r="I1368" t="n">
        <v>5</v>
      </c>
      <c r="J1368" s="12" t="n">
        <v>2344.05</v>
      </c>
      <c r="K1368" s="13" t="n">
        <v>0.05</v>
      </c>
      <c r="L1368" s="12" t="n">
        <v>11134.24</v>
      </c>
      <c r="M1368" s="12" t="n">
        <v>9141.799999999999</v>
      </c>
      <c r="N1368" s="12" t="n">
        <v>1992.44</v>
      </c>
      <c r="O1368" t="inlineStr">
        <is>
          <t>Debit Card</t>
        </is>
      </c>
      <c r="P1368" t="inlineStr">
        <is>
          <t>Sara Khan</t>
        </is>
      </c>
    </row>
    <row r="1369">
      <c r="A1369" t="inlineStr">
        <is>
          <t>ORD-2512-1368</t>
        </is>
      </c>
      <c r="B1369" s="11" t="n">
        <v>46018</v>
      </c>
      <c r="C1369" t="inlineStr">
        <is>
          <t>South</t>
        </is>
      </c>
      <c r="D1369" t="inlineStr">
        <is>
          <t>Hyderabad</t>
        </is>
      </c>
      <c r="E1369" t="inlineStr">
        <is>
          <t>Consumer</t>
        </is>
      </c>
      <c r="F1369" t="inlineStr">
        <is>
          <t>Online</t>
        </is>
      </c>
      <c r="G1369" t="inlineStr">
        <is>
          <t>Technology</t>
        </is>
      </c>
      <c r="H1369" t="inlineStr">
        <is>
          <t>Headphones</t>
        </is>
      </c>
      <c r="I1369" t="n">
        <v>1</v>
      </c>
      <c r="J1369" s="12" t="n">
        <v>2341.09</v>
      </c>
      <c r="K1369" s="13" t="n">
        <v>0.1</v>
      </c>
      <c r="L1369" s="12" t="n">
        <v>2106.98</v>
      </c>
      <c r="M1369" s="12" t="n">
        <v>1826.05</v>
      </c>
      <c r="N1369" s="12" t="n">
        <v>280.93</v>
      </c>
      <c r="O1369" t="inlineStr">
        <is>
          <t>Debit Card</t>
        </is>
      </c>
      <c r="P1369" t="inlineStr">
        <is>
          <t>Diya Patel</t>
        </is>
      </c>
    </row>
    <row r="1370">
      <c r="A1370" t="inlineStr">
        <is>
          <t>ORD-2509-1369</t>
        </is>
      </c>
      <c r="B1370" s="11" t="n">
        <v>45930</v>
      </c>
      <c r="C1370" t="inlineStr">
        <is>
          <t>Central</t>
        </is>
      </c>
      <c r="D1370" t="inlineStr">
        <is>
          <t>Nagpur</t>
        </is>
      </c>
      <c r="E1370" t="inlineStr">
        <is>
          <t>Corporate</t>
        </is>
      </c>
      <c r="F1370" t="inlineStr">
        <is>
          <t>Partner</t>
        </is>
      </c>
      <c r="G1370" t="inlineStr">
        <is>
          <t>Technology</t>
        </is>
      </c>
      <c r="H1370" t="inlineStr">
        <is>
          <t>Keyboard</t>
        </is>
      </c>
      <c r="I1370" t="n">
        <v>3</v>
      </c>
      <c r="J1370" s="12" t="n">
        <v>1444.77</v>
      </c>
      <c r="K1370" s="13" t="n">
        <v>0.1</v>
      </c>
      <c r="L1370" s="12" t="n">
        <v>3900.88</v>
      </c>
      <c r="M1370" s="12" t="n">
        <v>3250.73</v>
      </c>
      <c r="N1370" s="12" t="n">
        <v>650.15</v>
      </c>
      <c r="O1370" t="inlineStr">
        <is>
          <t>UPI</t>
        </is>
      </c>
      <c r="P1370" t="inlineStr">
        <is>
          <t>Diya Patel</t>
        </is>
      </c>
    </row>
    <row r="1371">
      <c r="A1371" t="inlineStr">
        <is>
          <t>ORD-2512-1370</t>
        </is>
      </c>
      <c r="B1371" s="11" t="n">
        <v>45997</v>
      </c>
      <c r="C1371" t="inlineStr">
        <is>
          <t>South</t>
        </is>
      </c>
      <c r="D1371" t="inlineStr">
        <is>
          <t>Kochi</t>
        </is>
      </c>
      <c r="E1371" t="inlineStr">
        <is>
          <t>Corporate</t>
        </is>
      </c>
      <c r="F1371" t="inlineStr">
        <is>
          <t>Retail Store</t>
        </is>
      </c>
      <c r="G1371" t="inlineStr">
        <is>
          <t>Technology</t>
        </is>
      </c>
      <c r="H1371" t="inlineStr">
        <is>
          <t>Monitor</t>
        </is>
      </c>
      <c r="I1371" t="n">
        <v>4</v>
      </c>
      <c r="J1371" s="12" t="n">
        <v>12261.9</v>
      </c>
      <c r="K1371" s="13" t="n">
        <v>0</v>
      </c>
      <c r="L1371" s="12" t="n">
        <v>49047.6</v>
      </c>
      <c r="M1371" s="12" t="n">
        <v>40219.03</v>
      </c>
      <c r="N1371" s="12" t="n">
        <v>8828.57</v>
      </c>
      <c r="O1371" t="inlineStr">
        <is>
          <t>UPI</t>
        </is>
      </c>
      <c r="P1371" t="inlineStr">
        <is>
          <t>Aarav Sharma</t>
        </is>
      </c>
    </row>
    <row r="1372">
      <c r="A1372" t="inlineStr">
        <is>
          <t>ORD-2510-1371</t>
        </is>
      </c>
      <c r="B1372" s="11" t="n">
        <v>45958</v>
      </c>
      <c r="C1372" t="inlineStr">
        <is>
          <t>East</t>
        </is>
      </c>
      <c r="D1372" t="inlineStr">
        <is>
          <t>Guwahati</t>
        </is>
      </c>
      <c r="E1372" t="inlineStr">
        <is>
          <t>Corporate</t>
        </is>
      </c>
      <c r="F1372" t="inlineStr">
        <is>
          <t>Partner</t>
        </is>
      </c>
      <c r="G1372" t="inlineStr">
        <is>
          <t>Office Supplies</t>
        </is>
      </c>
      <c r="H1372" t="inlineStr">
        <is>
          <t>Notebook Pack</t>
        </is>
      </c>
      <c r="I1372" t="n">
        <v>3</v>
      </c>
      <c r="J1372" s="12" t="n">
        <v>323.11</v>
      </c>
      <c r="K1372" s="13" t="n">
        <v>0.05</v>
      </c>
      <c r="L1372" s="12" t="n">
        <v>920.86</v>
      </c>
      <c r="M1372" s="12" t="n">
        <v>659.14</v>
      </c>
      <c r="N1372" s="12" t="n">
        <v>261.72</v>
      </c>
      <c r="O1372" t="inlineStr">
        <is>
          <t>Cash</t>
        </is>
      </c>
      <c r="P1372" t="inlineStr">
        <is>
          <t>Sara Khan</t>
        </is>
      </c>
    </row>
    <row r="1373">
      <c r="A1373" t="inlineStr">
        <is>
          <t>ORD-2506-1372</t>
        </is>
      </c>
      <c r="B1373" s="11" t="n">
        <v>45831</v>
      </c>
      <c r="C1373" t="inlineStr">
        <is>
          <t>North</t>
        </is>
      </c>
      <c r="D1373" t="inlineStr">
        <is>
          <t>Chandigarh</t>
        </is>
      </c>
      <c r="E1373" t="inlineStr">
        <is>
          <t>Consumer</t>
        </is>
      </c>
      <c r="F1373" t="inlineStr">
        <is>
          <t>Online</t>
        </is>
      </c>
      <c r="G1373" t="inlineStr">
        <is>
          <t>Technology</t>
        </is>
      </c>
      <c r="H1373" t="inlineStr">
        <is>
          <t>Monitor</t>
        </is>
      </c>
      <c r="I1373" t="n">
        <v>1</v>
      </c>
      <c r="J1373" s="12" t="n">
        <v>12854.75</v>
      </c>
      <c r="K1373" s="13" t="n">
        <v>0.1</v>
      </c>
      <c r="L1373" s="12" t="n">
        <v>11569.27</v>
      </c>
      <c r="M1373" s="12" t="n">
        <v>10540.9</v>
      </c>
      <c r="N1373" s="12" t="n">
        <v>1028.37</v>
      </c>
      <c r="O1373" t="inlineStr">
        <is>
          <t>UPI</t>
        </is>
      </c>
      <c r="P1373" t="inlineStr">
        <is>
          <t>Sara Khan</t>
        </is>
      </c>
    </row>
    <row r="1374">
      <c r="A1374" t="inlineStr">
        <is>
          <t>ORD-2505-1373</t>
        </is>
      </c>
      <c r="B1374" s="11" t="n">
        <v>45807</v>
      </c>
      <c r="C1374" t="inlineStr">
        <is>
          <t>North</t>
        </is>
      </c>
      <c r="D1374" t="inlineStr">
        <is>
          <t>Chandigarh</t>
        </is>
      </c>
      <c r="E1374" t="inlineStr">
        <is>
          <t>Small Business</t>
        </is>
      </c>
      <c r="F1374" t="inlineStr">
        <is>
          <t>Retail Store</t>
        </is>
      </c>
      <c r="G1374" t="inlineStr">
        <is>
          <t>Office Supplies</t>
        </is>
      </c>
      <c r="H1374" t="inlineStr">
        <is>
          <t>Notebook Pack</t>
        </is>
      </c>
      <c r="I1374" t="n">
        <v>10</v>
      </c>
      <c r="J1374" s="12" t="n">
        <v>356.82</v>
      </c>
      <c r="K1374" s="13" t="n">
        <v>0.05</v>
      </c>
      <c r="L1374" s="12" t="n">
        <v>3389.79</v>
      </c>
      <c r="M1374" s="12" t="n">
        <v>2426.38</v>
      </c>
      <c r="N1374" s="12" t="n">
        <v>963.41</v>
      </c>
      <c r="O1374" t="inlineStr">
        <is>
          <t>UPI</t>
        </is>
      </c>
      <c r="P1374" t="inlineStr">
        <is>
          <t>Sara Khan</t>
        </is>
      </c>
    </row>
    <row r="1375">
      <c r="A1375" t="inlineStr">
        <is>
          <t>ORD-2505-1374</t>
        </is>
      </c>
      <c r="B1375" s="11" t="n">
        <v>45787</v>
      </c>
      <c r="C1375" t="inlineStr">
        <is>
          <t>South</t>
        </is>
      </c>
      <c r="D1375" t="inlineStr">
        <is>
          <t>Hyderabad</t>
        </is>
      </c>
      <c r="E1375" t="inlineStr">
        <is>
          <t>Consumer</t>
        </is>
      </c>
      <c r="F1375" t="inlineStr">
        <is>
          <t>Online</t>
        </is>
      </c>
      <c r="G1375" t="inlineStr">
        <is>
          <t>Furniture</t>
        </is>
      </c>
      <c r="H1375" t="inlineStr">
        <is>
          <t>Storage Cabinet</t>
        </is>
      </c>
      <c r="I1375" t="n">
        <v>6</v>
      </c>
      <c r="J1375" s="12" t="n">
        <v>8641.639999999999</v>
      </c>
      <c r="K1375" s="13" t="n">
        <v>0</v>
      </c>
      <c r="L1375" s="12" t="n">
        <v>51849.84</v>
      </c>
      <c r="M1375" s="12" t="n">
        <v>41479.87</v>
      </c>
      <c r="N1375" s="12" t="n">
        <v>10369.97</v>
      </c>
      <c r="O1375" t="inlineStr">
        <is>
          <t>UPI</t>
        </is>
      </c>
      <c r="P1375" t="inlineStr">
        <is>
          <t>Rohan Verma</t>
        </is>
      </c>
    </row>
    <row r="1376">
      <c r="A1376" t="inlineStr">
        <is>
          <t>ORD-2505-1375</t>
        </is>
      </c>
      <c r="B1376" s="11" t="n">
        <v>45792</v>
      </c>
      <c r="C1376" t="inlineStr">
        <is>
          <t>West</t>
        </is>
      </c>
      <c r="D1376" t="inlineStr">
        <is>
          <t>Surat</t>
        </is>
      </c>
      <c r="E1376" t="inlineStr">
        <is>
          <t>Corporate</t>
        </is>
      </c>
      <c r="F1376" t="inlineStr">
        <is>
          <t>Partner</t>
        </is>
      </c>
      <c r="G1376" t="inlineStr">
        <is>
          <t>Furniture</t>
        </is>
      </c>
      <c r="H1376" t="inlineStr">
        <is>
          <t>Office Chair</t>
        </is>
      </c>
      <c r="I1376" t="n">
        <v>1</v>
      </c>
      <c r="J1376" s="12" t="n">
        <v>7082.62</v>
      </c>
      <c r="K1376" s="13" t="n">
        <v>0.1</v>
      </c>
      <c r="L1376" s="12" t="n">
        <v>6374.36</v>
      </c>
      <c r="M1376" s="12" t="n">
        <v>5099.49</v>
      </c>
      <c r="N1376" s="12" t="n">
        <v>1274.87</v>
      </c>
      <c r="O1376" t="inlineStr">
        <is>
          <t>Credit Card</t>
        </is>
      </c>
      <c r="P1376" t="inlineStr">
        <is>
          <t>Sara Khan</t>
        </is>
      </c>
    </row>
    <row r="1377">
      <c r="A1377" t="inlineStr">
        <is>
          <t>ORD-2510-1376</t>
        </is>
      </c>
      <c r="B1377" s="11" t="n">
        <v>45940</v>
      </c>
      <c r="C1377" t="inlineStr">
        <is>
          <t>North</t>
        </is>
      </c>
      <c r="D1377" t="inlineStr">
        <is>
          <t>Jaipur</t>
        </is>
      </c>
      <c r="E1377" t="inlineStr">
        <is>
          <t>Consumer</t>
        </is>
      </c>
      <c r="F1377" t="inlineStr">
        <is>
          <t>Retail Store</t>
        </is>
      </c>
      <c r="G1377" t="inlineStr">
        <is>
          <t>Office Supplies</t>
        </is>
      </c>
      <c r="H1377" t="inlineStr">
        <is>
          <t>Stapler</t>
        </is>
      </c>
      <c r="I1377" t="n">
        <v>10</v>
      </c>
      <c r="J1377" s="12" t="n">
        <v>269.76</v>
      </c>
      <c r="K1377" s="13" t="n">
        <v>0.1</v>
      </c>
      <c r="L1377" s="12" t="n">
        <v>2427.84</v>
      </c>
      <c r="M1377" s="12" t="n">
        <v>1888.32</v>
      </c>
      <c r="N1377" s="12" t="n">
        <v>539.52</v>
      </c>
      <c r="O1377" t="inlineStr">
        <is>
          <t>Debit Card</t>
        </is>
      </c>
      <c r="P1377" t="inlineStr">
        <is>
          <t>Meera Joshi</t>
        </is>
      </c>
    </row>
    <row r="1378">
      <c r="A1378" t="inlineStr">
        <is>
          <t>ORD-2508-1377</t>
        </is>
      </c>
      <c r="B1378" s="11" t="n">
        <v>45898</v>
      </c>
      <c r="C1378" t="inlineStr">
        <is>
          <t>West</t>
        </is>
      </c>
      <c r="D1378" t="inlineStr">
        <is>
          <t>Surat</t>
        </is>
      </c>
      <c r="E1378" t="inlineStr">
        <is>
          <t>Corporate</t>
        </is>
      </c>
      <c r="F1378" t="inlineStr">
        <is>
          <t>Partner</t>
        </is>
      </c>
      <c r="G1378" t="inlineStr">
        <is>
          <t>Technology</t>
        </is>
      </c>
      <c r="H1378" t="inlineStr">
        <is>
          <t>Laptop</t>
        </is>
      </c>
      <c r="I1378" t="n">
        <v>4</v>
      </c>
      <c r="J1378" s="12" t="n">
        <v>41160.95</v>
      </c>
      <c r="K1378" s="13" t="n">
        <v>0</v>
      </c>
      <c r="L1378" s="12" t="n">
        <v>164643.8</v>
      </c>
      <c r="M1378" s="12" t="n">
        <v>144886.54</v>
      </c>
      <c r="N1378" s="12" t="n">
        <v>19757.26</v>
      </c>
      <c r="O1378" t="inlineStr">
        <is>
          <t>Debit Card</t>
        </is>
      </c>
      <c r="P1378" t="inlineStr">
        <is>
          <t>Vivaan Gupta</t>
        </is>
      </c>
    </row>
    <row r="1379">
      <c r="A1379" t="inlineStr">
        <is>
          <t>ORD-2512-1378</t>
        </is>
      </c>
      <c r="B1379" s="11" t="n">
        <v>46020</v>
      </c>
      <c r="C1379" t="inlineStr">
        <is>
          <t>East</t>
        </is>
      </c>
      <c r="D1379" t="inlineStr">
        <is>
          <t>Patna</t>
        </is>
      </c>
      <c r="E1379" t="inlineStr">
        <is>
          <t>Corporate</t>
        </is>
      </c>
      <c r="F1379" t="inlineStr">
        <is>
          <t>Online</t>
        </is>
      </c>
      <c r="G1379" t="inlineStr">
        <is>
          <t>Furniture</t>
        </is>
      </c>
      <c r="H1379" t="inlineStr">
        <is>
          <t>Office Chair</t>
        </is>
      </c>
      <c r="I1379" t="n">
        <v>4</v>
      </c>
      <c r="J1379" s="12" t="n">
        <v>6787.85</v>
      </c>
      <c r="K1379" s="13" t="n">
        <v>0.1</v>
      </c>
      <c r="L1379" s="12" t="n">
        <v>24436.26</v>
      </c>
      <c r="M1379" s="12" t="n">
        <v>19549.01</v>
      </c>
      <c r="N1379" s="12" t="n">
        <v>4887.25</v>
      </c>
      <c r="O1379" t="inlineStr">
        <is>
          <t>Debit Card</t>
        </is>
      </c>
      <c r="P1379" t="inlineStr">
        <is>
          <t>Diya Patel</t>
        </is>
      </c>
    </row>
    <row r="1380">
      <c r="A1380" t="inlineStr">
        <is>
          <t>ORD-2512-1379</t>
        </is>
      </c>
      <c r="B1380" s="11" t="n">
        <v>45999</v>
      </c>
      <c r="C1380" t="inlineStr">
        <is>
          <t>East</t>
        </is>
      </c>
      <c r="D1380" t="inlineStr">
        <is>
          <t>Kolkata</t>
        </is>
      </c>
      <c r="E1380" t="inlineStr">
        <is>
          <t>Consumer</t>
        </is>
      </c>
      <c r="F1380" t="inlineStr">
        <is>
          <t>Online</t>
        </is>
      </c>
      <c r="G1380" t="inlineStr">
        <is>
          <t>Technology</t>
        </is>
      </c>
      <c r="H1380" t="inlineStr">
        <is>
          <t>Laptop</t>
        </is>
      </c>
      <c r="I1380" t="n">
        <v>5</v>
      </c>
      <c r="J1380" s="12" t="n">
        <v>39359.37</v>
      </c>
      <c r="K1380" s="13" t="n">
        <v>0.15</v>
      </c>
      <c r="L1380" s="12" t="n">
        <v>167277.32</v>
      </c>
      <c r="M1380" s="12" t="n">
        <v>173181.23</v>
      </c>
      <c r="N1380" s="12" t="n">
        <v>-5903.91</v>
      </c>
      <c r="O1380" t="inlineStr">
        <is>
          <t>Net Banking</t>
        </is>
      </c>
      <c r="P1380" t="inlineStr">
        <is>
          <t>Diya Patel</t>
        </is>
      </c>
    </row>
    <row r="1381">
      <c r="A1381" t="inlineStr">
        <is>
          <t>ORD-2503-1380</t>
        </is>
      </c>
      <c r="B1381" s="11" t="n">
        <v>45736</v>
      </c>
      <c r="C1381" t="inlineStr">
        <is>
          <t>Central</t>
        </is>
      </c>
      <c r="D1381" t="inlineStr">
        <is>
          <t>Indore</t>
        </is>
      </c>
      <c r="E1381" t="inlineStr">
        <is>
          <t>Small Business</t>
        </is>
      </c>
      <c r="F1381" t="inlineStr">
        <is>
          <t>Retail Store</t>
        </is>
      </c>
      <c r="G1381" t="inlineStr">
        <is>
          <t>Office Supplies</t>
        </is>
      </c>
      <c r="H1381" t="inlineStr">
        <is>
          <t>File Folder</t>
        </is>
      </c>
      <c r="I1381" t="n">
        <v>1</v>
      </c>
      <c r="J1381" s="12" t="n">
        <v>93.20999999999999</v>
      </c>
      <c r="K1381" s="13" t="n">
        <v>0</v>
      </c>
      <c r="L1381" s="12" t="n">
        <v>93.20999999999999</v>
      </c>
      <c r="M1381" s="12" t="n">
        <v>57.79</v>
      </c>
      <c r="N1381" s="12" t="n">
        <v>35.42</v>
      </c>
      <c r="O1381" t="inlineStr">
        <is>
          <t>Cash</t>
        </is>
      </c>
      <c r="P1381" t="inlineStr">
        <is>
          <t>Diya Patel</t>
        </is>
      </c>
    </row>
    <row r="1382">
      <c r="A1382" t="inlineStr">
        <is>
          <t>ORD-2503-1381</t>
        </is>
      </c>
      <c r="B1382" s="11" t="n">
        <v>45737</v>
      </c>
      <c r="C1382" t="inlineStr">
        <is>
          <t>Central</t>
        </is>
      </c>
      <c r="D1382" t="inlineStr">
        <is>
          <t>Nagpur</t>
        </is>
      </c>
      <c r="E1382" t="inlineStr">
        <is>
          <t>Consumer</t>
        </is>
      </c>
      <c r="F1382" t="inlineStr">
        <is>
          <t>Online</t>
        </is>
      </c>
      <c r="G1382" t="inlineStr">
        <is>
          <t>Office Supplies</t>
        </is>
      </c>
      <c r="H1382" t="inlineStr">
        <is>
          <t>Pens Box</t>
        </is>
      </c>
      <c r="I1382" t="n">
        <v>6</v>
      </c>
      <c r="J1382" s="12" t="n">
        <v>168.65</v>
      </c>
      <c r="K1382" s="13" t="n">
        <v>0.15</v>
      </c>
      <c r="L1382" s="12" t="n">
        <v>860.12</v>
      </c>
      <c r="M1382" s="12" t="n">
        <v>657.74</v>
      </c>
      <c r="N1382" s="12" t="n">
        <v>202.38</v>
      </c>
      <c r="O1382" t="inlineStr">
        <is>
          <t>UPI</t>
        </is>
      </c>
      <c r="P1382" t="inlineStr">
        <is>
          <t>Meera Joshi</t>
        </is>
      </c>
    </row>
    <row r="1383">
      <c r="A1383" t="inlineStr">
        <is>
          <t>ORD-2502-1382</t>
        </is>
      </c>
      <c r="B1383" s="11" t="n">
        <v>45699</v>
      </c>
      <c r="C1383" t="inlineStr">
        <is>
          <t>South</t>
        </is>
      </c>
      <c r="D1383" t="inlineStr">
        <is>
          <t>Bengaluru</t>
        </is>
      </c>
      <c r="E1383" t="inlineStr">
        <is>
          <t>Consumer</t>
        </is>
      </c>
      <c r="F1383" t="inlineStr">
        <is>
          <t>Online</t>
        </is>
      </c>
      <c r="G1383" t="inlineStr">
        <is>
          <t>Office Supplies</t>
        </is>
      </c>
      <c r="H1383" t="inlineStr">
        <is>
          <t>Paper Ream</t>
        </is>
      </c>
      <c r="I1383" t="n">
        <v>8</v>
      </c>
      <c r="J1383" s="12" t="n">
        <v>439.6</v>
      </c>
      <c r="K1383" s="13" t="n">
        <v>0</v>
      </c>
      <c r="L1383" s="12" t="n">
        <v>3516.8</v>
      </c>
      <c r="M1383" s="12" t="n">
        <v>2707.94</v>
      </c>
      <c r="N1383" s="12" t="n">
        <v>808.86</v>
      </c>
      <c r="O1383" t="inlineStr">
        <is>
          <t>Credit Card</t>
        </is>
      </c>
      <c r="P1383" t="inlineStr">
        <is>
          <t>Diya Patel</t>
        </is>
      </c>
    </row>
    <row r="1384">
      <c r="A1384" t="inlineStr">
        <is>
          <t>ORD-2507-1383</t>
        </is>
      </c>
      <c r="B1384" s="11" t="n">
        <v>45856</v>
      </c>
      <c r="C1384" t="inlineStr">
        <is>
          <t>East</t>
        </is>
      </c>
      <c r="D1384" t="inlineStr">
        <is>
          <t>Patna</t>
        </is>
      </c>
      <c r="E1384" t="inlineStr">
        <is>
          <t>Small Business</t>
        </is>
      </c>
      <c r="F1384" t="inlineStr">
        <is>
          <t>Online</t>
        </is>
      </c>
      <c r="G1384" t="inlineStr">
        <is>
          <t>Furniture</t>
        </is>
      </c>
      <c r="H1384" t="inlineStr">
        <is>
          <t>Bookshelf</t>
        </is>
      </c>
      <c r="I1384" t="n">
        <v>5</v>
      </c>
      <c r="J1384" s="12" t="n">
        <v>5196.09</v>
      </c>
      <c r="K1384" s="13" t="n">
        <v>0.1</v>
      </c>
      <c r="L1384" s="12" t="n">
        <v>23382.41</v>
      </c>
      <c r="M1384" s="12" t="n">
        <v>19225.53</v>
      </c>
      <c r="N1384" s="12" t="n">
        <v>4156.88</v>
      </c>
      <c r="O1384" t="inlineStr">
        <is>
          <t>Debit Card</t>
        </is>
      </c>
      <c r="P1384" t="inlineStr">
        <is>
          <t>Rohan Verma</t>
        </is>
      </c>
    </row>
    <row r="1385">
      <c r="A1385" t="inlineStr">
        <is>
          <t>ORD-2512-1384</t>
        </is>
      </c>
      <c r="B1385" s="11" t="n">
        <v>46004</v>
      </c>
      <c r="C1385" t="inlineStr">
        <is>
          <t>Central</t>
        </is>
      </c>
      <c r="D1385" t="inlineStr">
        <is>
          <t>Bhopal</t>
        </is>
      </c>
      <c r="E1385" t="inlineStr">
        <is>
          <t>Consumer</t>
        </is>
      </c>
      <c r="F1385" t="inlineStr">
        <is>
          <t>Retail Store</t>
        </is>
      </c>
      <c r="G1385" t="inlineStr">
        <is>
          <t>Furniture</t>
        </is>
      </c>
      <c r="H1385" t="inlineStr">
        <is>
          <t>Bookshelf</t>
        </is>
      </c>
      <c r="I1385" t="n">
        <v>1</v>
      </c>
      <c r="J1385" s="12" t="n">
        <v>4930.31</v>
      </c>
      <c r="K1385" s="13" t="n">
        <v>0</v>
      </c>
      <c r="L1385" s="12" t="n">
        <v>4930.31</v>
      </c>
      <c r="M1385" s="12" t="n">
        <v>3648.43</v>
      </c>
      <c r="N1385" s="12" t="n">
        <v>1281.88</v>
      </c>
      <c r="O1385" t="inlineStr">
        <is>
          <t>UPI</t>
        </is>
      </c>
      <c r="P1385" t="inlineStr">
        <is>
          <t>Meera Joshi</t>
        </is>
      </c>
    </row>
    <row r="1386">
      <c r="A1386" t="inlineStr">
        <is>
          <t>ORD-2512-1385</t>
        </is>
      </c>
      <c r="B1386" s="11" t="n">
        <v>46016</v>
      </c>
      <c r="C1386" t="inlineStr">
        <is>
          <t>North</t>
        </is>
      </c>
      <c r="D1386" t="inlineStr">
        <is>
          <t>Delhi</t>
        </is>
      </c>
      <c r="E1386" t="inlineStr">
        <is>
          <t>Consumer</t>
        </is>
      </c>
      <c r="F1386" t="inlineStr">
        <is>
          <t>Retail Store</t>
        </is>
      </c>
      <c r="G1386" t="inlineStr">
        <is>
          <t>Technology</t>
        </is>
      </c>
      <c r="H1386" t="inlineStr">
        <is>
          <t>Printer</t>
        </is>
      </c>
      <c r="I1386" t="n">
        <v>1</v>
      </c>
      <c r="J1386" s="12" t="n">
        <v>10247.81</v>
      </c>
      <c r="K1386" s="13" t="n">
        <v>0.05</v>
      </c>
      <c r="L1386" s="12" t="n">
        <v>9735.42</v>
      </c>
      <c r="M1386" s="12" t="n">
        <v>8608.16</v>
      </c>
      <c r="N1386" s="12" t="n">
        <v>1127.26</v>
      </c>
      <c r="O1386" t="inlineStr">
        <is>
          <t>Cash</t>
        </is>
      </c>
      <c r="P1386" t="inlineStr">
        <is>
          <t>Rohan Verma</t>
        </is>
      </c>
    </row>
    <row r="1387">
      <c r="A1387" t="inlineStr">
        <is>
          <t>ORD-2511-1386</t>
        </is>
      </c>
      <c r="B1387" s="11" t="n">
        <v>45965</v>
      </c>
      <c r="C1387" t="inlineStr">
        <is>
          <t>West</t>
        </is>
      </c>
      <c r="D1387" t="inlineStr">
        <is>
          <t>Ahmedabad</t>
        </is>
      </c>
      <c r="E1387" t="inlineStr">
        <is>
          <t>Small Business</t>
        </is>
      </c>
      <c r="F1387" t="inlineStr">
        <is>
          <t>Online</t>
        </is>
      </c>
      <c r="G1387" t="inlineStr">
        <is>
          <t>Technology</t>
        </is>
      </c>
      <c r="H1387" t="inlineStr">
        <is>
          <t>Printer</t>
        </is>
      </c>
      <c r="I1387" t="n">
        <v>2</v>
      </c>
      <c r="J1387" s="12" t="n">
        <v>9857.870000000001</v>
      </c>
      <c r="K1387" s="13" t="n">
        <v>0.15</v>
      </c>
      <c r="L1387" s="12" t="n">
        <v>16758.38</v>
      </c>
      <c r="M1387" s="12" t="n">
        <v>16561.22</v>
      </c>
      <c r="N1387" s="12" t="n">
        <v>197.16</v>
      </c>
      <c r="O1387" t="inlineStr">
        <is>
          <t>Net Banking</t>
        </is>
      </c>
      <c r="P1387" t="inlineStr">
        <is>
          <t>Rohan Verma</t>
        </is>
      </c>
    </row>
    <row r="1388">
      <c r="A1388" t="inlineStr">
        <is>
          <t>ORD-2503-1387</t>
        </is>
      </c>
      <c r="B1388" s="11" t="n">
        <v>45740</v>
      </c>
      <c r="C1388" t="inlineStr">
        <is>
          <t>North</t>
        </is>
      </c>
      <c r="D1388" t="inlineStr">
        <is>
          <t>Delhi</t>
        </is>
      </c>
      <c r="E1388" t="inlineStr">
        <is>
          <t>Corporate</t>
        </is>
      </c>
      <c r="F1388" t="inlineStr">
        <is>
          <t>Online</t>
        </is>
      </c>
      <c r="G1388" t="inlineStr">
        <is>
          <t>Technology</t>
        </is>
      </c>
      <c r="H1388" t="inlineStr">
        <is>
          <t>Monitor</t>
        </is>
      </c>
      <c r="I1388" t="n">
        <v>3</v>
      </c>
      <c r="J1388" s="12" t="n">
        <v>11620.81</v>
      </c>
      <c r="K1388" s="13" t="n">
        <v>0.15</v>
      </c>
      <c r="L1388" s="12" t="n">
        <v>29633.07</v>
      </c>
      <c r="M1388" s="12" t="n">
        <v>28587.19</v>
      </c>
      <c r="N1388" s="12" t="n">
        <v>1045.88</v>
      </c>
      <c r="O1388" t="inlineStr">
        <is>
          <t>Debit Card</t>
        </is>
      </c>
      <c r="P1388" t="inlineStr">
        <is>
          <t>Aarav Sharma</t>
        </is>
      </c>
    </row>
    <row r="1389">
      <c r="A1389" t="inlineStr">
        <is>
          <t>ORD-2512-1388</t>
        </is>
      </c>
      <c r="B1389" s="11" t="n">
        <v>46003</v>
      </c>
      <c r="C1389" t="inlineStr">
        <is>
          <t>North</t>
        </is>
      </c>
      <c r="D1389" t="inlineStr">
        <is>
          <t>Chandigarh</t>
        </is>
      </c>
      <c r="E1389" t="inlineStr">
        <is>
          <t>Small Business</t>
        </is>
      </c>
      <c r="F1389" t="inlineStr">
        <is>
          <t>Partner</t>
        </is>
      </c>
      <c r="G1389" t="inlineStr">
        <is>
          <t>Office Supplies</t>
        </is>
      </c>
      <c r="H1389" t="inlineStr">
        <is>
          <t>Notebook Pack</t>
        </is>
      </c>
      <c r="I1389" t="n">
        <v>4</v>
      </c>
      <c r="J1389" s="12" t="n">
        <v>361.09</v>
      </c>
      <c r="K1389" s="13" t="n">
        <v>0.15</v>
      </c>
      <c r="L1389" s="12" t="n">
        <v>1227.71</v>
      </c>
      <c r="M1389" s="12" t="n">
        <v>982.16</v>
      </c>
      <c r="N1389" s="12" t="n">
        <v>245.55</v>
      </c>
      <c r="O1389" t="inlineStr">
        <is>
          <t>Credit Card</t>
        </is>
      </c>
      <c r="P1389" t="inlineStr">
        <is>
          <t>Rohan Verma</t>
        </is>
      </c>
    </row>
    <row r="1390">
      <c r="A1390" t="inlineStr">
        <is>
          <t>ORD-2506-1389</t>
        </is>
      </c>
      <c r="B1390" s="11" t="n">
        <v>45821</v>
      </c>
      <c r="C1390" t="inlineStr">
        <is>
          <t>West</t>
        </is>
      </c>
      <c r="D1390" t="inlineStr">
        <is>
          <t>Ahmedabad</t>
        </is>
      </c>
      <c r="E1390" t="inlineStr">
        <is>
          <t>Corporate</t>
        </is>
      </c>
      <c r="F1390" t="inlineStr">
        <is>
          <t>Retail Store</t>
        </is>
      </c>
      <c r="G1390" t="inlineStr">
        <is>
          <t>Office Supplies</t>
        </is>
      </c>
      <c r="H1390" t="inlineStr">
        <is>
          <t>Paper Ream</t>
        </is>
      </c>
      <c r="I1390" t="n">
        <v>5</v>
      </c>
      <c r="J1390" s="12" t="n">
        <v>406.58</v>
      </c>
      <c r="K1390" s="13" t="n">
        <v>0.05</v>
      </c>
      <c r="L1390" s="12" t="n">
        <v>1931.25</v>
      </c>
      <c r="M1390" s="12" t="n">
        <v>1565.33</v>
      </c>
      <c r="N1390" s="12" t="n">
        <v>365.92</v>
      </c>
      <c r="O1390" t="inlineStr">
        <is>
          <t>Cash</t>
        </is>
      </c>
      <c r="P1390" t="inlineStr">
        <is>
          <t>Meera Joshi</t>
        </is>
      </c>
    </row>
    <row r="1391">
      <c r="A1391" t="inlineStr">
        <is>
          <t>ORD-2504-1390</t>
        </is>
      </c>
      <c r="B1391" s="11" t="n">
        <v>45774</v>
      </c>
      <c r="C1391" t="inlineStr">
        <is>
          <t>Central</t>
        </is>
      </c>
      <c r="D1391" t="inlineStr">
        <is>
          <t>Indore</t>
        </is>
      </c>
      <c r="E1391" t="inlineStr">
        <is>
          <t>Corporate</t>
        </is>
      </c>
      <c r="F1391" t="inlineStr">
        <is>
          <t>Retail Store</t>
        </is>
      </c>
      <c r="G1391" t="inlineStr">
        <is>
          <t>Technology</t>
        </is>
      </c>
      <c r="H1391" t="inlineStr">
        <is>
          <t>Laptop</t>
        </is>
      </c>
      <c r="I1391" t="n">
        <v>4</v>
      </c>
      <c r="J1391" s="12" t="n">
        <v>44553.43</v>
      </c>
      <c r="K1391" s="13" t="n">
        <v>0.05</v>
      </c>
      <c r="L1391" s="12" t="n">
        <v>169303.03</v>
      </c>
      <c r="M1391" s="12" t="n">
        <v>156828.07</v>
      </c>
      <c r="N1391" s="12" t="n">
        <v>12474.96</v>
      </c>
      <c r="O1391" t="inlineStr">
        <is>
          <t>Debit Card</t>
        </is>
      </c>
      <c r="P1391" t="inlineStr">
        <is>
          <t>Anaya Rao</t>
        </is>
      </c>
    </row>
    <row r="1392">
      <c r="A1392" t="inlineStr">
        <is>
          <t>ORD-2508-1391</t>
        </is>
      </c>
      <c r="B1392" s="11" t="n">
        <v>45889</v>
      </c>
      <c r="C1392" t="inlineStr">
        <is>
          <t>South</t>
        </is>
      </c>
      <c r="D1392" t="inlineStr">
        <is>
          <t>Chennai</t>
        </is>
      </c>
      <c r="E1392" t="inlineStr">
        <is>
          <t>Consumer</t>
        </is>
      </c>
      <c r="F1392" t="inlineStr">
        <is>
          <t>Retail Store</t>
        </is>
      </c>
      <c r="G1392" t="inlineStr">
        <is>
          <t>Office Supplies</t>
        </is>
      </c>
      <c r="H1392" t="inlineStr">
        <is>
          <t>Paper Ream</t>
        </is>
      </c>
      <c r="I1392" t="n">
        <v>4</v>
      </c>
      <c r="J1392" s="12" t="n">
        <v>388.05</v>
      </c>
      <c r="K1392" s="13" t="n">
        <v>0.05</v>
      </c>
      <c r="L1392" s="12" t="n">
        <v>1474.59</v>
      </c>
      <c r="M1392" s="12" t="n">
        <v>1195.19</v>
      </c>
      <c r="N1392" s="12" t="n">
        <v>279.4</v>
      </c>
      <c r="O1392" t="inlineStr">
        <is>
          <t>Debit Card</t>
        </is>
      </c>
      <c r="P1392" t="inlineStr">
        <is>
          <t>Kabir Singh</t>
        </is>
      </c>
    </row>
    <row r="1393">
      <c r="A1393" t="inlineStr">
        <is>
          <t>ORD-2507-1392</t>
        </is>
      </c>
      <c r="B1393" s="11" t="n">
        <v>45862</v>
      </c>
      <c r="C1393" t="inlineStr">
        <is>
          <t>East</t>
        </is>
      </c>
      <c r="D1393" t="inlineStr">
        <is>
          <t>Kolkata</t>
        </is>
      </c>
      <c r="E1393" t="inlineStr">
        <is>
          <t>Small Business</t>
        </is>
      </c>
      <c r="F1393" t="inlineStr">
        <is>
          <t>Online</t>
        </is>
      </c>
      <c r="G1393" t="inlineStr">
        <is>
          <t>Furniture</t>
        </is>
      </c>
      <c r="H1393" t="inlineStr">
        <is>
          <t>Desk</t>
        </is>
      </c>
      <c r="I1393" t="n">
        <v>5</v>
      </c>
      <c r="J1393" s="12" t="n">
        <v>10897.92</v>
      </c>
      <c r="K1393" s="13" t="n">
        <v>0.1</v>
      </c>
      <c r="L1393" s="12" t="n">
        <v>49040.64</v>
      </c>
      <c r="M1393" s="12" t="n">
        <v>41412.1</v>
      </c>
      <c r="N1393" s="12" t="n">
        <v>7628.54</v>
      </c>
      <c r="O1393" t="inlineStr">
        <is>
          <t>UPI</t>
        </is>
      </c>
      <c r="P1393" t="inlineStr">
        <is>
          <t>Diya Patel</t>
        </is>
      </c>
    </row>
    <row r="1394">
      <c r="A1394" t="inlineStr">
        <is>
          <t>ORD-2501-1393</t>
        </is>
      </c>
      <c r="B1394" s="11" t="n">
        <v>45666</v>
      </c>
      <c r="C1394" t="inlineStr">
        <is>
          <t>West</t>
        </is>
      </c>
      <c r="D1394" t="inlineStr">
        <is>
          <t>Surat</t>
        </is>
      </c>
      <c r="E1394" t="inlineStr">
        <is>
          <t>Consumer</t>
        </is>
      </c>
      <c r="F1394" t="inlineStr">
        <is>
          <t>Retail Store</t>
        </is>
      </c>
      <c r="G1394" t="inlineStr">
        <is>
          <t>Technology</t>
        </is>
      </c>
      <c r="H1394" t="inlineStr">
        <is>
          <t>Keyboard</t>
        </is>
      </c>
      <c r="I1394" t="n">
        <v>2</v>
      </c>
      <c r="J1394" s="12" t="n">
        <v>1399.4</v>
      </c>
      <c r="K1394" s="13" t="n">
        <v>0</v>
      </c>
      <c r="L1394" s="12" t="n">
        <v>2798.8</v>
      </c>
      <c r="M1394" s="12" t="n">
        <v>2099.1</v>
      </c>
      <c r="N1394" s="12" t="n">
        <v>699.7</v>
      </c>
      <c r="O1394" t="inlineStr">
        <is>
          <t>Cash</t>
        </is>
      </c>
      <c r="P1394" t="inlineStr">
        <is>
          <t>Rohan Verma</t>
        </is>
      </c>
    </row>
    <row r="1395">
      <c r="A1395" t="inlineStr">
        <is>
          <t>ORD-2504-1394</t>
        </is>
      </c>
      <c r="B1395" s="11" t="n">
        <v>45774</v>
      </c>
      <c r="C1395" t="inlineStr">
        <is>
          <t>South</t>
        </is>
      </c>
      <c r="D1395" t="inlineStr">
        <is>
          <t>Kochi</t>
        </is>
      </c>
      <c r="E1395" t="inlineStr">
        <is>
          <t>Consumer</t>
        </is>
      </c>
      <c r="F1395" t="inlineStr">
        <is>
          <t>Retail Store</t>
        </is>
      </c>
      <c r="G1395" t="inlineStr">
        <is>
          <t>Office Supplies</t>
        </is>
      </c>
      <c r="H1395" t="inlineStr">
        <is>
          <t>Notebook Pack</t>
        </is>
      </c>
      <c r="I1395" t="n">
        <v>4</v>
      </c>
      <c r="J1395" s="12" t="n">
        <v>375.05</v>
      </c>
      <c r="K1395" s="13" t="n">
        <v>0.05</v>
      </c>
      <c r="L1395" s="12" t="n">
        <v>1425.19</v>
      </c>
      <c r="M1395" s="12" t="n">
        <v>1020.14</v>
      </c>
      <c r="N1395" s="12" t="n">
        <v>405.05</v>
      </c>
      <c r="O1395" t="inlineStr">
        <is>
          <t>Credit Card</t>
        </is>
      </c>
      <c r="P1395" t="inlineStr">
        <is>
          <t>Sara Khan</t>
        </is>
      </c>
    </row>
    <row r="1396">
      <c r="A1396" t="inlineStr">
        <is>
          <t>ORD-2502-1395</t>
        </is>
      </c>
      <c r="B1396" s="11" t="n">
        <v>45712</v>
      </c>
      <c r="C1396" t="inlineStr">
        <is>
          <t>North</t>
        </is>
      </c>
      <c r="D1396" t="inlineStr">
        <is>
          <t>Chandigarh</t>
        </is>
      </c>
      <c r="E1396" t="inlineStr">
        <is>
          <t>Corporate</t>
        </is>
      </c>
      <c r="F1396" t="inlineStr">
        <is>
          <t>Online</t>
        </is>
      </c>
      <c r="G1396" t="inlineStr">
        <is>
          <t>Office Supplies</t>
        </is>
      </c>
      <c r="H1396" t="inlineStr">
        <is>
          <t>Paper Ream</t>
        </is>
      </c>
      <c r="I1396" t="n">
        <v>3</v>
      </c>
      <c r="J1396" s="12" t="n">
        <v>402.2</v>
      </c>
      <c r="K1396" s="13" t="n">
        <v>0.05</v>
      </c>
      <c r="L1396" s="12" t="n">
        <v>1146.27</v>
      </c>
      <c r="M1396" s="12" t="n">
        <v>929.08</v>
      </c>
      <c r="N1396" s="12" t="n">
        <v>217.19</v>
      </c>
      <c r="O1396" t="inlineStr">
        <is>
          <t>Debit Card</t>
        </is>
      </c>
      <c r="P1396" t="inlineStr">
        <is>
          <t>Anaya Rao</t>
        </is>
      </c>
    </row>
    <row r="1397">
      <c r="A1397" t="inlineStr">
        <is>
          <t>ORD-2501-1396</t>
        </is>
      </c>
      <c r="B1397" s="11" t="n">
        <v>45664</v>
      </c>
      <c r="C1397" t="inlineStr">
        <is>
          <t>East</t>
        </is>
      </c>
      <c r="D1397" t="inlineStr">
        <is>
          <t>Patna</t>
        </is>
      </c>
      <c r="E1397" t="inlineStr">
        <is>
          <t>Consumer</t>
        </is>
      </c>
      <c r="F1397" t="inlineStr">
        <is>
          <t>Partner</t>
        </is>
      </c>
      <c r="G1397" t="inlineStr">
        <is>
          <t>Furniture</t>
        </is>
      </c>
      <c r="H1397" t="inlineStr">
        <is>
          <t>Office Chair</t>
        </is>
      </c>
      <c r="I1397" t="n">
        <v>3</v>
      </c>
      <c r="J1397" s="12" t="n">
        <v>6722.75</v>
      </c>
      <c r="K1397" s="13" t="n">
        <v>0.1</v>
      </c>
      <c r="L1397" s="12" t="n">
        <v>18151.42</v>
      </c>
      <c r="M1397" s="12" t="n">
        <v>14521.14</v>
      </c>
      <c r="N1397" s="12" t="n">
        <v>3630.28</v>
      </c>
      <c r="O1397" t="inlineStr">
        <is>
          <t>UPI</t>
        </is>
      </c>
      <c r="P1397" t="inlineStr">
        <is>
          <t>Rohan Verma</t>
        </is>
      </c>
    </row>
    <row r="1398">
      <c r="A1398" t="inlineStr">
        <is>
          <t>ORD-2506-1397</t>
        </is>
      </c>
      <c r="B1398" s="11" t="n">
        <v>45832</v>
      </c>
      <c r="C1398" t="inlineStr">
        <is>
          <t>East</t>
        </is>
      </c>
      <c r="D1398" t="inlineStr">
        <is>
          <t>Patna</t>
        </is>
      </c>
      <c r="E1398" t="inlineStr">
        <is>
          <t>Corporate</t>
        </is>
      </c>
      <c r="F1398" t="inlineStr">
        <is>
          <t>Retail Store</t>
        </is>
      </c>
      <c r="G1398" t="inlineStr">
        <is>
          <t>Furniture</t>
        </is>
      </c>
      <c r="H1398" t="inlineStr">
        <is>
          <t>Office Chair</t>
        </is>
      </c>
      <c r="I1398" t="n">
        <v>3</v>
      </c>
      <c r="J1398" s="12" t="n">
        <v>6275.27</v>
      </c>
      <c r="K1398" s="13" t="n">
        <v>0.05</v>
      </c>
      <c r="L1398" s="12" t="n">
        <v>17884.52</v>
      </c>
      <c r="M1398" s="12" t="n">
        <v>13554.58</v>
      </c>
      <c r="N1398" s="12" t="n">
        <v>4329.94</v>
      </c>
      <c r="O1398" t="inlineStr">
        <is>
          <t>UPI</t>
        </is>
      </c>
      <c r="P1398" t="inlineStr">
        <is>
          <t>Meera Joshi</t>
        </is>
      </c>
    </row>
    <row r="1399">
      <c r="A1399" t="inlineStr">
        <is>
          <t>ORD-2506-1398</t>
        </is>
      </c>
      <c r="B1399" s="11" t="n">
        <v>45825</v>
      </c>
      <c r="C1399" t="inlineStr">
        <is>
          <t>South</t>
        </is>
      </c>
      <c r="D1399" t="inlineStr">
        <is>
          <t>Hyderabad</t>
        </is>
      </c>
      <c r="E1399" t="inlineStr">
        <is>
          <t>Small Business</t>
        </is>
      </c>
      <c r="F1399" t="inlineStr">
        <is>
          <t>Retail Store</t>
        </is>
      </c>
      <c r="G1399" t="inlineStr">
        <is>
          <t>Office Supplies</t>
        </is>
      </c>
      <c r="H1399" t="inlineStr">
        <is>
          <t>Pens Box</t>
        </is>
      </c>
      <c r="I1399" t="n">
        <v>6</v>
      </c>
      <c r="J1399" s="12" t="n">
        <v>188.26</v>
      </c>
      <c r="K1399" s="13" t="n">
        <v>0.2</v>
      </c>
      <c r="L1399" s="12" t="n">
        <v>903.65</v>
      </c>
      <c r="M1399" s="12" t="n">
        <v>734.21</v>
      </c>
      <c r="N1399" s="12" t="n">
        <v>169.44</v>
      </c>
      <c r="O1399" t="inlineStr">
        <is>
          <t>Cash</t>
        </is>
      </c>
      <c r="P1399" t="inlineStr">
        <is>
          <t>Sara Khan</t>
        </is>
      </c>
    </row>
    <row r="1400">
      <c r="A1400" t="inlineStr">
        <is>
          <t>ORD-2512-1399</t>
        </is>
      </c>
      <c r="B1400" s="11" t="n">
        <v>46015</v>
      </c>
      <c r="C1400" t="inlineStr">
        <is>
          <t>South</t>
        </is>
      </c>
      <c r="D1400" t="inlineStr">
        <is>
          <t>Chennai</t>
        </is>
      </c>
      <c r="E1400" t="inlineStr">
        <is>
          <t>Small Business</t>
        </is>
      </c>
      <c r="F1400" t="inlineStr">
        <is>
          <t>Partner</t>
        </is>
      </c>
      <c r="G1400" t="inlineStr">
        <is>
          <t>Furniture</t>
        </is>
      </c>
      <c r="H1400" t="inlineStr">
        <is>
          <t>Office Chair</t>
        </is>
      </c>
      <c r="I1400" t="n">
        <v>5</v>
      </c>
      <c r="J1400" s="12" t="n">
        <v>7247.58</v>
      </c>
      <c r="K1400" s="13" t="n">
        <v>0.1</v>
      </c>
      <c r="L1400" s="12" t="n">
        <v>32614.11</v>
      </c>
      <c r="M1400" s="12" t="n">
        <v>26091.29</v>
      </c>
      <c r="N1400" s="12" t="n">
        <v>6522.82</v>
      </c>
      <c r="O1400" t="inlineStr">
        <is>
          <t>Cash</t>
        </is>
      </c>
      <c r="P1400" t="inlineStr">
        <is>
          <t>Meera Joshi</t>
        </is>
      </c>
    </row>
    <row r="1401">
      <c r="A1401" t="inlineStr">
        <is>
          <t>ORD-2505-1400</t>
        </is>
      </c>
      <c r="B1401" s="11" t="n">
        <v>45785</v>
      </c>
      <c r="C1401" t="inlineStr">
        <is>
          <t>West</t>
        </is>
      </c>
      <c r="D1401" t="inlineStr">
        <is>
          <t>Surat</t>
        </is>
      </c>
      <c r="E1401" t="inlineStr">
        <is>
          <t>Consumer</t>
        </is>
      </c>
      <c r="F1401" t="inlineStr">
        <is>
          <t>Partner</t>
        </is>
      </c>
      <c r="G1401" t="inlineStr">
        <is>
          <t>Technology</t>
        </is>
      </c>
      <c r="H1401" t="inlineStr">
        <is>
          <t>Laptop</t>
        </is>
      </c>
      <c r="I1401" t="n">
        <v>2</v>
      </c>
      <c r="J1401" s="12" t="n">
        <v>41221.44</v>
      </c>
      <c r="K1401" s="13" t="n">
        <v>0.15</v>
      </c>
      <c r="L1401" s="12" t="n">
        <v>70076.45</v>
      </c>
      <c r="M1401" s="12" t="n">
        <v>72549.73</v>
      </c>
      <c r="N1401" s="12" t="n">
        <v>-2473.28</v>
      </c>
      <c r="O1401" t="inlineStr">
        <is>
          <t>Net Banking</t>
        </is>
      </c>
      <c r="P1401" t="inlineStr">
        <is>
          <t>Diya Patel</t>
        </is>
      </c>
    </row>
    <row r="1402">
      <c r="A1402" t="inlineStr">
        <is>
          <t>ORD-2509-1401</t>
        </is>
      </c>
      <c r="B1402" s="11" t="n">
        <v>45928</v>
      </c>
      <c r="C1402" t="inlineStr">
        <is>
          <t>West</t>
        </is>
      </c>
      <c r="D1402" t="inlineStr">
        <is>
          <t>Surat</t>
        </is>
      </c>
      <c r="E1402" t="inlineStr">
        <is>
          <t>Consumer</t>
        </is>
      </c>
      <c r="F1402" t="inlineStr">
        <is>
          <t>Retail Store</t>
        </is>
      </c>
      <c r="G1402" t="inlineStr">
        <is>
          <t>Office Supplies</t>
        </is>
      </c>
      <c r="H1402" t="inlineStr">
        <is>
          <t>Notebook Pack</t>
        </is>
      </c>
      <c r="I1402" t="n">
        <v>6</v>
      </c>
      <c r="J1402" s="12" t="n">
        <v>362.76</v>
      </c>
      <c r="K1402" s="13" t="n">
        <v>0.2</v>
      </c>
      <c r="L1402" s="12" t="n">
        <v>1741.25</v>
      </c>
      <c r="M1402" s="12" t="n">
        <v>1480.06</v>
      </c>
      <c r="N1402" s="12" t="n">
        <v>261.19</v>
      </c>
      <c r="O1402" t="inlineStr">
        <is>
          <t>Debit Card</t>
        </is>
      </c>
      <c r="P1402" t="inlineStr">
        <is>
          <t>Meera Joshi</t>
        </is>
      </c>
    </row>
    <row r="1403">
      <c r="A1403" t="inlineStr">
        <is>
          <t>ORD-2505-1402</t>
        </is>
      </c>
      <c r="B1403" s="11" t="n">
        <v>45799</v>
      </c>
      <c r="C1403" t="inlineStr">
        <is>
          <t>South</t>
        </is>
      </c>
      <c r="D1403" t="inlineStr">
        <is>
          <t>Hyderabad</t>
        </is>
      </c>
      <c r="E1403" t="inlineStr">
        <is>
          <t>Consumer</t>
        </is>
      </c>
      <c r="F1403" t="inlineStr">
        <is>
          <t>Retail Store</t>
        </is>
      </c>
      <c r="G1403" t="inlineStr">
        <is>
          <t>Office Supplies</t>
        </is>
      </c>
      <c r="H1403" t="inlineStr">
        <is>
          <t>Stapler</t>
        </is>
      </c>
      <c r="I1403" t="n">
        <v>4</v>
      </c>
      <c r="J1403" s="12" t="n">
        <v>248.49</v>
      </c>
      <c r="K1403" s="13" t="n">
        <v>0.05</v>
      </c>
      <c r="L1403" s="12" t="n">
        <v>944.26</v>
      </c>
      <c r="M1403" s="12" t="n">
        <v>695.77</v>
      </c>
      <c r="N1403" s="12" t="n">
        <v>248.49</v>
      </c>
      <c r="O1403" t="inlineStr">
        <is>
          <t>Net Banking</t>
        </is>
      </c>
      <c r="P1403" t="inlineStr">
        <is>
          <t>Anaya Rao</t>
        </is>
      </c>
    </row>
    <row r="1404">
      <c r="A1404" t="inlineStr">
        <is>
          <t>ORD-2510-1403</t>
        </is>
      </c>
      <c r="B1404" s="11" t="n">
        <v>45945</v>
      </c>
      <c r="C1404" t="inlineStr">
        <is>
          <t>South</t>
        </is>
      </c>
      <c r="D1404" t="inlineStr">
        <is>
          <t>Hyderabad</t>
        </is>
      </c>
      <c r="E1404" t="inlineStr">
        <is>
          <t>Consumer</t>
        </is>
      </c>
      <c r="F1404" t="inlineStr">
        <is>
          <t>Partner</t>
        </is>
      </c>
      <c r="G1404" t="inlineStr">
        <is>
          <t>Furniture</t>
        </is>
      </c>
      <c r="H1404" t="inlineStr">
        <is>
          <t>Office Chair</t>
        </is>
      </c>
      <c r="I1404" t="n">
        <v>3</v>
      </c>
      <c r="J1404" s="12" t="n">
        <v>7216.94</v>
      </c>
      <c r="K1404" s="13" t="n">
        <v>0.05</v>
      </c>
      <c r="L1404" s="12" t="n">
        <v>20568.28</v>
      </c>
      <c r="M1404" s="12" t="n">
        <v>15588.59</v>
      </c>
      <c r="N1404" s="12" t="n">
        <v>4979.69</v>
      </c>
      <c r="O1404" t="inlineStr">
        <is>
          <t>UPI</t>
        </is>
      </c>
      <c r="P1404" t="inlineStr">
        <is>
          <t>Diya Patel</t>
        </is>
      </c>
    </row>
    <row r="1405">
      <c r="A1405" t="inlineStr">
        <is>
          <t>ORD-2506-1404</t>
        </is>
      </c>
      <c r="B1405" s="11" t="n">
        <v>45809</v>
      </c>
      <c r="C1405" t="inlineStr">
        <is>
          <t>North</t>
        </is>
      </c>
      <c r="D1405" t="inlineStr">
        <is>
          <t>Jaipur</t>
        </is>
      </c>
      <c r="E1405" t="inlineStr">
        <is>
          <t>Corporate</t>
        </is>
      </c>
      <c r="F1405" t="inlineStr">
        <is>
          <t>Partner</t>
        </is>
      </c>
      <c r="G1405" t="inlineStr">
        <is>
          <t>Furniture</t>
        </is>
      </c>
      <c r="H1405" t="inlineStr">
        <is>
          <t>Storage Cabinet</t>
        </is>
      </c>
      <c r="I1405" t="n">
        <v>5</v>
      </c>
      <c r="J1405" s="12" t="n">
        <v>9313.969999999999</v>
      </c>
      <c r="K1405" s="13" t="n">
        <v>0.05</v>
      </c>
      <c r="L1405" s="12" t="n">
        <v>44241.36</v>
      </c>
      <c r="M1405" s="12" t="n">
        <v>37255.88</v>
      </c>
      <c r="N1405" s="12" t="n">
        <v>6985.48</v>
      </c>
      <c r="O1405" t="inlineStr">
        <is>
          <t>Credit Card</t>
        </is>
      </c>
      <c r="P1405" t="inlineStr">
        <is>
          <t>Rohan Verma</t>
        </is>
      </c>
    </row>
    <row r="1406">
      <c r="A1406" t="inlineStr">
        <is>
          <t>ORD-2505-1405</t>
        </is>
      </c>
      <c r="B1406" s="11" t="n">
        <v>45791</v>
      </c>
      <c r="C1406" t="inlineStr">
        <is>
          <t>South</t>
        </is>
      </c>
      <c r="D1406" t="inlineStr">
        <is>
          <t>Chennai</t>
        </is>
      </c>
      <c r="E1406" t="inlineStr">
        <is>
          <t>Consumer</t>
        </is>
      </c>
      <c r="F1406" t="inlineStr">
        <is>
          <t>Retail Store</t>
        </is>
      </c>
      <c r="G1406" t="inlineStr">
        <is>
          <t>Technology</t>
        </is>
      </c>
      <c r="H1406" t="inlineStr">
        <is>
          <t>Headphones</t>
        </is>
      </c>
      <c r="I1406" t="n">
        <v>1</v>
      </c>
      <c r="J1406" s="12" t="n">
        <v>2292.36</v>
      </c>
      <c r="K1406" s="13" t="n">
        <v>0.1</v>
      </c>
      <c r="L1406" s="12" t="n">
        <v>2063.12</v>
      </c>
      <c r="M1406" s="12" t="n">
        <v>1788.04</v>
      </c>
      <c r="N1406" s="12" t="n">
        <v>275.08</v>
      </c>
      <c r="O1406" t="inlineStr">
        <is>
          <t>Debit Card</t>
        </is>
      </c>
      <c r="P1406" t="inlineStr">
        <is>
          <t>Kabir Singh</t>
        </is>
      </c>
    </row>
    <row r="1407">
      <c r="A1407" t="inlineStr">
        <is>
          <t>ORD-2508-1406</t>
        </is>
      </c>
      <c r="B1407" s="11" t="n">
        <v>45886</v>
      </c>
      <c r="C1407" t="inlineStr">
        <is>
          <t>West</t>
        </is>
      </c>
      <c r="D1407" t="inlineStr">
        <is>
          <t>Pune</t>
        </is>
      </c>
      <c r="E1407" t="inlineStr">
        <is>
          <t>Corporate</t>
        </is>
      </c>
      <c r="F1407" t="inlineStr">
        <is>
          <t>Retail Store</t>
        </is>
      </c>
      <c r="G1407" t="inlineStr">
        <is>
          <t>Office Supplies</t>
        </is>
      </c>
      <c r="H1407" t="inlineStr">
        <is>
          <t>Notebook Pack</t>
        </is>
      </c>
      <c r="I1407" t="n">
        <v>3</v>
      </c>
      <c r="J1407" s="12" t="n">
        <v>374.47</v>
      </c>
      <c r="K1407" s="13" t="n">
        <v>0.05</v>
      </c>
      <c r="L1407" s="12" t="n">
        <v>1067.24</v>
      </c>
      <c r="M1407" s="12" t="n">
        <v>763.92</v>
      </c>
      <c r="N1407" s="12" t="n">
        <v>303.32</v>
      </c>
      <c r="O1407" t="inlineStr">
        <is>
          <t>UPI</t>
        </is>
      </c>
      <c r="P1407" t="inlineStr">
        <is>
          <t>Anaya Rao</t>
        </is>
      </c>
    </row>
    <row r="1408">
      <c r="A1408" t="inlineStr">
        <is>
          <t>ORD-2505-1407</t>
        </is>
      </c>
      <c r="B1408" s="11" t="n">
        <v>45803</v>
      </c>
      <c r="C1408" t="inlineStr">
        <is>
          <t>South</t>
        </is>
      </c>
      <c r="D1408" t="inlineStr">
        <is>
          <t>Chennai</t>
        </is>
      </c>
      <c r="E1408" t="inlineStr">
        <is>
          <t>Small Business</t>
        </is>
      </c>
      <c r="F1408" t="inlineStr">
        <is>
          <t>Retail Store</t>
        </is>
      </c>
      <c r="G1408" t="inlineStr">
        <is>
          <t>Furniture</t>
        </is>
      </c>
      <c r="H1408" t="inlineStr">
        <is>
          <t>Office Chair</t>
        </is>
      </c>
      <c r="I1408" t="n">
        <v>8</v>
      </c>
      <c r="J1408" s="12" t="n">
        <v>7200.1</v>
      </c>
      <c r="K1408" s="13" t="n">
        <v>0</v>
      </c>
      <c r="L1408" s="12" t="n">
        <v>57600.8</v>
      </c>
      <c r="M1408" s="12" t="n">
        <v>41472.58</v>
      </c>
      <c r="N1408" s="12" t="n">
        <v>16128.22</v>
      </c>
      <c r="O1408" t="inlineStr">
        <is>
          <t>Net Banking</t>
        </is>
      </c>
      <c r="P1408" t="inlineStr">
        <is>
          <t>Kabir Singh</t>
        </is>
      </c>
    </row>
    <row r="1409">
      <c r="A1409" t="inlineStr">
        <is>
          <t>ORD-2506-1408</t>
        </is>
      </c>
      <c r="B1409" s="11" t="n">
        <v>45819</v>
      </c>
      <c r="C1409" t="inlineStr">
        <is>
          <t>West</t>
        </is>
      </c>
      <c r="D1409" t="inlineStr">
        <is>
          <t>Mumbai</t>
        </is>
      </c>
      <c r="E1409" t="inlineStr">
        <is>
          <t>Small Business</t>
        </is>
      </c>
      <c r="F1409" t="inlineStr">
        <is>
          <t>Online</t>
        </is>
      </c>
      <c r="G1409" t="inlineStr">
        <is>
          <t>Office Supplies</t>
        </is>
      </c>
      <c r="H1409" t="inlineStr">
        <is>
          <t>Pens Box</t>
        </is>
      </c>
      <c r="I1409" t="n">
        <v>2</v>
      </c>
      <c r="J1409" s="12" t="n">
        <v>170.73</v>
      </c>
      <c r="K1409" s="13" t="n">
        <v>0.05</v>
      </c>
      <c r="L1409" s="12" t="n">
        <v>324.39</v>
      </c>
      <c r="M1409" s="12" t="n">
        <v>221.95</v>
      </c>
      <c r="N1409" s="12" t="n">
        <v>102.44</v>
      </c>
      <c r="O1409" t="inlineStr">
        <is>
          <t>Net Banking</t>
        </is>
      </c>
      <c r="P1409" t="inlineStr">
        <is>
          <t>Sara Khan</t>
        </is>
      </c>
    </row>
    <row r="1410">
      <c r="A1410" t="inlineStr">
        <is>
          <t>ORD-2510-1409</t>
        </is>
      </c>
      <c r="B1410" s="11" t="n">
        <v>45947</v>
      </c>
      <c r="C1410" t="inlineStr">
        <is>
          <t>Central</t>
        </is>
      </c>
      <c r="D1410" t="inlineStr">
        <is>
          <t>Bhopal</t>
        </is>
      </c>
      <c r="E1410" t="inlineStr">
        <is>
          <t>Consumer</t>
        </is>
      </c>
      <c r="F1410" t="inlineStr">
        <is>
          <t>Online</t>
        </is>
      </c>
      <c r="G1410" t="inlineStr">
        <is>
          <t>Furniture</t>
        </is>
      </c>
      <c r="H1410" t="inlineStr">
        <is>
          <t>Storage Cabinet</t>
        </is>
      </c>
      <c r="I1410" t="n">
        <v>1</v>
      </c>
      <c r="J1410" s="12" t="n">
        <v>8375.780000000001</v>
      </c>
      <c r="K1410" s="13" t="n">
        <v>0.1</v>
      </c>
      <c r="L1410" s="12" t="n">
        <v>7538.2</v>
      </c>
      <c r="M1410" s="12" t="n">
        <v>6700.62</v>
      </c>
      <c r="N1410" s="12" t="n">
        <v>837.58</v>
      </c>
      <c r="O1410" t="inlineStr">
        <is>
          <t>UPI</t>
        </is>
      </c>
      <c r="P1410" t="inlineStr">
        <is>
          <t>Kabir Singh</t>
        </is>
      </c>
    </row>
    <row r="1411">
      <c r="A1411" t="inlineStr">
        <is>
          <t>ORD-2502-1410</t>
        </is>
      </c>
      <c r="B1411" s="11" t="n">
        <v>45710</v>
      </c>
      <c r="C1411" t="inlineStr">
        <is>
          <t>Central</t>
        </is>
      </c>
      <c r="D1411" t="inlineStr">
        <is>
          <t>Indore</t>
        </is>
      </c>
      <c r="E1411" t="inlineStr">
        <is>
          <t>Corporate</t>
        </is>
      </c>
      <c r="F1411" t="inlineStr">
        <is>
          <t>Online</t>
        </is>
      </c>
      <c r="G1411" t="inlineStr">
        <is>
          <t>Office Supplies</t>
        </is>
      </c>
      <c r="H1411" t="inlineStr">
        <is>
          <t>Paper Ream</t>
        </is>
      </c>
      <c r="I1411" t="n">
        <v>2</v>
      </c>
      <c r="J1411" s="12" t="n">
        <v>451.74</v>
      </c>
      <c r="K1411" s="13" t="n">
        <v>0.1</v>
      </c>
      <c r="L1411" s="12" t="n">
        <v>813.13</v>
      </c>
      <c r="M1411" s="12" t="n">
        <v>695.6799999999999</v>
      </c>
      <c r="N1411" s="12" t="n">
        <v>117.45</v>
      </c>
      <c r="O1411" t="inlineStr">
        <is>
          <t>Debit Card</t>
        </is>
      </c>
      <c r="P1411" t="inlineStr">
        <is>
          <t>Sara Khan</t>
        </is>
      </c>
    </row>
    <row r="1412">
      <c r="A1412" t="inlineStr">
        <is>
          <t>ORD-2502-1411</t>
        </is>
      </c>
      <c r="B1412" s="11" t="n">
        <v>45693</v>
      </c>
      <c r="C1412" t="inlineStr">
        <is>
          <t>West</t>
        </is>
      </c>
      <c r="D1412" t="inlineStr">
        <is>
          <t>Surat</t>
        </is>
      </c>
      <c r="E1412" t="inlineStr">
        <is>
          <t>Small Business</t>
        </is>
      </c>
      <c r="F1412" t="inlineStr">
        <is>
          <t>Online</t>
        </is>
      </c>
      <c r="G1412" t="inlineStr">
        <is>
          <t>Furniture</t>
        </is>
      </c>
      <c r="H1412" t="inlineStr">
        <is>
          <t>Storage Cabinet</t>
        </is>
      </c>
      <c r="I1412" t="n">
        <v>1</v>
      </c>
      <c r="J1412" s="12" t="n">
        <v>9312.57</v>
      </c>
      <c r="K1412" s="13" t="n">
        <v>0.05</v>
      </c>
      <c r="L1412" s="12" t="n">
        <v>8846.940000000001</v>
      </c>
      <c r="M1412" s="12" t="n">
        <v>7450.06</v>
      </c>
      <c r="N1412" s="12" t="n">
        <v>1396.88</v>
      </c>
      <c r="O1412" t="inlineStr">
        <is>
          <t>Cash</t>
        </is>
      </c>
      <c r="P1412" t="inlineStr">
        <is>
          <t>Diya Patel</t>
        </is>
      </c>
    </row>
    <row r="1413">
      <c r="A1413" t="inlineStr">
        <is>
          <t>ORD-2504-1412</t>
        </is>
      </c>
      <c r="B1413" s="11" t="n">
        <v>45764</v>
      </c>
      <c r="C1413" t="inlineStr">
        <is>
          <t>West</t>
        </is>
      </c>
      <c r="D1413" t="inlineStr">
        <is>
          <t>Pune</t>
        </is>
      </c>
      <c r="E1413" t="inlineStr">
        <is>
          <t>Consumer</t>
        </is>
      </c>
      <c r="F1413" t="inlineStr">
        <is>
          <t>Partner</t>
        </is>
      </c>
      <c r="G1413" t="inlineStr">
        <is>
          <t>Technology</t>
        </is>
      </c>
      <c r="H1413" t="inlineStr">
        <is>
          <t>Monitor</t>
        </is>
      </c>
      <c r="I1413" t="n">
        <v>4</v>
      </c>
      <c r="J1413" s="12" t="n">
        <v>11954.79</v>
      </c>
      <c r="K1413" s="13" t="n">
        <v>0.15</v>
      </c>
      <c r="L1413" s="12" t="n">
        <v>40646.29</v>
      </c>
      <c r="M1413" s="12" t="n">
        <v>39211.71</v>
      </c>
      <c r="N1413" s="12" t="n">
        <v>1434.58</v>
      </c>
      <c r="O1413" t="inlineStr">
        <is>
          <t>Cash</t>
        </is>
      </c>
      <c r="P1413" t="inlineStr">
        <is>
          <t>Aarav Sharma</t>
        </is>
      </c>
    </row>
    <row r="1414">
      <c r="A1414" t="inlineStr">
        <is>
          <t>ORD-2501-1413</t>
        </is>
      </c>
      <c r="B1414" s="11" t="n">
        <v>45684</v>
      </c>
      <c r="C1414" t="inlineStr">
        <is>
          <t>South</t>
        </is>
      </c>
      <c r="D1414" t="inlineStr">
        <is>
          <t>Kochi</t>
        </is>
      </c>
      <c r="E1414" t="inlineStr">
        <is>
          <t>Consumer</t>
        </is>
      </c>
      <c r="F1414" t="inlineStr">
        <is>
          <t>Partner</t>
        </is>
      </c>
      <c r="G1414" t="inlineStr">
        <is>
          <t>Technology</t>
        </is>
      </c>
      <c r="H1414" t="inlineStr">
        <is>
          <t>Laptop</t>
        </is>
      </c>
      <c r="I1414" t="n">
        <v>1</v>
      </c>
      <c r="J1414" s="12" t="n">
        <v>45023.77</v>
      </c>
      <c r="K1414" s="13" t="n">
        <v>0.1</v>
      </c>
      <c r="L1414" s="12" t="n">
        <v>40521.39</v>
      </c>
      <c r="M1414" s="12" t="n">
        <v>39620.92</v>
      </c>
      <c r="N1414" s="12" t="n">
        <v>900.47</v>
      </c>
      <c r="O1414" t="inlineStr">
        <is>
          <t>Net Banking</t>
        </is>
      </c>
      <c r="P1414" t="inlineStr">
        <is>
          <t>Sara Khan</t>
        </is>
      </c>
    </row>
    <row r="1415">
      <c r="A1415" t="inlineStr">
        <is>
          <t>ORD-2507-1414</t>
        </is>
      </c>
      <c r="B1415" s="11" t="n">
        <v>45856</v>
      </c>
      <c r="C1415" t="inlineStr">
        <is>
          <t>West</t>
        </is>
      </c>
      <c r="D1415" t="inlineStr">
        <is>
          <t>Mumbai</t>
        </is>
      </c>
      <c r="E1415" t="inlineStr">
        <is>
          <t>Small Business</t>
        </is>
      </c>
      <c r="F1415" t="inlineStr">
        <is>
          <t>Retail Store</t>
        </is>
      </c>
      <c r="G1415" t="inlineStr">
        <is>
          <t>Furniture</t>
        </is>
      </c>
      <c r="H1415" t="inlineStr">
        <is>
          <t>Storage Cabinet</t>
        </is>
      </c>
      <c r="I1415" t="n">
        <v>4</v>
      </c>
      <c r="J1415" s="12" t="n">
        <v>9141.57</v>
      </c>
      <c r="K1415" s="13" t="n">
        <v>0.05</v>
      </c>
      <c r="L1415" s="12" t="n">
        <v>34737.97</v>
      </c>
      <c r="M1415" s="12" t="n">
        <v>29253.02</v>
      </c>
      <c r="N1415" s="12" t="n">
        <v>5484.95</v>
      </c>
      <c r="O1415" t="inlineStr">
        <is>
          <t>Cash</t>
        </is>
      </c>
      <c r="P1415" t="inlineStr">
        <is>
          <t>Diya Patel</t>
        </is>
      </c>
    </row>
    <row r="1416">
      <c r="A1416" t="inlineStr">
        <is>
          <t>ORD-2501-1415</t>
        </is>
      </c>
      <c r="B1416" s="11" t="n">
        <v>45678</v>
      </c>
      <c r="C1416" t="inlineStr">
        <is>
          <t>South</t>
        </is>
      </c>
      <c r="D1416" t="inlineStr">
        <is>
          <t>Bengaluru</t>
        </is>
      </c>
      <c r="E1416" t="inlineStr">
        <is>
          <t>Consumer</t>
        </is>
      </c>
      <c r="F1416" t="inlineStr">
        <is>
          <t>Partner</t>
        </is>
      </c>
      <c r="G1416" t="inlineStr">
        <is>
          <t>Technology</t>
        </is>
      </c>
      <c r="H1416" t="inlineStr">
        <is>
          <t>Printer</t>
        </is>
      </c>
      <c r="I1416" t="n">
        <v>2</v>
      </c>
      <c r="J1416" s="12" t="n">
        <v>9271.059999999999</v>
      </c>
      <c r="K1416" s="13" t="n">
        <v>0.05</v>
      </c>
      <c r="L1416" s="12" t="n">
        <v>17615.01</v>
      </c>
      <c r="M1416" s="12" t="n">
        <v>15575.38</v>
      </c>
      <c r="N1416" s="12" t="n">
        <v>2039.63</v>
      </c>
      <c r="O1416" t="inlineStr">
        <is>
          <t>Net Banking</t>
        </is>
      </c>
      <c r="P1416" t="inlineStr">
        <is>
          <t>Kabir Singh</t>
        </is>
      </c>
    </row>
    <row r="1417">
      <c r="A1417" t="inlineStr">
        <is>
          <t>ORD-2507-1416</t>
        </is>
      </c>
      <c r="B1417" s="11" t="n">
        <v>45861</v>
      </c>
      <c r="C1417" t="inlineStr">
        <is>
          <t>South</t>
        </is>
      </c>
      <c r="D1417" t="inlineStr">
        <is>
          <t>Chennai</t>
        </is>
      </c>
      <c r="E1417" t="inlineStr">
        <is>
          <t>Corporate</t>
        </is>
      </c>
      <c r="F1417" t="inlineStr">
        <is>
          <t>Partner</t>
        </is>
      </c>
      <c r="G1417" t="inlineStr">
        <is>
          <t>Furniture</t>
        </is>
      </c>
      <c r="H1417" t="inlineStr">
        <is>
          <t>Storage Cabinet</t>
        </is>
      </c>
      <c r="I1417" t="n">
        <v>1</v>
      </c>
      <c r="J1417" s="12" t="n">
        <v>9074.860000000001</v>
      </c>
      <c r="K1417" s="13" t="n">
        <v>0.1</v>
      </c>
      <c r="L1417" s="12" t="n">
        <v>8167.37</v>
      </c>
      <c r="M1417" s="12" t="n">
        <v>7259.89</v>
      </c>
      <c r="N1417" s="12" t="n">
        <v>907.48</v>
      </c>
      <c r="O1417" t="inlineStr">
        <is>
          <t>Net Banking</t>
        </is>
      </c>
      <c r="P1417" t="inlineStr">
        <is>
          <t>Vivaan Gupta</t>
        </is>
      </c>
    </row>
    <row r="1418">
      <c r="A1418" t="inlineStr">
        <is>
          <t>ORD-2503-1417</t>
        </is>
      </c>
      <c r="B1418" s="11" t="n">
        <v>45739</v>
      </c>
      <c r="C1418" t="inlineStr">
        <is>
          <t>South</t>
        </is>
      </c>
      <c r="D1418" t="inlineStr">
        <is>
          <t>Hyderabad</t>
        </is>
      </c>
      <c r="E1418" t="inlineStr">
        <is>
          <t>Small Business</t>
        </is>
      </c>
      <c r="F1418" t="inlineStr">
        <is>
          <t>Retail Store</t>
        </is>
      </c>
      <c r="G1418" t="inlineStr">
        <is>
          <t>Furniture</t>
        </is>
      </c>
      <c r="H1418" t="inlineStr">
        <is>
          <t>Office Chair</t>
        </is>
      </c>
      <c r="I1418" t="n">
        <v>1</v>
      </c>
      <c r="J1418" s="12" t="n">
        <v>6683.18</v>
      </c>
      <c r="K1418" s="13" t="n">
        <v>0.15</v>
      </c>
      <c r="L1418" s="12" t="n">
        <v>5680.7</v>
      </c>
      <c r="M1418" s="12" t="n">
        <v>4811.89</v>
      </c>
      <c r="N1418" s="12" t="n">
        <v>868.8099999999999</v>
      </c>
      <c r="O1418" t="inlineStr">
        <is>
          <t>Debit Card</t>
        </is>
      </c>
      <c r="P1418" t="inlineStr">
        <is>
          <t>Aarav Sharma</t>
        </is>
      </c>
    </row>
    <row r="1419">
      <c r="A1419" t="inlineStr">
        <is>
          <t>ORD-2508-1418</t>
        </is>
      </c>
      <c r="B1419" s="11" t="n">
        <v>45886</v>
      </c>
      <c r="C1419" t="inlineStr">
        <is>
          <t>Central</t>
        </is>
      </c>
      <c r="D1419" t="inlineStr">
        <is>
          <t>Nagpur</t>
        </is>
      </c>
      <c r="E1419" t="inlineStr">
        <is>
          <t>Small Business</t>
        </is>
      </c>
      <c r="F1419" t="inlineStr">
        <is>
          <t>Online</t>
        </is>
      </c>
      <c r="G1419" t="inlineStr">
        <is>
          <t>Technology</t>
        </is>
      </c>
      <c r="H1419" t="inlineStr">
        <is>
          <t>Printer</t>
        </is>
      </c>
      <c r="I1419" t="n">
        <v>1</v>
      </c>
      <c r="J1419" s="12" t="n">
        <v>9963.049999999999</v>
      </c>
      <c r="K1419" s="13" t="n">
        <v>0</v>
      </c>
      <c r="L1419" s="12" t="n">
        <v>9963.049999999999</v>
      </c>
      <c r="M1419" s="12" t="n">
        <v>8368.959999999999</v>
      </c>
      <c r="N1419" s="12" t="n">
        <v>1594.09</v>
      </c>
      <c r="O1419" t="inlineStr">
        <is>
          <t>UPI</t>
        </is>
      </c>
      <c r="P1419" t="inlineStr">
        <is>
          <t>Rohan Verma</t>
        </is>
      </c>
    </row>
    <row r="1420">
      <c r="A1420" t="inlineStr">
        <is>
          <t>ORD-2512-1419</t>
        </is>
      </c>
      <c r="B1420" s="11" t="n">
        <v>46011</v>
      </c>
      <c r="C1420" t="inlineStr">
        <is>
          <t>South</t>
        </is>
      </c>
      <c r="D1420" t="inlineStr">
        <is>
          <t>Hyderabad</t>
        </is>
      </c>
      <c r="E1420" t="inlineStr">
        <is>
          <t>Corporate</t>
        </is>
      </c>
      <c r="F1420" t="inlineStr">
        <is>
          <t>Online</t>
        </is>
      </c>
      <c r="G1420" t="inlineStr">
        <is>
          <t>Furniture</t>
        </is>
      </c>
      <c r="H1420" t="inlineStr">
        <is>
          <t>Office Chair</t>
        </is>
      </c>
      <c r="I1420" t="n">
        <v>3</v>
      </c>
      <c r="J1420" s="12" t="n">
        <v>6506.03</v>
      </c>
      <c r="K1420" s="13" t="n">
        <v>0.1</v>
      </c>
      <c r="L1420" s="12" t="n">
        <v>17566.28</v>
      </c>
      <c r="M1420" s="12" t="n">
        <v>14053.02</v>
      </c>
      <c r="N1420" s="12" t="n">
        <v>3513.26</v>
      </c>
      <c r="O1420" t="inlineStr">
        <is>
          <t>Cash</t>
        </is>
      </c>
      <c r="P1420" t="inlineStr">
        <is>
          <t>Aarav Sharma</t>
        </is>
      </c>
    </row>
    <row r="1421">
      <c r="A1421" t="inlineStr">
        <is>
          <t>ORD-2506-1420</t>
        </is>
      </c>
      <c r="B1421" s="11" t="n">
        <v>45816</v>
      </c>
      <c r="C1421" t="inlineStr">
        <is>
          <t>North</t>
        </is>
      </c>
      <c r="D1421" t="inlineStr">
        <is>
          <t>Jaipur</t>
        </is>
      </c>
      <c r="E1421" t="inlineStr">
        <is>
          <t>Small Business</t>
        </is>
      </c>
      <c r="F1421" t="inlineStr">
        <is>
          <t>Retail Store</t>
        </is>
      </c>
      <c r="G1421" t="inlineStr">
        <is>
          <t>Office Supplies</t>
        </is>
      </c>
      <c r="H1421" t="inlineStr">
        <is>
          <t>Stapler</t>
        </is>
      </c>
      <c r="I1421" t="n">
        <v>1</v>
      </c>
      <c r="J1421" s="12" t="n">
        <v>259.98</v>
      </c>
      <c r="K1421" s="13" t="n">
        <v>0.05</v>
      </c>
      <c r="L1421" s="12" t="n">
        <v>246.98</v>
      </c>
      <c r="M1421" s="12" t="n">
        <v>181.99</v>
      </c>
      <c r="N1421" s="12" t="n">
        <v>64.98999999999999</v>
      </c>
      <c r="O1421" t="inlineStr">
        <is>
          <t>Net Banking</t>
        </is>
      </c>
      <c r="P1421" t="inlineStr">
        <is>
          <t>Anaya Rao</t>
        </is>
      </c>
    </row>
    <row r="1422">
      <c r="A1422" t="inlineStr">
        <is>
          <t>ORD-2507-1421</t>
        </is>
      </c>
      <c r="B1422" s="11" t="n">
        <v>45858</v>
      </c>
      <c r="C1422" t="inlineStr">
        <is>
          <t>Central</t>
        </is>
      </c>
      <c r="D1422" t="inlineStr">
        <is>
          <t>Indore</t>
        </is>
      </c>
      <c r="E1422" t="inlineStr">
        <is>
          <t>Small Business</t>
        </is>
      </c>
      <c r="F1422" t="inlineStr">
        <is>
          <t>Online</t>
        </is>
      </c>
      <c r="G1422" t="inlineStr">
        <is>
          <t>Furniture</t>
        </is>
      </c>
      <c r="H1422" t="inlineStr">
        <is>
          <t>Bookshelf</t>
        </is>
      </c>
      <c r="I1422" t="n">
        <v>3</v>
      </c>
      <c r="J1422" s="12" t="n">
        <v>5445.44</v>
      </c>
      <c r="K1422" s="13" t="n">
        <v>0.1</v>
      </c>
      <c r="L1422" s="12" t="n">
        <v>14702.69</v>
      </c>
      <c r="M1422" s="12" t="n">
        <v>12088.88</v>
      </c>
      <c r="N1422" s="12" t="n">
        <v>2613.81</v>
      </c>
      <c r="O1422" t="inlineStr">
        <is>
          <t>Credit Card</t>
        </is>
      </c>
      <c r="P1422" t="inlineStr">
        <is>
          <t>Diya Patel</t>
        </is>
      </c>
    </row>
    <row r="1423">
      <c r="A1423" t="inlineStr">
        <is>
          <t>ORD-2501-1422</t>
        </is>
      </c>
      <c r="B1423" s="11" t="n">
        <v>45658</v>
      </c>
      <c r="C1423" t="inlineStr">
        <is>
          <t>North</t>
        </is>
      </c>
      <c r="D1423" t="inlineStr">
        <is>
          <t>Delhi</t>
        </is>
      </c>
      <c r="E1423" t="inlineStr">
        <is>
          <t>Corporate</t>
        </is>
      </c>
      <c r="F1423" t="inlineStr">
        <is>
          <t>Retail Store</t>
        </is>
      </c>
      <c r="G1423" t="inlineStr">
        <is>
          <t>Office Supplies</t>
        </is>
      </c>
      <c r="H1423" t="inlineStr">
        <is>
          <t>Stapler</t>
        </is>
      </c>
      <c r="I1423" t="n">
        <v>1</v>
      </c>
      <c r="J1423" s="12" t="n">
        <v>239.2</v>
      </c>
      <c r="K1423" s="13" t="n">
        <v>0</v>
      </c>
      <c r="L1423" s="12" t="n">
        <v>239.2</v>
      </c>
      <c r="M1423" s="12" t="n">
        <v>167.44</v>
      </c>
      <c r="N1423" s="12" t="n">
        <v>71.76000000000001</v>
      </c>
      <c r="O1423" t="inlineStr">
        <is>
          <t>Cash</t>
        </is>
      </c>
      <c r="P1423" t="inlineStr">
        <is>
          <t>Kabir Singh</t>
        </is>
      </c>
    </row>
    <row r="1424">
      <c r="A1424" t="inlineStr">
        <is>
          <t>ORD-2502-1423</t>
        </is>
      </c>
      <c r="B1424" s="11" t="n">
        <v>45707</v>
      </c>
      <c r="C1424" t="inlineStr">
        <is>
          <t>North</t>
        </is>
      </c>
      <c r="D1424" t="inlineStr">
        <is>
          <t>Chandigarh</t>
        </is>
      </c>
      <c r="E1424" t="inlineStr">
        <is>
          <t>Corporate</t>
        </is>
      </c>
      <c r="F1424" t="inlineStr">
        <is>
          <t>Online</t>
        </is>
      </c>
      <c r="G1424" t="inlineStr">
        <is>
          <t>Technology</t>
        </is>
      </c>
      <c r="H1424" t="inlineStr">
        <is>
          <t>Printer</t>
        </is>
      </c>
      <c r="I1424" t="n">
        <v>4</v>
      </c>
      <c r="J1424" s="12" t="n">
        <v>9867.610000000001</v>
      </c>
      <c r="K1424" s="13" t="n">
        <v>0.2</v>
      </c>
      <c r="L1424" s="12" t="n">
        <v>31576.35</v>
      </c>
      <c r="M1424" s="12" t="n">
        <v>33155.17</v>
      </c>
      <c r="N1424" s="12" t="n">
        <v>-1578.82</v>
      </c>
      <c r="O1424" t="inlineStr">
        <is>
          <t>Net Banking</t>
        </is>
      </c>
      <c r="P1424" t="inlineStr">
        <is>
          <t>Vivaan Gupta</t>
        </is>
      </c>
    </row>
    <row r="1425">
      <c r="A1425" t="inlineStr">
        <is>
          <t>ORD-2512-1424</t>
        </is>
      </c>
      <c r="B1425" s="11" t="n">
        <v>45992</v>
      </c>
      <c r="C1425" t="inlineStr">
        <is>
          <t>North</t>
        </is>
      </c>
      <c r="D1425" t="inlineStr">
        <is>
          <t>Chandigarh</t>
        </is>
      </c>
      <c r="E1425" t="inlineStr">
        <is>
          <t>Corporate</t>
        </is>
      </c>
      <c r="F1425" t="inlineStr">
        <is>
          <t>Online</t>
        </is>
      </c>
      <c r="G1425" t="inlineStr">
        <is>
          <t>Office Supplies</t>
        </is>
      </c>
      <c r="H1425" t="inlineStr">
        <is>
          <t>File Folder</t>
        </is>
      </c>
      <c r="I1425" t="n">
        <v>1</v>
      </c>
      <c r="J1425" s="12" t="n">
        <v>84.84</v>
      </c>
      <c r="K1425" s="13" t="n">
        <v>0</v>
      </c>
      <c r="L1425" s="12" t="n">
        <v>84.84</v>
      </c>
      <c r="M1425" s="12" t="n">
        <v>52.6</v>
      </c>
      <c r="N1425" s="12" t="n">
        <v>32.24</v>
      </c>
      <c r="O1425" t="inlineStr">
        <is>
          <t>Credit Card</t>
        </is>
      </c>
      <c r="P1425" t="inlineStr">
        <is>
          <t>Aarav Sharma</t>
        </is>
      </c>
    </row>
    <row r="1426">
      <c r="A1426" t="inlineStr">
        <is>
          <t>ORD-2509-1425</t>
        </is>
      </c>
      <c r="B1426" s="11" t="n">
        <v>45901</v>
      </c>
      <c r="C1426" t="inlineStr">
        <is>
          <t>South</t>
        </is>
      </c>
      <c r="D1426" t="inlineStr">
        <is>
          <t>Bengaluru</t>
        </is>
      </c>
      <c r="E1426" t="inlineStr">
        <is>
          <t>Small Business</t>
        </is>
      </c>
      <c r="F1426" t="inlineStr">
        <is>
          <t>Partner</t>
        </is>
      </c>
      <c r="G1426" t="inlineStr">
        <is>
          <t>Technology</t>
        </is>
      </c>
      <c r="H1426" t="inlineStr">
        <is>
          <t>Monitor</t>
        </is>
      </c>
      <c r="I1426" t="n">
        <v>1</v>
      </c>
      <c r="J1426" s="12" t="n">
        <v>13239.58</v>
      </c>
      <c r="K1426" s="13" t="n">
        <v>0</v>
      </c>
      <c r="L1426" s="12" t="n">
        <v>13239.58</v>
      </c>
      <c r="M1426" s="12" t="n">
        <v>10856.46</v>
      </c>
      <c r="N1426" s="12" t="n">
        <v>2383.12</v>
      </c>
      <c r="O1426" t="inlineStr">
        <is>
          <t>Cash</t>
        </is>
      </c>
      <c r="P1426" t="inlineStr">
        <is>
          <t>Rohan Verma</t>
        </is>
      </c>
    </row>
    <row r="1427">
      <c r="A1427" t="inlineStr">
        <is>
          <t>ORD-2505-1426</t>
        </is>
      </c>
      <c r="B1427" s="11" t="n">
        <v>45796</v>
      </c>
      <c r="C1427" t="inlineStr">
        <is>
          <t>North</t>
        </is>
      </c>
      <c r="D1427" t="inlineStr">
        <is>
          <t>Lucknow</t>
        </is>
      </c>
      <c r="E1427" t="inlineStr">
        <is>
          <t>Small Business</t>
        </is>
      </c>
      <c r="F1427" t="inlineStr">
        <is>
          <t>Retail Store</t>
        </is>
      </c>
      <c r="G1427" t="inlineStr">
        <is>
          <t>Technology</t>
        </is>
      </c>
      <c r="H1427" t="inlineStr">
        <is>
          <t>Monitor</t>
        </is>
      </c>
      <c r="I1427" t="n">
        <v>4</v>
      </c>
      <c r="J1427" s="12" t="n">
        <v>11630.32</v>
      </c>
      <c r="K1427" s="13" t="n">
        <v>0</v>
      </c>
      <c r="L1427" s="12" t="n">
        <v>46521.28</v>
      </c>
      <c r="M1427" s="12" t="n">
        <v>38147.45</v>
      </c>
      <c r="N1427" s="12" t="n">
        <v>8373.83</v>
      </c>
      <c r="O1427" t="inlineStr">
        <is>
          <t>Credit Card</t>
        </is>
      </c>
      <c r="P1427" t="inlineStr">
        <is>
          <t>Aarav Sharma</t>
        </is>
      </c>
    </row>
    <row r="1428">
      <c r="A1428" t="inlineStr">
        <is>
          <t>ORD-2509-1427</t>
        </is>
      </c>
      <c r="B1428" s="11" t="n">
        <v>45912</v>
      </c>
      <c r="C1428" t="inlineStr">
        <is>
          <t>West</t>
        </is>
      </c>
      <c r="D1428" t="inlineStr">
        <is>
          <t>Surat</t>
        </is>
      </c>
      <c r="E1428" t="inlineStr">
        <is>
          <t>Small Business</t>
        </is>
      </c>
      <c r="F1428" t="inlineStr">
        <is>
          <t>Online</t>
        </is>
      </c>
      <c r="G1428" t="inlineStr">
        <is>
          <t>Furniture</t>
        </is>
      </c>
      <c r="H1428" t="inlineStr">
        <is>
          <t>Desk</t>
        </is>
      </c>
      <c r="I1428" t="n">
        <v>1</v>
      </c>
      <c r="J1428" s="12" t="n">
        <v>12231.23</v>
      </c>
      <c r="K1428" s="13" t="n">
        <v>0</v>
      </c>
      <c r="L1428" s="12" t="n">
        <v>12231.23</v>
      </c>
      <c r="M1428" s="12" t="n">
        <v>9295.73</v>
      </c>
      <c r="N1428" s="12" t="n">
        <v>2935.5</v>
      </c>
      <c r="O1428" t="inlineStr">
        <is>
          <t>Net Banking</t>
        </is>
      </c>
      <c r="P1428" t="inlineStr">
        <is>
          <t>Rohan Verma</t>
        </is>
      </c>
    </row>
    <row r="1429">
      <c r="A1429" t="inlineStr">
        <is>
          <t>ORD-2509-1428</t>
        </is>
      </c>
      <c r="B1429" s="11" t="n">
        <v>45903</v>
      </c>
      <c r="C1429" t="inlineStr">
        <is>
          <t>South</t>
        </is>
      </c>
      <c r="D1429" t="inlineStr">
        <is>
          <t>Hyderabad</t>
        </is>
      </c>
      <c r="E1429" t="inlineStr">
        <is>
          <t>Small Business</t>
        </is>
      </c>
      <c r="F1429" t="inlineStr">
        <is>
          <t>Retail Store</t>
        </is>
      </c>
      <c r="G1429" t="inlineStr">
        <is>
          <t>Technology</t>
        </is>
      </c>
      <c r="H1429" t="inlineStr">
        <is>
          <t>Laptop</t>
        </is>
      </c>
      <c r="I1429" t="n">
        <v>4</v>
      </c>
      <c r="J1429" s="12" t="n">
        <v>39903.83</v>
      </c>
      <c r="K1429" s="13" t="n">
        <v>0.2</v>
      </c>
      <c r="L1429" s="12" t="n">
        <v>127692.26</v>
      </c>
      <c r="M1429" s="12" t="n">
        <v>140461.48</v>
      </c>
      <c r="N1429" s="12" t="n">
        <v>-12769.22</v>
      </c>
      <c r="O1429" t="inlineStr">
        <is>
          <t>Credit Card</t>
        </is>
      </c>
      <c r="P1429" t="inlineStr">
        <is>
          <t>Aarav Sharma</t>
        </is>
      </c>
    </row>
    <row r="1430">
      <c r="A1430" t="inlineStr">
        <is>
          <t>ORD-2510-1429</t>
        </is>
      </c>
      <c r="B1430" s="11" t="n">
        <v>45946</v>
      </c>
      <c r="C1430" t="inlineStr">
        <is>
          <t>West</t>
        </is>
      </c>
      <c r="D1430" t="inlineStr">
        <is>
          <t>Surat</t>
        </is>
      </c>
      <c r="E1430" t="inlineStr">
        <is>
          <t>Corporate</t>
        </is>
      </c>
      <c r="F1430" t="inlineStr">
        <is>
          <t>Online</t>
        </is>
      </c>
      <c r="G1430" t="inlineStr">
        <is>
          <t>Office Supplies</t>
        </is>
      </c>
      <c r="H1430" t="inlineStr">
        <is>
          <t>File Folder</t>
        </is>
      </c>
      <c r="I1430" t="n">
        <v>2</v>
      </c>
      <c r="J1430" s="12" t="n">
        <v>83.48</v>
      </c>
      <c r="K1430" s="13" t="n">
        <v>0.15</v>
      </c>
      <c r="L1430" s="12" t="n">
        <v>141.92</v>
      </c>
      <c r="M1430" s="12" t="n">
        <v>103.52</v>
      </c>
      <c r="N1430" s="12" t="n">
        <v>38.4</v>
      </c>
      <c r="O1430" t="inlineStr">
        <is>
          <t>Cash</t>
        </is>
      </c>
      <c r="P1430" t="inlineStr">
        <is>
          <t>Sara Khan</t>
        </is>
      </c>
    </row>
    <row r="1431">
      <c r="A1431" t="inlineStr">
        <is>
          <t>ORD-2508-1430</t>
        </is>
      </c>
      <c r="B1431" s="11" t="n">
        <v>45891</v>
      </c>
      <c r="C1431" t="inlineStr">
        <is>
          <t>West</t>
        </is>
      </c>
      <c r="D1431" t="inlineStr">
        <is>
          <t>Pune</t>
        </is>
      </c>
      <c r="E1431" t="inlineStr">
        <is>
          <t>Consumer</t>
        </is>
      </c>
      <c r="F1431" t="inlineStr">
        <is>
          <t>Retail Store</t>
        </is>
      </c>
      <c r="G1431" t="inlineStr">
        <is>
          <t>Furniture</t>
        </is>
      </c>
      <c r="H1431" t="inlineStr">
        <is>
          <t>Office Chair</t>
        </is>
      </c>
      <c r="I1431" t="n">
        <v>4</v>
      </c>
      <c r="J1431" s="12" t="n">
        <v>6855.51</v>
      </c>
      <c r="K1431" s="13" t="n">
        <v>0.05</v>
      </c>
      <c r="L1431" s="12" t="n">
        <v>26050.94</v>
      </c>
      <c r="M1431" s="12" t="n">
        <v>19743.87</v>
      </c>
      <c r="N1431" s="12" t="n">
        <v>6307.07</v>
      </c>
      <c r="O1431" t="inlineStr">
        <is>
          <t>Net Banking</t>
        </is>
      </c>
      <c r="P1431" t="inlineStr">
        <is>
          <t>Vivaan Gupta</t>
        </is>
      </c>
    </row>
    <row r="1432">
      <c r="A1432" t="inlineStr">
        <is>
          <t>ORD-2503-1431</t>
        </is>
      </c>
      <c r="B1432" s="11" t="n">
        <v>45747</v>
      </c>
      <c r="C1432" t="inlineStr">
        <is>
          <t>Central</t>
        </is>
      </c>
      <c r="D1432" t="inlineStr">
        <is>
          <t>Nagpur</t>
        </is>
      </c>
      <c r="E1432" t="inlineStr">
        <is>
          <t>Small Business</t>
        </is>
      </c>
      <c r="F1432" t="inlineStr">
        <is>
          <t>Retail Store</t>
        </is>
      </c>
      <c r="G1432" t="inlineStr">
        <is>
          <t>Furniture</t>
        </is>
      </c>
      <c r="H1432" t="inlineStr">
        <is>
          <t>Office Chair</t>
        </is>
      </c>
      <c r="I1432" t="n">
        <v>3</v>
      </c>
      <c r="J1432" s="12" t="n">
        <v>6574.19</v>
      </c>
      <c r="K1432" s="13" t="n">
        <v>0.05</v>
      </c>
      <c r="L1432" s="12" t="n">
        <v>18736.44</v>
      </c>
      <c r="M1432" s="12" t="n">
        <v>14200.25</v>
      </c>
      <c r="N1432" s="12" t="n">
        <v>4536.19</v>
      </c>
      <c r="O1432" t="inlineStr">
        <is>
          <t>Cash</t>
        </is>
      </c>
      <c r="P1432" t="inlineStr">
        <is>
          <t>Vivaan Gupta</t>
        </is>
      </c>
    </row>
    <row r="1433">
      <c r="A1433" t="inlineStr">
        <is>
          <t>ORD-2507-1432</t>
        </is>
      </c>
      <c r="B1433" s="11" t="n">
        <v>45842</v>
      </c>
      <c r="C1433" t="inlineStr">
        <is>
          <t>West</t>
        </is>
      </c>
      <c r="D1433" t="inlineStr">
        <is>
          <t>Mumbai</t>
        </is>
      </c>
      <c r="E1433" t="inlineStr">
        <is>
          <t>Small Business</t>
        </is>
      </c>
      <c r="F1433" t="inlineStr">
        <is>
          <t>Retail Store</t>
        </is>
      </c>
      <c r="G1433" t="inlineStr">
        <is>
          <t>Office Supplies</t>
        </is>
      </c>
      <c r="H1433" t="inlineStr">
        <is>
          <t>Notebook Pack</t>
        </is>
      </c>
      <c r="I1433" t="n">
        <v>2</v>
      </c>
      <c r="J1433" s="12" t="n">
        <v>373.78</v>
      </c>
      <c r="K1433" s="13" t="n">
        <v>0</v>
      </c>
      <c r="L1433" s="12" t="n">
        <v>747.5599999999999</v>
      </c>
      <c r="M1433" s="12" t="n">
        <v>508.34</v>
      </c>
      <c r="N1433" s="12" t="n">
        <v>239.22</v>
      </c>
      <c r="O1433" t="inlineStr">
        <is>
          <t>Debit Card</t>
        </is>
      </c>
      <c r="P1433" t="inlineStr">
        <is>
          <t>Kabir Singh</t>
        </is>
      </c>
    </row>
    <row r="1434">
      <c r="A1434" t="inlineStr">
        <is>
          <t>ORD-2501-1433</t>
        </is>
      </c>
      <c r="B1434" s="11" t="n">
        <v>45679</v>
      </c>
      <c r="C1434" t="inlineStr">
        <is>
          <t>East</t>
        </is>
      </c>
      <c r="D1434" t="inlineStr">
        <is>
          <t>Patna</t>
        </is>
      </c>
      <c r="E1434" t="inlineStr">
        <is>
          <t>Small Business</t>
        </is>
      </c>
      <c r="F1434" t="inlineStr">
        <is>
          <t>Online</t>
        </is>
      </c>
      <c r="G1434" t="inlineStr">
        <is>
          <t>Office Supplies</t>
        </is>
      </c>
      <c r="H1434" t="inlineStr">
        <is>
          <t>Notebook Pack</t>
        </is>
      </c>
      <c r="I1434" t="n">
        <v>2</v>
      </c>
      <c r="J1434" s="12" t="n">
        <v>363.71</v>
      </c>
      <c r="K1434" s="13" t="n">
        <v>0.1</v>
      </c>
      <c r="L1434" s="12" t="n">
        <v>654.6799999999999</v>
      </c>
      <c r="M1434" s="12" t="n">
        <v>494.65</v>
      </c>
      <c r="N1434" s="12" t="n">
        <v>160.03</v>
      </c>
      <c r="O1434" t="inlineStr">
        <is>
          <t>UPI</t>
        </is>
      </c>
      <c r="P1434" t="inlineStr">
        <is>
          <t>Vivaan Gupta</t>
        </is>
      </c>
    </row>
    <row r="1435">
      <c r="A1435" t="inlineStr">
        <is>
          <t>ORD-2502-1434</t>
        </is>
      </c>
      <c r="B1435" s="11" t="n">
        <v>45699</v>
      </c>
      <c r="C1435" t="inlineStr">
        <is>
          <t>West</t>
        </is>
      </c>
      <c r="D1435" t="inlineStr">
        <is>
          <t>Mumbai</t>
        </is>
      </c>
      <c r="E1435" t="inlineStr">
        <is>
          <t>Corporate</t>
        </is>
      </c>
      <c r="F1435" t="inlineStr">
        <is>
          <t>Partner</t>
        </is>
      </c>
      <c r="G1435" t="inlineStr">
        <is>
          <t>Furniture</t>
        </is>
      </c>
      <c r="H1435" t="inlineStr">
        <is>
          <t>Storage Cabinet</t>
        </is>
      </c>
      <c r="I1435" t="n">
        <v>3</v>
      </c>
      <c r="J1435" s="12" t="n">
        <v>9007.459999999999</v>
      </c>
      <c r="K1435" s="13" t="n">
        <v>0.1</v>
      </c>
      <c r="L1435" s="12" t="n">
        <v>24320.14</v>
      </c>
      <c r="M1435" s="12" t="n">
        <v>21617.9</v>
      </c>
      <c r="N1435" s="12" t="n">
        <v>2702.24</v>
      </c>
      <c r="O1435" t="inlineStr">
        <is>
          <t>UPI</t>
        </is>
      </c>
      <c r="P1435" t="inlineStr">
        <is>
          <t>Meera Joshi</t>
        </is>
      </c>
    </row>
    <row r="1436">
      <c r="A1436" t="inlineStr">
        <is>
          <t>ORD-2512-1435</t>
        </is>
      </c>
      <c r="B1436" s="11" t="n">
        <v>46008</v>
      </c>
      <c r="C1436" t="inlineStr">
        <is>
          <t>East</t>
        </is>
      </c>
      <c r="D1436" t="inlineStr">
        <is>
          <t>Guwahati</t>
        </is>
      </c>
      <c r="E1436" t="inlineStr">
        <is>
          <t>Corporate</t>
        </is>
      </c>
      <c r="F1436" t="inlineStr">
        <is>
          <t>Partner</t>
        </is>
      </c>
      <c r="G1436" t="inlineStr">
        <is>
          <t>Technology</t>
        </is>
      </c>
      <c r="H1436" t="inlineStr">
        <is>
          <t>Monitor</t>
        </is>
      </c>
      <c r="I1436" t="n">
        <v>2</v>
      </c>
      <c r="J1436" s="12" t="n">
        <v>12246.64</v>
      </c>
      <c r="K1436" s="13" t="n">
        <v>0.15</v>
      </c>
      <c r="L1436" s="12" t="n">
        <v>20819.29</v>
      </c>
      <c r="M1436" s="12" t="n">
        <v>20084.49</v>
      </c>
      <c r="N1436" s="12" t="n">
        <v>734.8</v>
      </c>
      <c r="O1436" t="inlineStr">
        <is>
          <t>Debit Card</t>
        </is>
      </c>
      <c r="P1436" t="inlineStr">
        <is>
          <t>Meera Joshi</t>
        </is>
      </c>
    </row>
    <row r="1437">
      <c r="A1437" t="inlineStr">
        <is>
          <t>ORD-2510-1436</t>
        </is>
      </c>
      <c r="B1437" s="11" t="n">
        <v>45953</v>
      </c>
      <c r="C1437" t="inlineStr">
        <is>
          <t>East</t>
        </is>
      </c>
      <c r="D1437" t="inlineStr">
        <is>
          <t>Guwahati</t>
        </is>
      </c>
      <c r="E1437" t="inlineStr">
        <is>
          <t>Corporate</t>
        </is>
      </c>
      <c r="F1437" t="inlineStr">
        <is>
          <t>Online</t>
        </is>
      </c>
      <c r="G1437" t="inlineStr">
        <is>
          <t>Office Supplies</t>
        </is>
      </c>
      <c r="H1437" t="inlineStr">
        <is>
          <t>Paper Ream</t>
        </is>
      </c>
      <c r="I1437" t="n">
        <v>4</v>
      </c>
      <c r="J1437" s="12" t="n">
        <v>429.44</v>
      </c>
      <c r="K1437" s="13" t="n">
        <v>0</v>
      </c>
      <c r="L1437" s="12" t="n">
        <v>1717.76</v>
      </c>
      <c r="M1437" s="12" t="n">
        <v>1322.68</v>
      </c>
      <c r="N1437" s="12" t="n">
        <v>395.08</v>
      </c>
      <c r="O1437" t="inlineStr">
        <is>
          <t>UPI</t>
        </is>
      </c>
      <c r="P1437" t="inlineStr">
        <is>
          <t>Aarav Sharma</t>
        </is>
      </c>
    </row>
    <row r="1438">
      <c r="A1438" t="inlineStr">
        <is>
          <t>ORD-2509-1437</t>
        </is>
      </c>
      <c r="B1438" s="11" t="n">
        <v>45916</v>
      </c>
      <c r="C1438" t="inlineStr">
        <is>
          <t>North</t>
        </is>
      </c>
      <c r="D1438" t="inlineStr">
        <is>
          <t>Lucknow</t>
        </is>
      </c>
      <c r="E1438" t="inlineStr">
        <is>
          <t>Corporate</t>
        </is>
      </c>
      <c r="F1438" t="inlineStr">
        <is>
          <t>Retail Store</t>
        </is>
      </c>
      <c r="G1438" t="inlineStr">
        <is>
          <t>Technology</t>
        </is>
      </c>
      <c r="H1438" t="inlineStr">
        <is>
          <t>Keyboard</t>
        </is>
      </c>
      <c r="I1438" t="n">
        <v>6</v>
      </c>
      <c r="J1438" s="12" t="n">
        <v>1356.67</v>
      </c>
      <c r="K1438" s="13" t="n">
        <v>0.1</v>
      </c>
      <c r="L1438" s="12" t="n">
        <v>7326.02</v>
      </c>
      <c r="M1438" s="12" t="n">
        <v>6105.02</v>
      </c>
      <c r="N1438" s="12" t="n">
        <v>1221</v>
      </c>
      <c r="O1438" t="inlineStr">
        <is>
          <t>UPI</t>
        </is>
      </c>
      <c r="P1438" t="inlineStr">
        <is>
          <t>Diya Patel</t>
        </is>
      </c>
    </row>
    <row r="1439">
      <c r="A1439" t="inlineStr">
        <is>
          <t>ORD-2504-1438</t>
        </is>
      </c>
      <c r="B1439" s="11" t="n">
        <v>45755</v>
      </c>
      <c r="C1439" t="inlineStr">
        <is>
          <t>North</t>
        </is>
      </c>
      <c r="D1439" t="inlineStr">
        <is>
          <t>Delhi</t>
        </is>
      </c>
      <c r="E1439" t="inlineStr">
        <is>
          <t>Small Business</t>
        </is>
      </c>
      <c r="F1439" t="inlineStr">
        <is>
          <t>Online</t>
        </is>
      </c>
      <c r="G1439" t="inlineStr">
        <is>
          <t>Technology</t>
        </is>
      </c>
      <c r="H1439" t="inlineStr">
        <is>
          <t>Laptop</t>
        </is>
      </c>
      <c r="I1439" t="n">
        <v>2</v>
      </c>
      <c r="J1439" s="12" t="n">
        <v>44201.85</v>
      </c>
      <c r="K1439" s="13" t="n">
        <v>0</v>
      </c>
      <c r="L1439" s="12" t="n">
        <v>88403.7</v>
      </c>
      <c r="M1439" s="12" t="n">
        <v>77795.25999999999</v>
      </c>
      <c r="N1439" s="12" t="n">
        <v>10608.44</v>
      </c>
      <c r="O1439" t="inlineStr">
        <is>
          <t>Credit Card</t>
        </is>
      </c>
      <c r="P1439" t="inlineStr">
        <is>
          <t>Rohan Verma</t>
        </is>
      </c>
    </row>
    <row r="1440">
      <c r="A1440" t="inlineStr">
        <is>
          <t>ORD-2508-1439</t>
        </is>
      </c>
      <c r="B1440" s="11" t="n">
        <v>45889</v>
      </c>
      <c r="C1440" t="inlineStr">
        <is>
          <t>North</t>
        </is>
      </c>
      <c r="D1440" t="inlineStr">
        <is>
          <t>Lucknow</t>
        </is>
      </c>
      <c r="E1440" t="inlineStr">
        <is>
          <t>Corporate</t>
        </is>
      </c>
      <c r="F1440" t="inlineStr">
        <is>
          <t>Retail Store</t>
        </is>
      </c>
      <c r="G1440" t="inlineStr">
        <is>
          <t>Furniture</t>
        </is>
      </c>
      <c r="H1440" t="inlineStr">
        <is>
          <t>Office Chair</t>
        </is>
      </c>
      <c r="I1440" t="n">
        <v>4</v>
      </c>
      <c r="J1440" s="12" t="n">
        <v>6906.15</v>
      </c>
      <c r="K1440" s="13" t="n">
        <v>0</v>
      </c>
      <c r="L1440" s="12" t="n">
        <v>27624.6</v>
      </c>
      <c r="M1440" s="12" t="n">
        <v>19889.71</v>
      </c>
      <c r="N1440" s="12" t="n">
        <v>7734.89</v>
      </c>
      <c r="O1440" t="inlineStr">
        <is>
          <t>Net Banking</t>
        </is>
      </c>
      <c r="P1440" t="inlineStr">
        <is>
          <t>Meera Joshi</t>
        </is>
      </c>
    </row>
    <row r="1441">
      <c r="A1441" t="inlineStr">
        <is>
          <t>ORD-2506-1440</t>
        </is>
      </c>
      <c r="B1441" s="11" t="n">
        <v>45813</v>
      </c>
      <c r="C1441" t="inlineStr">
        <is>
          <t>West</t>
        </is>
      </c>
      <c r="D1441" t="inlineStr">
        <is>
          <t>Surat</t>
        </is>
      </c>
      <c r="E1441" t="inlineStr">
        <is>
          <t>Consumer</t>
        </is>
      </c>
      <c r="F1441" t="inlineStr">
        <is>
          <t>Retail Store</t>
        </is>
      </c>
      <c r="G1441" t="inlineStr">
        <is>
          <t>Office Supplies</t>
        </is>
      </c>
      <c r="H1441" t="inlineStr">
        <is>
          <t>Pens Box</t>
        </is>
      </c>
      <c r="I1441" t="n">
        <v>3</v>
      </c>
      <c r="J1441" s="12" t="n">
        <v>179.75</v>
      </c>
      <c r="K1441" s="13" t="n">
        <v>0</v>
      </c>
      <c r="L1441" s="12" t="n">
        <v>539.25</v>
      </c>
      <c r="M1441" s="12" t="n">
        <v>350.51</v>
      </c>
      <c r="N1441" s="12" t="n">
        <v>188.74</v>
      </c>
      <c r="O1441" t="inlineStr">
        <is>
          <t>Net Banking</t>
        </is>
      </c>
      <c r="P1441" t="inlineStr">
        <is>
          <t>Sara Khan</t>
        </is>
      </c>
    </row>
    <row r="1442">
      <c r="A1442" t="inlineStr">
        <is>
          <t>ORD-2501-1441</t>
        </is>
      </c>
      <c r="B1442" s="11" t="n">
        <v>45673</v>
      </c>
      <c r="C1442" t="inlineStr">
        <is>
          <t>East</t>
        </is>
      </c>
      <c r="D1442" t="inlineStr">
        <is>
          <t>Guwahati</t>
        </is>
      </c>
      <c r="E1442" t="inlineStr">
        <is>
          <t>Corporate</t>
        </is>
      </c>
      <c r="F1442" t="inlineStr">
        <is>
          <t>Partner</t>
        </is>
      </c>
      <c r="G1442" t="inlineStr">
        <is>
          <t>Office Supplies</t>
        </is>
      </c>
      <c r="H1442" t="inlineStr">
        <is>
          <t>Stapler</t>
        </is>
      </c>
      <c r="I1442" t="n">
        <v>5</v>
      </c>
      <c r="J1442" s="12" t="n">
        <v>271.22</v>
      </c>
      <c r="K1442" s="13" t="n">
        <v>0.1</v>
      </c>
      <c r="L1442" s="12" t="n">
        <v>1220.49</v>
      </c>
      <c r="M1442" s="12" t="n">
        <v>949.27</v>
      </c>
      <c r="N1442" s="12" t="n">
        <v>271.22</v>
      </c>
      <c r="O1442" t="inlineStr">
        <is>
          <t>Cash</t>
        </is>
      </c>
      <c r="P1442" t="inlineStr">
        <is>
          <t>Sara Khan</t>
        </is>
      </c>
    </row>
    <row r="1443">
      <c r="A1443" t="inlineStr">
        <is>
          <t>ORD-2512-1442</t>
        </is>
      </c>
      <c r="B1443" s="11" t="n">
        <v>46008</v>
      </c>
      <c r="C1443" t="inlineStr">
        <is>
          <t>West</t>
        </is>
      </c>
      <c r="D1443" t="inlineStr">
        <is>
          <t>Mumbai</t>
        </is>
      </c>
      <c r="E1443" t="inlineStr">
        <is>
          <t>Corporate</t>
        </is>
      </c>
      <c r="F1443" t="inlineStr">
        <is>
          <t>Retail Store</t>
        </is>
      </c>
      <c r="G1443" t="inlineStr">
        <is>
          <t>Furniture</t>
        </is>
      </c>
      <c r="H1443" t="inlineStr">
        <is>
          <t>Desk</t>
        </is>
      </c>
      <c r="I1443" t="n">
        <v>1</v>
      </c>
      <c r="J1443" s="12" t="n">
        <v>12246.81</v>
      </c>
      <c r="K1443" s="13" t="n">
        <v>0.05</v>
      </c>
      <c r="L1443" s="12" t="n">
        <v>11634.47</v>
      </c>
      <c r="M1443" s="12" t="n">
        <v>9307.58</v>
      </c>
      <c r="N1443" s="12" t="n">
        <v>2326.89</v>
      </c>
      <c r="O1443" t="inlineStr">
        <is>
          <t>Cash</t>
        </is>
      </c>
      <c r="P1443" t="inlineStr">
        <is>
          <t>Diya Patel</t>
        </is>
      </c>
    </row>
    <row r="1444">
      <c r="A1444" t="inlineStr">
        <is>
          <t>ORD-2502-1443</t>
        </is>
      </c>
      <c r="B1444" s="11" t="n">
        <v>45700</v>
      </c>
      <c r="C1444" t="inlineStr">
        <is>
          <t>South</t>
        </is>
      </c>
      <c r="D1444" t="inlineStr">
        <is>
          <t>Bengaluru</t>
        </is>
      </c>
      <c r="E1444" t="inlineStr">
        <is>
          <t>Corporate</t>
        </is>
      </c>
      <c r="F1444" t="inlineStr">
        <is>
          <t>Online</t>
        </is>
      </c>
      <c r="G1444" t="inlineStr">
        <is>
          <t>Furniture</t>
        </is>
      </c>
      <c r="H1444" t="inlineStr">
        <is>
          <t>Bookshelf</t>
        </is>
      </c>
      <c r="I1444" t="n">
        <v>2</v>
      </c>
      <c r="J1444" s="12" t="n">
        <v>5286.2</v>
      </c>
      <c r="K1444" s="13" t="n">
        <v>0.05</v>
      </c>
      <c r="L1444" s="12" t="n">
        <v>10043.78</v>
      </c>
      <c r="M1444" s="12" t="n">
        <v>7823.58</v>
      </c>
      <c r="N1444" s="12" t="n">
        <v>2220.2</v>
      </c>
      <c r="O1444" t="inlineStr">
        <is>
          <t>Net Banking</t>
        </is>
      </c>
      <c r="P1444" t="inlineStr">
        <is>
          <t>Rohan Verma</t>
        </is>
      </c>
    </row>
    <row r="1445">
      <c r="A1445" t="inlineStr">
        <is>
          <t>ORD-2510-1444</t>
        </is>
      </c>
      <c r="B1445" s="11" t="n">
        <v>45940</v>
      </c>
      <c r="C1445" t="inlineStr">
        <is>
          <t>West</t>
        </is>
      </c>
      <c r="D1445" t="inlineStr">
        <is>
          <t>Pune</t>
        </is>
      </c>
      <c r="E1445" t="inlineStr">
        <is>
          <t>Small Business</t>
        </is>
      </c>
      <c r="F1445" t="inlineStr">
        <is>
          <t>Online</t>
        </is>
      </c>
      <c r="G1445" t="inlineStr">
        <is>
          <t>Office Supplies</t>
        </is>
      </c>
      <c r="H1445" t="inlineStr">
        <is>
          <t>Notebook Pack</t>
        </is>
      </c>
      <c r="I1445" t="n">
        <v>2</v>
      </c>
      <c r="J1445" s="12" t="n">
        <v>329.19</v>
      </c>
      <c r="K1445" s="13" t="n">
        <v>0</v>
      </c>
      <c r="L1445" s="12" t="n">
        <v>658.38</v>
      </c>
      <c r="M1445" s="12" t="n">
        <v>447.7</v>
      </c>
      <c r="N1445" s="12" t="n">
        <v>210.68</v>
      </c>
      <c r="O1445" t="inlineStr">
        <is>
          <t>Cash</t>
        </is>
      </c>
      <c r="P1445" t="inlineStr">
        <is>
          <t>Anaya Rao</t>
        </is>
      </c>
    </row>
    <row r="1446">
      <c r="A1446" t="inlineStr">
        <is>
          <t>ORD-2502-1445</t>
        </is>
      </c>
      <c r="B1446" s="11" t="n">
        <v>45693</v>
      </c>
      <c r="C1446" t="inlineStr">
        <is>
          <t>Central</t>
        </is>
      </c>
      <c r="D1446" t="inlineStr">
        <is>
          <t>Indore</t>
        </is>
      </c>
      <c r="E1446" t="inlineStr">
        <is>
          <t>Small Business</t>
        </is>
      </c>
      <c r="F1446" t="inlineStr">
        <is>
          <t>Partner</t>
        </is>
      </c>
      <c r="G1446" t="inlineStr">
        <is>
          <t>Furniture</t>
        </is>
      </c>
      <c r="H1446" t="inlineStr">
        <is>
          <t>Bookshelf</t>
        </is>
      </c>
      <c r="I1446" t="n">
        <v>2</v>
      </c>
      <c r="J1446" s="12" t="n">
        <v>5450.69</v>
      </c>
      <c r="K1446" s="13" t="n">
        <v>0.1</v>
      </c>
      <c r="L1446" s="12" t="n">
        <v>9811.24</v>
      </c>
      <c r="M1446" s="12" t="n">
        <v>8067.02</v>
      </c>
      <c r="N1446" s="12" t="n">
        <v>1744.22</v>
      </c>
      <c r="O1446" t="inlineStr">
        <is>
          <t>Credit Card</t>
        </is>
      </c>
      <c r="P1446" t="inlineStr">
        <is>
          <t>Rohan Verma</t>
        </is>
      </c>
    </row>
    <row r="1447">
      <c r="A1447" t="inlineStr">
        <is>
          <t>ORD-2510-1446</t>
        </is>
      </c>
      <c r="B1447" s="11" t="n">
        <v>45957</v>
      </c>
      <c r="C1447" t="inlineStr">
        <is>
          <t>North</t>
        </is>
      </c>
      <c r="D1447" t="inlineStr">
        <is>
          <t>Lucknow</t>
        </is>
      </c>
      <c r="E1447" t="inlineStr">
        <is>
          <t>Corporate</t>
        </is>
      </c>
      <c r="F1447" t="inlineStr">
        <is>
          <t>Partner</t>
        </is>
      </c>
      <c r="G1447" t="inlineStr">
        <is>
          <t>Technology</t>
        </is>
      </c>
      <c r="H1447" t="inlineStr">
        <is>
          <t>Keyboard</t>
        </is>
      </c>
      <c r="I1447" t="n">
        <v>6</v>
      </c>
      <c r="J1447" s="12" t="n">
        <v>1324.46</v>
      </c>
      <c r="K1447" s="13" t="n">
        <v>0.05</v>
      </c>
      <c r="L1447" s="12" t="n">
        <v>7549.42</v>
      </c>
      <c r="M1447" s="12" t="n">
        <v>5960.07</v>
      </c>
      <c r="N1447" s="12" t="n">
        <v>1589.35</v>
      </c>
      <c r="O1447" t="inlineStr">
        <is>
          <t>Net Banking</t>
        </is>
      </c>
      <c r="P1447" t="inlineStr">
        <is>
          <t>Vivaan Gupta</t>
        </is>
      </c>
    </row>
    <row r="1448">
      <c r="A1448" t="inlineStr">
        <is>
          <t>ORD-2502-1447</t>
        </is>
      </c>
      <c r="B1448" s="11" t="n">
        <v>45714</v>
      </c>
      <c r="C1448" t="inlineStr">
        <is>
          <t>South</t>
        </is>
      </c>
      <c r="D1448" t="inlineStr">
        <is>
          <t>Bengaluru</t>
        </is>
      </c>
      <c r="E1448" t="inlineStr">
        <is>
          <t>Small Business</t>
        </is>
      </c>
      <c r="F1448" t="inlineStr">
        <is>
          <t>Partner</t>
        </is>
      </c>
      <c r="G1448" t="inlineStr">
        <is>
          <t>Technology</t>
        </is>
      </c>
      <c r="H1448" t="inlineStr">
        <is>
          <t>Printer</t>
        </is>
      </c>
      <c r="I1448" t="n">
        <v>3</v>
      </c>
      <c r="J1448" s="12" t="n">
        <v>9328.700000000001</v>
      </c>
      <c r="K1448" s="13" t="n">
        <v>0</v>
      </c>
      <c r="L1448" s="12" t="n">
        <v>27986.1</v>
      </c>
      <c r="M1448" s="12" t="n">
        <v>23508.32</v>
      </c>
      <c r="N1448" s="12" t="n">
        <v>4477.78</v>
      </c>
      <c r="O1448" t="inlineStr">
        <is>
          <t>UPI</t>
        </is>
      </c>
      <c r="P1448" t="inlineStr">
        <is>
          <t>Vivaan Gupta</t>
        </is>
      </c>
    </row>
    <row r="1449">
      <c r="A1449" t="inlineStr">
        <is>
          <t>ORD-2501-1448</t>
        </is>
      </c>
      <c r="B1449" s="11" t="n">
        <v>45680</v>
      </c>
      <c r="C1449" t="inlineStr">
        <is>
          <t>East</t>
        </is>
      </c>
      <c r="D1449" t="inlineStr">
        <is>
          <t>Patna</t>
        </is>
      </c>
      <c r="E1449" t="inlineStr">
        <is>
          <t>Consumer</t>
        </is>
      </c>
      <c r="F1449" t="inlineStr">
        <is>
          <t>Partner</t>
        </is>
      </c>
      <c r="G1449" t="inlineStr">
        <is>
          <t>Technology</t>
        </is>
      </c>
      <c r="H1449" t="inlineStr">
        <is>
          <t>Printer</t>
        </is>
      </c>
      <c r="I1449" t="n">
        <v>2</v>
      </c>
      <c r="J1449" s="12" t="n">
        <v>10025.22</v>
      </c>
      <c r="K1449" s="13" t="n">
        <v>0.1</v>
      </c>
      <c r="L1449" s="12" t="n">
        <v>18045.4</v>
      </c>
      <c r="M1449" s="12" t="n">
        <v>16842.37</v>
      </c>
      <c r="N1449" s="12" t="n">
        <v>1203.03</v>
      </c>
      <c r="O1449" t="inlineStr">
        <is>
          <t>Debit Card</t>
        </is>
      </c>
      <c r="P1449" t="inlineStr">
        <is>
          <t>Diya Patel</t>
        </is>
      </c>
    </row>
    <row r="1450">
      <c r="A1450" t="inlineStr">
        <is>
          <t>ORD-2502-1449</t>
        </is>
      </c>
      <c r="B1450" s="11" t="n">
        <v>45709</v>
      </c>
      <c r="C1450" t="inlineStr">
        <is>
          <t>South</t>
        </is>
      </c>
      <c r="D1450" t="inlineStr">
        <is>
          <t>Chennai</t>
        </is>
      </c>
      <c r="E1450" t="inlineStr">
        <is>
          <t>Corporate</t>
        </is>
      </c>
      <c r="F1450" t="inlineStr">
        <is>
          <t>Retail Store</t>
        </is>
      </c>
      <c r="G1450" t="inlineStr">
        <is>
          <t>Technology</t>
        </is>
      </c>
      <c r="H1450" t="inlineStr">
        <is>
          <t>Keyboard</t>
        </is>
      </c>
      <c r="I1450" t="n">
        <v>4</v>
      </c>
      <c r="J1450" s="12" t="n">
        <v>1414.06</v>
      </c>
      <c r="K1450" s="13" t="n">
        <v>0.2</v>
      </c>
      <c r="L1450" s="12" t="n">
        <v>4524.99</v>
      </c>
      <c r="M1450" s="12" t="n">
        <v>4242.18</v>
      </c>
      <c r="N1450" s="12" t="n">
        <v>282.81</v>
      </c>
      <c r="O1450" t="inlineStr">
        <is>
          <t>Net Banking</t>
        </is>
      </c>
      <c r="P1450" t="inlineStr">
        <is>
          <t>Vivaan Gupta</t>
        </is>
      </c>
    </row>
    <row r="1451">
      <c r="A1451" t="inlineStr">
        <is>
          <t>ORD-2501-1450</t>
        </is>
      </c>
      <c r="B1451" s="11" t="n">
        <v>45668</v>
      </c>
      <c r="C1451" t="inlineStr">
        <is>
          <t>Central</t>
        </is>
      </c>
      <c r="D1451" t="inlineStr">
        <is>
          <t>Raipur</t>
        </is>
      </c>
      <c r="E1451" t="inlineStr">
        <is>
          <t>Corporate</t>
        </is>
      </c>
      <c r="F1451" t="inlineStr">
        <is>
          <t>Partner</t>
        </is>
      </c>
      <c r="G1451" t="inlineStr">
        <is>
          <t>Office Supplies</t>
        </is>
      </c>
      <c r="H1451" t="inlineStr">
        <is>
          <t>Pens Box</t>
        </is>
      </c>
      <c r="I1451" t="n">
        <v>3</v>
      </c>
      <c r="J1451" s="12" t="n">
        <v>166.57</v>
      </c>
      <c r="K1451" s="13" t="n">
        <v>0.05</v>
      </c>
      <c r="L1451" s="12" t="n">
        <v>474.72</v>
      </c>
      <c r="M1451" s="12" t="n">
        <v>324.81</v>
      </c>
      <c r="N1451" s="12" t="n">
        <v>149.91</v>
      </c>
      <c r="O1451" t="inlineStr">
        <is>
          <t>Debit Card</t>
        </is>
      </c>
      <c r="P1451" t="inlineStr">
        <is>
          <t>Diya Patel</t>
        </is>
      </c>
    </row>
    <row r="1452">
      <c r="A1452" t="inlineStr">
        <is>
          <t>ORD-2502-1451</t>
        </is>
      </c>
      <c r="B1452" s="11" t="n">
        <v>45691</v>
      </c>
      <c r="C1452" t="inlineStr">
        <is>
          <t>North</t>
        </is>
      </c>
      <c r="D1452" t="inlineStr">
        <is>
          <t>Chandigarh</t>
        </is>
      </c>
      <c r="E1452" t="inlineStr">
        <is>
          <t>Consumer</t>
        </is>
      </c>
      <c r="F1452" t="inlineStr">
        <is>
          <t>Online</t>
        </is>
      </c>
      <c r="G1452" t="inlineStr">
        <is>
          <t>Office Supplies</t>
        </is>
      </c>
      <c r="H1452" t="inlineStr">
        <is>
          <t>Pens Box</t>
        </is>
      </c>
      <c r="I1452" t="n">
        <v>2</v>
      </c>
      <c r="J1452" s="12" t="n">
        <v>192.08</v>
      </c>
      <c r="K1452" s="13" t="n">
        <v>0.05</v>
      </c>
      <c r="L1452" s="12" t="n">
        <v>364.95</v>
      </c>
      <c r="M1452" s="12" t="n">
        <v>249.7</v>
      </c>
      <c r="N1452" s="12" t="n">
        <v>115.25</v>
      </c>
      <c r="O1452" t="inlineStr">
        <is>
          <t>Credit Card</t>
        </is>
      </c>
      <c r="P1452" t="inlineStr">
        <is>
          <t>Kabir Singh</t>
        </is>
      </c>
    </row>
    <row r="1453">
      <c r="A1453" t="inlineStr">
        <is>
          <t>ORD-2502-1452</t>
        </is>
      </c>
      <c r="B1453" s="11" t="n">
        <v>45702</v>
      </c>
      <c r="C1453" t="inlineStr">
        <is>
          <t>Central</t>
        </is>
      </c>
      <c r="D1453" t="inlineStr">
        <is>
          <t>Indore</t>
        </is>
      </c>
      <c r="E1453" t="inlineStr">
        <is>
          <t>Small Business</t>
        </is>
      </c>
      <c r="F1453" t="inlineStr">
        <is>
          <t>Retail Store</t>
        </is>
      </c>
      <c r="G1453" t="inlineStr">
        <is>
          <t>Office Supplies</t>
        </is>
      </c>
      <c r="H1453" t="inlineStr">
        <is>
          <t>Pens Box</t>
        </is>
      </c>
      <c r="I1453" t="n">
        <v>1</v>
      </c>
      <c r="J1453" s="12" t="n">
        <v>181.32</v>
      </c>
      <c r="K1453" s="13" t="n">
        <v>0.1</v>
      </c>
      <c r="L1453" s="12" t="n">
        <v>163.19</v>
      </c>
      <c r="M1453" s="12" t="n">
        <v>117.86</v>
      </c>
      <c r="N1453" s="12" t="n">
        <v>45.33</v>
      </c>
      <c r="O1453" t="inlineStr">
        <is>
          <t>Debit Card</t>
        </is>
      </c>
      <c r="P1453" t="inlineStr">
        <is>
          <t>Diya Patel</t>
        </is>
      </c>
    </row>
    <row r="1454">
      <c r="A1454" t="inlineStr">
        <is>
          <t>ORD-2512-1453</t>
        </is>
      </c>
      <c r="B1454" s="11" t="n">
        <v>45994</v>
      </c>
      <c r="C1454" t="inlineStr">
        <is>
          <t>South</t>
        </is>
      </c>
      <c r="D1454" t="inlineStr">
        <is>
          <t>Kochi</t>
        </is>
      </c>
      <c r="E1454" t="inlineStr">
        <is>
          <t>Consumer</t>
        </is>
      </c>
      <c r="F1454" t="inlineStr">
        <is>
          <t>Partner</t>
        </is>
      </c>
      <c r="G1454" t="inlineStr">
        <is>
          <t>Technology</t>
        </is>
      </c>
      <c r="H1454" t="inlineStr">
        <is>
          <t>Monitor</t>
        </is>
      </c>
      <c r="I1454" t="n">
        <v>3</v>
      </c>
      <c r="J1454" s="12" t="n">
        <v>11794.77</v>
      </c>
      <c r="K1454" s="13" t="n">
        <v>0</v>
      </c>
      <c r="L1454" s="12" t="n">
        <v>35384.31</v>
      </c>
      <c r="M1454" s="12" t="n">
        <v>29015.13</v>
      </c>
      <c r="N1454" s="12" t="n">
        <v>6369.18</v>
      </c>
      <c r="O1454" t="inlineStr">
        <is>
          <t>Debit Card</t>
        </is>
      </c>
      <c r="P1454" t="inlineStr">
        <is>
          <t>Aarav Sharma</t>
        </is>
      </c>
    </row>
    <row r="1455">
      <c r="A1455" t="inlineStr">
        <is>
          <t>ORD-2507-1454</t>
        </is>
      </c>
      <c r="B1455" s="11" t="n">
        <v>45848</v>
      </c>
      <c r="C1455" t="inlineStr">
        <is>
          <t>North</t>
        </is>
      </c>
      <c r="D1455" t="inlineStr">
        <is>
          <t>Delhi</t>
        </is>
      </c>
      <c r="E1455" t="inlineStr">
        <is>
          <t>Corporate</t>
        </is>
      </c>
      <c r="F1455" t="inlineStr">
        <is>
          <t>Online</t>
        </is>
      </c>
      <c r="G1455" t="inlineStr">
        <is>
          <t>Technology</t>
        </is>
      </c>
      <c r="H1455" t="inlineStr">
        <is>
          <t>Monitor</t>
        </is>
      </c>
      <c r="I1455" t="n">
        <v>3</v>
      </c>
      <c r="J1455" s="12" t="n">
        <v>12561.04</v>
      </c>
      <c r="K1455" s="13" t="n">
        <v>0</v>
      </c>
      <c r="L1455" s="12" t="n">
        <v>37683.12</v>
      </c>
      <c r="M1455" s="12" t="n">
        <v>30900.16</v>
      </c>
      <c r="N1455" s="12" t="n">
        <v>6782.96</v>
      </c>
      <c r="O1455" t="inlineStr">
        <is>
          <t>Net Banking</t>
        </is>
      </c>
      <c r="P1455" t="inlineStr">
        <is>
          <t>Meera Joshi</t>
        </is>
      </c>
    </row>
    <row r="1456">
      <c r="A1456" t="inlineStr">
        <is>
          <t>ORD-2509-1455</t>
        </is>
      </c>
      <c r="B1456" s="11" t="n">
        <v>45903</v>
      </c>
      <c r="C1456" t="inlineStr">
        <is>
          <t>South</t>
        </is>
      </c>
      <c r="D1456" t="inlineStr">
        <is>
          <t>Chennai</t>
        </is>
      </c>
      <c r="E1456" t="inlineStr">
        <is>
          <t>Corporate</t>
        </is>
      </c>
      <c r="F1456" t="inlineStr">
        <is>
          <t>Partner</t>
        </is>
      </c>
      <c r="G1456" t="inlineStr">
        <is>
          <t>Office Supplies</t>
        </is>
      </c>
      <c r="H1456" t="inlineStr">
        <is>
          <t>Pens Box</t>
        </is>
      </c>
      <c r="I1456" t="n">
        <v>3</v>
      </c>
      <c r="J1456" s="12" t="n">
        <v>168.45</v>
      </c>
      <c r="K1456" s="13" t="n">
        <v>0.05</v>
      </c>
      <c r="L1456" s="12" t="n">
        <v>480.08</v>
      </c>
      <c r="M1456" s="12" t="n">
        <v>328.48</v>
      </c>
      <c r="N1456" s="12" t="n">
        <v>151.6</v>
      </c>
      <c r="O1456" t="inlineStr">
        <is>
          <t>Cash</t>
        </is>
      </c>
      <c r="P1456" t="inlineStr">
        <is>
          <t>Diya Patel</t>
        </is>
      </c>
    </row>
    <row r="1457">
      <c r="A1457" t="inlineStr">
        <is>
          <t>ORD-2503-1456</t>
        </is>
      </c>
      <c r="B1457" s="11" t="n">
        <v>45732</v>
      </c>
      <c r="C1457" t="inlineStr">
        <is>
          <t>South</t>
        </is>
      </c>
      <c r="D1457" t="inlineStr">
        <is>
          <t>Chennai</t>
        </is>
      </c>
      <c r="E1457" t="inlineStr">
        <is>
          <t>Consumer</t>
        </is>
      </c>
      <c r="F1457" t="inlineStr">
        <is>
          <t>Partner</t>
        </is>
      </c>
      <c r="G1457" t="inlineStr">
        <is>
          <t>Office Supplies</t>
        </is>
      </c>
      <c r="H1457" t="inlineStr">
        <is>
          <t>Stapler</t>
        </is>
      </c>
      <c r="I1457" t="n">
        <v>4</v>
      </c>
      <c r="J1457" s="12" t="n">
        <v>280.38</v>
      </c>
      <c r="K1457" s="13" t="n">
        <v>0.05</v>
      </c>
      <c r="L1457" s="12" t="n">
        <v>1065.44</v>
      </c>
      <c r="M1457" s="12" t="n">
        <v>785.0599999999999</v>
      </c>
      <c r="N1457" s="12" t="n">
        <v>280.38</v>
      </c>
      <c r="O1457" t="inlineStr">
        <is>
          <t>UPI</t>
        </is>
      </c>
      <c r="P1457" t="inlineStr">
        <is>
          <t>Meera Joshi</t>
        </is>
      </c>
    </row>
    <row r="1458">
      <c r="A1458" t="inlineStr">
        <is>
          <t>ORD-2511-1457</t>
        </is>
      </c>
      <c r="B1458" s="11" t="n">
        <v>45978</v>
      </c>
      <c r="C1458" t="inlineStr">
        <is>
          <t>West</t>
        </is>
      </c>
      <c r="D1458" t="inlineStr">
        <is>
          <t>Ahmedabad</t>
        </is>
      </c>
      <c r="E1458" t="inlineStr">
        <is>
          <t>Consumer</t>
        </is>
      </c>
      <c r="F1458" t="inlineStr">
        <is>
          <t>Retail Store</t>
        </is>
      </c>
      <c r="G1458" t="inlineStr">
        <is>
          <t>Technology</t>
        </is>
      </c>
      <c r="H1458" t="inlineStr">
        <is>
          <t>Printer</t>
        </is>
      </c>
      <c r="I1458" t="n">
        <v>5</v>
      </c>
      <c r="J1458" s="12" t="n">
        <v>9883.6</v>
      </c>
      <c r="K1458" s="13" t="n">
        <v>0.05</v>
      </c>
      <c r="L1458" s="12" t="n">
        <v>46947.1</v>
      </c>
      <c r="M1458" s="12" t="n">
        <v>41511.12</v>
      </c>
      <c r="N1458" s="12" t="n">
        <v>5435.98</v>
      </c>
      <c r="O1458" t="inlineStr">
        <is>
          <t>Debit Card</t>
        </is>
      </c>
      <c r="P1458" t="inlineStr">
        <is>
          <t>Aarav Sharma</t>
        </is>
      </c>
    </row>
    <row r="1459">
      <c r="A1459" t="inlineStr">
        <is>
          <t>ORD-2504-1458</t>
        </is>
      </c>
      <c r="B1459" s="11" t="n">
        <v>45756</v>
      </c>
      <c r="C1459" t="inlineStr">
        <is>
          <t>East</t>
        </is>
      </c>
      <c r="D1459" t="inlineStr">
        <is>
          <t>Guwahati</t>
        </is>
      </c>
      <c r="E1459" t="inlineStr">
        <is>
          <t>Consumer</t>
        </is>
      </c>
      <c r="F1459" t="inlineStr">
        <is>
          <t>Retail Store</t>
        </is>
      </c>
      <c r="G1459" t="inlineStr">
        <is>
          <t>Furniture</t>
        </is>
      </c>
      <c r="H1459" t="inlineStr">
        <is>
          <t>Bookshelf</t>
        </is>
      </c>
      <c r="I1459" t="n">
        <v>3</v>
      </c>
      <c r="J1459" s="12" t="n">
        <v>5406.84</v>
      </c>
      <c r="K1459" s="13" t="n">
        <v>0.15</v>
      </c>
      <c r="L1459" s="12" t="n">
        <v>13787.44</v>
      </c>
      <c r="M1459" s="12" t="n">
        <v>12003.18</v>
      </c>
      <c r="N1459" s="12" t="n">
        <v>1784.26</v>
      </c>
      <c r="O1459" t="inlineStr">
        <is>
          <t>Cash</t>
        </is>
      </c>
      <c r="P1459" t="inlineStr">
        <is>
          <t>Vivaan Gupta</t>
        </is>
      </c>
    </row>
    <row r="1460">
      <c r="A1460" t="inlineStr">
        <is>
          <t>ORD-2511-1459</t>
        </is>
      </c>
      <c r="B1460" s="11" t="n">
        <v>45988</v>
      </c>
      <c r="C1460" t="inlineStr">
        <is>
          <t>South</t>
        </is>
      </c>
      <c r="D1460" t="inlineStr">
        <is>
          <t>Chennai</t>
        </is>
      </c>
      <c r="E1460" t="inlineStr">
        <is>
          <t>Small Business</t>
        </is>
      </c>
      <c r="F1460" t="inlineStr">
        <is>
          <t>Online</t>
        </is>
      </c>
      <c r="G1460" t="inlineStr">
        <is>
          <t>Office Supplies</t>
        </is>
      </c>
      <c r="H1460" t="inlineStr">
        <is>
          <t>Notebook Pack</t>
        </is>
      </c>
      <c r="I1460" t="n">
        <v>3</v>
      </c>
      <c r="J1460" s="12" t="n">
        <v>326.2</v>
      </c>
      <c r="K1460" s="13" t="n">
        <v>0.05</v>
      </c>
      <c r="L1460" s="12" t="n">
        <v>929.67</v>
      </c>
      <c r="M1460" s="12" t="n">
        <v>665.45</v>
      </c>
      <c r="N1460" s="12" t="n">
        <v>264.22</v>
      </c>
      <c r="O1460" t="inlineStr">
        <is>
          <t>Debit Card</t>
        </is>
      </c>
      <c r="P1460" t="inlineStr">
        <is>
          <t>Diya Patel</t>
        </is>
      </c>
    </row>
    <row r="1461">
      <c r="A1461" t="inlineStr">
        <is>
          <t>ORD-2510-1460</t>
        </is>
      </c>
      <c r="B1461" s="11" t="n">
        <v>45945</v>
      </c>
      <c r="C1461" t="inlineStr">
        <is>
          <t>North</t>
        </is>
      </c>
      <c r="D1461" t="inlineStr">
        <is>
          <t>Jaipur</t>
        </is>
      </c>
      <c r="E1461" t="inlineStr">
        <is>
          <t>Corporate</t>
        </is>
      </c>
      <c r="F1461" t="inlineStr">
        <is>
          <t>Partner</t>
        </is>
      </c>
      <c r="G1461" t="inlineStr">
        <is>
          <t>Office Supplies</t>
        </is>
      </c>
      <c r="H1461" t="inlineStr">
        <is>
          <t>File Folder</t>
        </is>
      </c>
      <c r="I1461" t="n">
        <v>4</v>
      </c>
      <c r="J1461" s="12" t="n">
        <v>88.45999999999999</v>
      </c>
      <c r="K1461" s="13" t="n">
        <v>0.05</v>
      </c>
      <c r="L1461" s="12" t="n">
        <v>336.15</v>
      </c>
      <c r="M1461" s="12" t="n">
        <v>219.38</v>
      </c>
      <c r="N1461" s="12" t="n">
        <v>116.77</v>
      </c>
      <c r="O1461" t="inlineStr">
        <is>
          <t>Net Banking</t>
        </is>
      </c>
      <c r="P1461" t="inlineStr">
        <is>
          <t>Rohan Verma</t>
        </is>
      </c>
    </row>
    <row r="1462">
      <c r="A1462" t="inlineStr">
        <is>
          <t>ORD-2510-1461</t>
        </is>
      </c>
      <c r="B1462" s="11" t="n">
        <v>45932</v>
      </c>
      <c r="C1462" t="inlineStr">
        <is>
          <t>Central</t>
        </is>
      </c>
      <c r="D1462" t="inlineStr">
        <is>
          <t>Raipur</t>
        </is>
      </c>
      <c r="E1462" t="inlineStr">
        <is>
          <t>Small Business</t>
        </is>
      </c>
      <c r="F1462" t="inlineStr">
        <is>
          <t>Partner</t>
        </is>
      </c>
      <c r="G1462" t="inlineStr">
        <is>
          <t>Technology</t>
        </is>
      </c>
      <c r="H1462" t="inlineStr">
        <is>
          <t>Headphones</t>
        </is>
      </c>
      <c r="I1462" t="n">
        <v>5</v>
      </c>
      <c r="J1462" s="12" t="n">
        <v>2195.7</v>
      </c>
      <c r="K1462" s="13" t="n">
        <v>0.05</v>
      </c>
      <c r="L1462" s="12" t="n">
        <v>10429.57</v>
      </c>
      <c r="M1462" s="12" t="n">
        <v>8563.23</v>
      </c>
      <c r="N1462" s="12" t="n">
        <v>1866.34</v>
      </c>
      <c r="O1462" t="inlineStr">
        <is>
          <t>Cash</t>
        </is>
      </c>
      <c r="P1462" t="inlineStr">
        <is>
          <t>Kabir Singh</t>
        </is>
      </c>
    </row>
    <row r="1463">
      <c r="A1463" t="inlineStr">
        <is>
          <t>ORD-2508-1462</t>
        </is>
      </c>
      <c r="B1463" s="11" t="n">
        <v>45898</v>
      </c>
      <c r="C1463" t="inlineStr">
        <is>
          <t>East</t>
        </is>
      </c>
      <c r="D1463" t="inlineStr">
        <is>
          <t>Kolkata</t>
        </is>
      </c>
      <c r="E1463" t="inlineStr">
        <is>
          <t>Small Business</t>
        </is>
      </c>
      <c r="F1463" t="inlineStr">
        <is>
          <t>Online</t>
        </is>
      </c>
      <c r="G1463" t="inlineStr">
        <is>
          <t>Office Supplies</t>
        </is>
      </c>
      <c r="H1463" t="inlineStr">
        <is>
          <t>Paper Ream</t>
        </is>
      </c>
      <c r="I1463" t="n">
        <v>3</v>
      </c>
      <c r="J1463" s="12" t="n">
        <v>421.14</v>
      </c>
      <c r="K1463" s="13" t="n">
        <v>0.05</v>
      </c>
      <c r="L1463" s="12" t="n">
        <v>1200.25</v>
      </c>
      <c r="M1463" s="12" t="n">
        <v>972.83</v>
      </c>
      <c r="N1463" s="12" t="n">
        <v>227.42</v>
      </c>
      <c r="O1463" t="inlineStr">
        <is>
          <t>Net Banking</t>
        </is>
      </c>
      <c r="P1463" t="inlineStr">
        <is>
          <t>Rohan Verma</t>
        </is>
      </c>
    </row>
    <row r="1464">
      <c r="A1464" t="inlineStr">
        <is>
          <t>ORD-2505-1463</t>
        </is>
      </c>
      <c r="B1464" s="11" t="n">
        <v>45796</v>
      </c>
      <c r="C1464" t="inlineStr">
        <is>
          <t>East</t>
        </is>
      </c>
      <c r="D1464" t="inlineStr">
        <is>
          <t>Patna</t>
        </is>
      </c>
      <c r="E1464" t="inlineStr">
        <is>
          <t>Consumer</t>
        </is>
      </c>
      <c r="F1464" t="inlineStr">
        <is>
          <t>Retail Store</t>
        </is>
      </c>
      <c r="G1464" t="inlineStr">
        <is>
          <t>Furniture</t>
        </is>
      </c>
      <c r="H1464" t="inlineStr">
        <is>
          <t>Office Chair</t>
        </is>
      </c>
      <c r="I1464" t="n">
        <v>6</v>
      </c>
      <c r="J1464" s="12" t="n">
        <v>6516.48</v>
      </c>
      <c r="K1464" s="13" t="n">
        <v>0.05</v>
      </c>
      <c r="L1464" s="12" t="n">
        <v>37143.94</v>
      </c>
      <c r="M1464" s="12" t="n">
        <v>28151.19</v>
      </c>
      <c r="N1464" s="12" t="n">
        <v>8992.75</v>
      </c>
      <c r="O1464" t="inlineStr">
        <is>
          <t>Net Banking</t>
        </is>
      </c>
      <c r="P1464" t="inlineStr">
        <is>
          <t>Meera Joshi</t>
        </is>
      </c>
    </row>
    <row r="1465">
      <c r="A1465" t="inlineStr">
        <is>
          <t>ORD-2506-1464</t>
        </is>
      </c>
      <c r="B1465" s="11" t="n">
        <v>45829</v>
      </c>
      <c r="C1465" t="inlineStr">
        <is>
          <t>Central</t>
        </is>
      </c>
      <c r="D1465" t="inlineStr">
        <is>
          <t>Nagpur</t>
        </is>
      </c>
      <c r="E1465" t="inlineStr">
        <is>
          <t>Small Business</t>
        </is>
      </c>
      <c r="F1465" t="inlineStr">
        <is>
          <t>Online</t>
        </is>
      </c>
      <c r="G1465" t="inlineStr">
        <is>
          <t>Technology</t>
        </is>
      </c>
      <c r="H1465" t="inlineStr">
        <is>
          <t>Headphones</t>
        </is>
      </c>
      <c r="I1465" t="n">
        <v>2</v>
      </c>
      <c r="J1465" s="12" t="n">
        <v>2256.01</v>
      </c>
      <c r="K1465" s="13" t="n">
        <v>0.05</v>
      </c>
      <c r="L1465" s="12" t="n">
        <v>4286.42</v>
      </c>
      <c r="M1465" s="12" t="n">
        <v>3519.38</v>
      </c>
      <c r="N1465" s="12" t="n">
        <v>767.04</v>
      </c>
      <c r="O1465" t="inlineStr">
        <is>
          <t>Net Banking</t>
        </is>
      </c>
      <c r="P1465" t="inlineStr">
        <is>
          <t>Meera Joshi</t>
        </is>
      </c>
    </row>
    <row r="1466">
      <c r="A1466" t="inlineStr">
        <is>
          <t>ORD-2512-1465</t>
        </is>
      </c>
      <c r="B1466" s="11" t="n">
        <v>46009</v>
      </c>
      <c r="C1466" t="inlineStr">
        <is>
          <t>East</t>
        </is>
      </c>
      <c r="D1466" t="inlineStr">
        <is>
          <t>Bhubaneswar</t>
        </is>
      </c>
      <c r="E1466" t="inlineStr">
        <is>
          <t>Small Business</t>
        </is>
      </c>
      <c r="F1466" t="inlineStr">
        <is>
          <t>Partner</t>
        </is>
      </c>
      <c r="G1466" t="inlineStr">
        <is>
          <t>Technology</t>
        </is>
      </c>
      <c r="H1466" t="inlineStr">
        <is>
          <t>Printer</t>
        </is>
      </c>
      <c r="I1466" t="n">
        <v>5</v>
      </c>
      <c r="J1466" s="12" t="n">
        <v>9003.59</v>
      </c>
      <c r="K1466" s="13" t="n">
        <v>0.1</v>
      </c>
      <c r="L1466" s="12" t="n">
        <v>40516.15</v>
      </c>
      <c r="M1466" s="12" t="n">
        <v>37815.08</v>
      </c>
      <c r="N1466" s="12" t="n">
        <v>2701.07</v>
      </c>
      <c r="O1466" t="inlineStr">
        <is>
          <t>Net Banking</t>
        </is>
      </c>
      <c r="P1466" t="inlineStr">
        <is>
          <t>Meera Joshi</t>
        </is>
      </c>
    </row>
    <row r="1467">
      <c r="A1467" t="inlineStr">
        <is>
          <t>ORD-2504-1466</t>
        </is>
      </c>
      <c r="B1467" s="11" t="n">
        <v>45763</v>
      </c>
      <c r="C1467" t="inlineStr">
        <is>
          <t>Central</t>
        </is>
      </c>
      <c r="D1467" t="inlineStr">
        <is>
          <t>Raipur</t>
        </is>
      </c>
      <c r="E1467" t="inlineStr">
        <is>
          <t>Corporate</t>
        </is>
      </c>
      <c r="F1467" t="inlineStr">
        <is>
          <t>Retail Store</t>
        </is>
      </c>
      <c r="G1467" t="inlineStr">
        <is>
          <t>Technology</t>
        </is>
      </c>
      <c r="H1467" t="inlineStr">
        <is>
          <t>Keyboard</t>
        </is>
      </c>
      <c r="I1467" t="n">
        <v>6</v>
      </c>
      <c r="J1467" s="12" t="n">
        <v>1372</v>
      </c>
      <c r="K1467" s="13" t="n">
        <v>0.15</v>
      </c>
      <c r="L1467" s="12" t="n">
        <v>6997.2</v>
      </c>
      <c r="M1467" s="12" t="n">
        <v>6174</v>
      </c>
      <c r="N1467" s="12" t="n">
        <v>823.2</v>
      </c>
      <c r="O1467" t="inlineStr">
        <is>
          <t>Net Banking</t>
        </is>
      </c>
      <c r="P1467" t="inlineStr">
        <is>
          <t>Anaya Rao</t>
        </is>
      </c>
    </row>
    <row r="1468">
      <c r="A1468" t="inlineStr">
        <is>
          <t>ORD-2510-1467</t>
        </is>
      </c>
      <c r="B1468" s="11" t="n">
        <v>45933</v>
      </c>
      <c r="C1468" t="inlineStr">
        <is>
          <t>East</t>
        </is>
      </c>
      <c r="D1468" t="inlineStr">
        <is>
          <t>Patna</t>
        </is>
      </c>
      <c r="E1468" t="inlineStr">
        <is>
          <t>Small Business</t>
        </is>
      </c>
      <c r="F1468" t="inlineStr">
        <is>
          <t>Retail Store</t>
        </is>
      </c>
      <c r="G1468" t="inlineStr">
        <is>
          <t>Technology</t>
        </is>
      </c>
      <c r="H1468" t="inlineStr">
        <is>
          <t>Headphones</t>
        </is>
      </c>
      <c r="I1468" t="n">
        <v>3</v>
      </c>
      <c r="J1468" s="12" t="n">
        <v>2364.21</v>
      </c>
      <c r="K1468" s="13" t="n">
        <v>0</v>
      </c>
      <c r="L1468" s="12" t="n">
        <v>7092.63</v>
      </c>
      <c r="M1468" s="12" t="n">
        <v>5532.25</v>
      </c>
      <c r="N1468" s="12" t="n">
        <v>1560.38</v>
      </c>
      <c r="O1468" t="inlineStr">
        <is>
          <t>Credit Card</t>
        </is>
      </c>
      <c r="P1468" t="inlineStr">
        <is>
          <t>Diya Patel</t>
        </is>
      </c>
    </row>
    <row r="1469">
      <c r="A1469" t="inlineStr">
        <is>
          <t>ORD-2504-1468</t>
        </is>
      </c>
      <c r="B1469" s="11" t="n">
        <v>45754</v>
      </c>
      <c r="C1469" t="inlineStr">
        <is>
          <t>East</t>
        </is>
      </c>
      <c r="D1469" t="inlineStr">
        <is>
          <t>Guwahati</t>
        </is>
      </c>
      <c r="E1469" t="inlineStr">
        <is>
          <t>Small Business</t>
        </is>
      </c>
      <c r="F1469" t="inlineStr">
        <is>
          <t>Partner</t>
        </is>
      </c>
      <c r="G1469" t="inlineStr">
        <is>
          <t>Furniture</t>
        </is>
      </c>
      <c r="H1469" t="inlineStr">
        <is>
          <t>Bookshelf</t>
        </is>
      </c>
      <c r="I1469" t="n">
        <v>8</v>
      </c>
      <c r="J1469" s="12" t="n">
        <v>5467.2</v>
      </c>
      <c r="K1469" s="13" t="n">
        <v>0.1</v>
      </c>
      <c r="L1469" s="12" t="n">
        <v>39363.84</v>
      </c>
      <c r="M1469" s="12" t="n">
        <v>32365.82</v>
      </c>
      <c r="N1469" s="12" t="n">
        <v>6998.02</v>
      </c>
      <c r="O1469" t="inlineStr">
        <is>
          <t>Debit Card</t>
        </is>
      </c>
      <c r="P1469" t="inlineStr">
        <is>
          <t>Meera Joshi</t>
        </is>
      </c>
    </row>
    <row r="1470">
      <c r="A1470" t="inlineStr">
        <is>
          <t>ORD-2505-1469</t>
        </is>
      </c>
      <c r="B1470" s="11" t="n">
        <v>45794</v>
      </c>
      <c r="C1470" t="inlineStr">
        <is>
          <t>North</t>
        </is>
      </c>
      <c r="D1470" t="inlineStr">
        <is>
          <t>Lucknow</t>
        </is>
      </c>
      <c r="E1470" t="inlineStr">
        <is>
          <t>Corporate</t>
        </is>
      </c>
      <c r="F1470" t="inlineStr">
        <is>
          <t>Retail Store</t>
        </is>
      </c>
      <c r="G1470" t="inlineStr">
        <is>
          <t>Office Supplies</t>
        </is>
      </c>
      <c r="H1470" t="inlineStr">
        <is>
          <t>Pens Box</t>
        </is>
      </c>
      <c r="I1470" t="n">
        <v>10</v>
      </c>
      <c r="J1470" s="12" t="n">
        <v>179.32</v>
      </c>
      <c r="K1470" s="13" t="n">
        <v>0.1</v>
      </c>
      <c r="L1470" s="12" t="n">
        <v>1613.88</v>
      </c>
      <c r="M1470" s="12" t="n">
        <v>1165.58</v>
      </c>
      <c r="N1470" s="12" t="n">
        <v>448.3</v>
      </c>
      <c r="O1470" t="inlineStr">
        <is>
          <t>Credit Card</t>
        </is>
      </c>
      <c r="P1470" t="inlineStr">
        <is>
          <t>Kabir Singh</t>
        </is>
      </c>
    </row>
    <row r="1471">
      <c r="A1471" t="inlineStr">
        <is>
          <t>ORD-2504-1470</t>
        </is>
      </c>
      <c r="B1471" s="11" t="n">
        <v>45750</v>
      </c>
      <c r="C1471" t="inlineStr">
        <is>
          <t>North</t>
        </is>
      </c>
      <c r="D1471" t="inlineStr">
        <is>
          <t>Chandigarh</t>
        </is>
      </c>
      <c r="E1471" t="inlineStr">
        <is>
          <t>Corporate</t>
        </is>
      </c>
      <c r="F1471" t="inlineStr">
        <is>
          <t>Online</t>
        </is>
      </c>
      <c r="G1471" t="inlineStr">
        <is>
          <t>Office Supplies</t>
        </is>
      </c>
      <c r="H1471" t="inlineStr">
        <is>
          <t>File Folder</t>
        </is>
      </c>
      <c r="I1471" t="n">
        <v>5</v>
      </c>
      <c r="J1471" s="12" t="n">
        <v>95</v>
      </c>
      <c r="K1471" s="13" t="n">
        <v>0</v>
      </c>
      <c r="L1471" s="12" t="n">
        <v>475</v>
      </c>
      <c r="M1471" s="12" t="n">
        <v>294.5</v>
      </c>
      <c r="N1471" s="12" t="n">
        <v>180.5</v>
      </c>
      <c r="O1471" t="inlineStr">
        <is>
          <t>Cash</t>
        </is>
      </c>
      <c r="P1471" t="inlineStr">
        <is>
          <t>Rohan Verma</t>
        </is>
      </c>
    </row>
    <row r="1472">
      <c r="A1472" t="inlineStr">
        <is>
          <t>ORD-2503-1471</t>
        </is>
      </c>
      <c r="B1472" s="11" t="n">
        <v>45723</v>
      </c>
      <c r="C1472" t="inlineStr">
        <is>
          <t>North</t>
        </is>
      </c>
      <c r="D1472" t="inlineStr">
        <is>
          <t>Lucknow</t>
        </is>
      </c>
      <c r="E1472" t="inlineStr">
        <is>
          <t>Consumer</t>
        </is>
      </c>
      <c r="F1472" t="inlineStr">
        <is>
          <t>Retail Store</t>
        </is>
      </c>
      <c r="G1472" t="inlineStr">
        <is>
          <t>Technology</t>
        </is>
      </c>
      <c r="H1472" t="inlineStr">
        <is>
          <t>Printer</t>
        </is>
      </c>
      <c r="I1472" t="n">
        <v>1</v>
      </c>
      <c r="J1472" s="12" t="n">
        <v>8831.02</v>
      </c>
      <c r="K1472" s="13" t="n">
        <v>0.1</v>
      </c>
      <c r="L1472" s="12" t="n">
        <v>7947.92</v>
      </c>
      <c r="M1472" s="12" t="n">
        <v>7418.06</v>
      </c>
      <c r="N1472" s="12" t="n">
        <v>529.86</v>
      </c>
      <c r="O1472" t="inlineStr">
        <is>
          <t>Cash</t>
        </is>
      </c>
      <c r="P1472" t="inlineStr">
        <is>
          <t>Rohan Verma</t>
        </is>
      </c>
    </row>
    <row r="1473">
      <c r="A1473" t="inlineStr">
        <is>
          <t>ORD-2505-1472</t>
        </is>
      </c>
      <c r="B1473" s="11" t="n">
        <v>45803</v>
      </c>
      <c r="C1473" t="inlineStr">
        <is>
          <t>West</t>
        </is>
      </c>
      <c r="D1473" t="inlineStr">
        <is>
          <t>Pune</t>
        </is>
      </c>
      <c r="E1473" t="inlineStr">
        <is>
          <t>Small Business</t>
        </is>
      </c>
      <c r="F1473" t="inlineStr">
        <is>
          <t>Retail Store</t>
        </is>
      </c>
      <c r="G1473" t="inlineStr">
        <is>
          <t>Technology</t>
        </is>
      </c>
      <c r="H1473" t="inlineStr">
        <is>
          <t>Printer</t>
        </is>
      </c>
      <c r="I1473" t="n">
        <v>2</v>
      </c>
      <c r="J1473" s="12" t="n">
        <v>9882.620000000001</v>
      </c>
      <c r="K1473" s="13" t="n">
        <v>0.1</v>
      </c>
      <c r="L1473" s="12" t="n">
        <v>17788.72</v>
      </c>
      <c r="M1473" s="12" t="n">
        <v>16602.8</v>
      </c>
      <c r="N1473" s="12" t="n">
        <v>1185.92</v>
      </c>
      <c r="O1473" t="inlineStr">
        <is>
          <t>UPI</t>
        </is>
      </c>
      <c r="P1473" t="inlineStr">
        <is>
          <t>Kabir Singh</t>
        </is>
      </c>
    </row>
    <row r="1474">
      <c r="A1474" t="inlineStr">
        <is>
          <t>ORD-2501-1473</t>
        </is>
      </c>
      <c r="B1474" s="11" t="n">
        <v>45669</v>
      </c>
      <c r="C1474" t="inlineStr">
        <is>
          <t>Central</t>
        </is>
      </c>
      <c r="D1474" t="inlineStr">
        <is>
          <t>Raipur</t>
        </is>
      </c>
      <c r="E1474" t="inlineStr">
        <is>
          <t>Consumer</t>
        </is>
      </c>
      <c r="F1474" t="inlineStr">
        <is>
          <t>Partner</t>
        </is>
      </c>
      <c r="G1474" t="inlineStr">
        <is>
          <t>Office Supplies</t>
        </is>
      </c>
      <c r="H1474" t="inlineStr">
        <is>
          <t>File Folder</t>
        </is>
      </c>
      <c r="I1474" t="n">
        <v>2</v>
      </c>
      <c r="J1474" s="12" t="n">
        <v>94.68000000000001</v>
      </c>
      <c r="K1474" s="13" t="n">
        <v>0.15</v>
      </c>
      <c r="L1474" s="12" t="n">
        <v>160.96</v>
      </c>
      <c r="M1474" s="12" t="n">
        <v>117.4</v>
      </c>
      <c r="N1474" s="12" t="n">
        <v>43.56</v>
      </c>
      <c r="O1474" t="inlineStr">
        <is>
          <t>Cash</t>
        </is>
      </c>
      <c r="P1474" t="inlineStr">
        <is>
          <t>Aarav Sharma</t>
        </is>
      </c>
    </row>
    <row r="1475">
      <c r="A1475" t="inlineStr">
        <is>
          <t>ORD-2503-1474</t>
        </is>
      </c>
      <c r="B1475" s="11" t="n">
        <v>45740</v>
      </c>
      <c r="C1475" t="inlineStr">
        <is>
          <t>North</t>
        </is>
      </c>
      <c r="D1475" t="inlineStr">
        <is>
          <t>Chandigarh</t>
        </is>
      </c>
      <c r="E1475" t="inlineStr">
        <is>
          <t>Consumer</t>
        </is>
      </c>
      <c r="F1475" t="inlineStr">
        <is>
          <t>Online</t>
        </is>
      </c>
      <c r="G1475" t="inlineStr">
        <is>
          <t>Office Supplies</t>
        </is>
      </c>
      <c r="H1475" t="inlineStr">
        <is>
          <t>File Folder</t>
        </is>
      </c>
      <c r="I1475" t="n">
        <v>3</v>
      </c>
      <c r="J1475" s="12" t="n">
        <v>94.97</v>
      </c>
      <c r="K1475" s="13" t="n">
        <v>0</v>
      </c>
      <c r="L1475" s="12" t="n">
        <v>284.91</v>
      </c>
      <c r="M1475" s="12" t="n">
        <v>176.64</v>
      </c>
      <c r="N1475" s="12" t="n">
        <v>108.27</v>
      </c>
      <c r="O1475" t="inlineStr">
        <is>
          <t>Debit Card</t>
        </is>
      </c>
      <c r="P1475" t="inlineStr">
        <is>
          <t>Kabir Singh</t>
        </is>
      </c>
    </row>
    <row r="1476">
      <c r="A1476" t="inlineStr">
        <is>
          <t>ORD-2503-1475</t>
        </is>
      </c>
      <c r="B1476" s="11" t="n">
        <v>45746</v>
      </c>
      <c r="C1476" t="inlineStr">
        <is>
          <t>South</t>
        </is>
      </c>
      <c r="D1476" t="inlineStr">
        <is>
          <t>Hyderabad</t>
        </is>
      </c>
      <c r="E1476" t="inlineStr">
        <is>
          <t>Small Business</t>
        </is>
      </c>
      <c r="F1476" t="inlineStr">
        <is>
          <t>Retail Store</t>
        </is>
      </c>
      <c r="G1476" t="inlineStr">
        <is>
          <t>Technology</t>
        </is>
      </c>
      <c r="H1476" t="inlineStr">
        <is>
          <t>Monitor</t>
        </is>
      </c>
      <c r="I1476" t="n">
        <v>1</v>
      </c>
      <c r="J1476" s="12" t="n">
        <v>12370.39</v>
      </c>
      <c r="K1476" s="13" t="n">
        <v>0.1</v>
      </c>
      <c r="L1476" s="12" t="n">
        <v>11133.35</v>
      </c>
      <c r="M1476" s="12" t="n">
        <v>10143.72</v>
      </c>
      <c r="N1476" s="12" t="n">
        <v>989.63</v>
      </c>
      <c r="O1476" t="inlineStr">
        <is>
          <t>Debit Card</t>
        </is>
      </c>
      <c r="P1476" t="inlineStr">
        <is>
          <t>Meera Joshi</t>
        </is>
      </c>
    </row>
    <row r="1477">
      <c r="A1477" t="inlineStr">
        <is>
          <t>ORD-2504-1476</t>
        </is>
      </c>
      <c r="B1477" s="11" t="n">
        <v>45776</v>
      </c>
      <c r="C1477" t="inlineStr">
        <is>
          <t>North</t>
        </is>
      </c>
      <c r="D1477" t="inlineStr">
        <is>
          <t>Delhi</t>
        </is>
      </c>
      <c r="E1477" t="inlineStr">
        <is>
          <t>Corporate</t>
        </is>
      </c>
      <c r="F1477" t="inlineStr">
        <is>
          <t>Partner</t>
        </is>
      </c>
      <c r="G1477" t="inlineStr">
        <is>
          <t>Furniture</t>
        </is>
      </c>
      <c r="H1477" t="inlineStr">
        <is>
          <t>Desk</t>
        </is>
      </c>
      <c r="I1477" t="n">
        <v>4</v>
      </c>
      <c r="J1477" s="12" t="n">
        <v>11940.06</v>
      </c>
      <c r="K1477" s="13" t="n">
        <v>0.05</v>
      </c>
      <c r="L1477" s="12" t="n">
        <v>45372.23</v>
      </c>
      <c r="M1477" s="12" t="n">
        <v>36297.78</v>
      </c>
      <c r="N1477" s="12" t="n">
        <v>9074.450000000001</v>
      </c>
      <c r="O1477" t="inlineStr">
        <is>
          <t>Debit Card</t>
        </is>
      </c>
      <c r="P1477" t="inlineStr">
        <is>
          <t>Aarav Sharma</t>
        </is>
      </c>
    </row>
    <row r="1478">
      <c r="A1478" t="inlineStr">
        <is>
          <t>ORD-2510-1477</t>
        </is>
      </c>
      <c r="B1478" s="11" t="n">
        <v>45935</v>
      </c>
      <c r="C1478" t="inlineStr">
        <is>
          <t>East</t>
        </is>
      </c>
      <c r="D1478" t="inlineStr">
        <is>
          <t>Patna</t>
        </is>
      </c>
      <c r="E1478" t="inlineStr">
        <is>
          <t>Corporate</t>
        </is>
      </c>
      <c r="F1478" t="inlineStr">
        <is>
          <t>Online</t>
        </is>
      </c>
      <c r="G1478" t="inlineStr">
        <is>
          <t>Office Supplies</t>
        </is>
      </c>
      <c r="H1478" t="inlineStr">
        <is>
          <t>Pens Box</t>
        </is>
      </c>
      <c r="I1478" t="n">
        <v>3</v>
      </c>
      <c r="J1478" s="12" t="n">
        <v>180.69</v>
      </c>
      <c r="K1478" s="13" t="n">
        <v>0.15</v>
      </c>
      <c r="L1478" s="12" t="n">
        <v>460.76</v>
      </c>
      <c r="M1478" s="12" t="n">
        <v>352.35</v>
      </c>
      <c r="N1478" s="12" t="n">
        <v>108.41</v>
      </c>
      <c r="O1478" t="inlineStr">
        <is>
          <t>Debit Card</t>
        </is>
      </c>
      <c r="P1478" t="inlineStr">
        <is>
          <t>Vivaan Gupta</t>
        </is>
      </c>
    </row>
    <row r="1479">
      <c r="A1479" t="inlineStr">
        <is>
          <t>ORD-2508-1478</t>
        </is>
      </c>
      <c r="B1479" s="11" t="n">
        <v>45884</v>
      </c>
      <c r="C1479" t="inlineStr">
        <is>
          <t>Central</t>
        </is>
      </c>
      <c r="D1479" t="inlineStr">
        <is>
          <t>Indore</t>
        </is>
      </c>
      <c r="E1479" t="inlineStr">
        <is>
          <t>Small Business</t>
        </is>
      </c>
      <c r="F1479" t="inlineStr">
        <is>
          <t>Retail Store</t>
        </is>
      </c>
      <c r="G1479" t="inlineStr">
        <is>
          <t>Furniture</t>
        </is>
      </c>
      <c r="H1479" t="inlineStr">
        <is>
          <t>Office Chair</t>
        </is>
      </c>
      <c r="I1479" t="n">
        <v>1</v>
      </c>
      <c r="J1479" s="12" t="n">
        <v>7166.59</v>
      </c>
      <c r="K1479" s="13" t="n">
        <v>0</v>
      </c>
      <c r="L1479" s="12" t="n">
        <v>7166.59</v>
      </c>
      <c r="M1479" s="12" t="n">
        <v>5159.94</v>
      </c>
      <c r="N1479" s="12" t="n">
        <v>2006.65</v>
      </c>
      <c r="O1479" t="inlineStr">
        <is>
          <t>UPI</t>
        </is>
      </c>
      <c r="P1479" t="inlineStr">
        <is>
          <t>Vivaan Gupta</t>
        </is>
      </c>
    </row>
    <row r="1480">
      <c r="A1480" t="inlineStr">
        <is>
          <t>ORD-2504-1479</t>
        </is>
      </c>
      <c r="B1480" s="11" t="n">
        <v>45764</v>
      </c>
      <c r="C1480" t="inlineStr">
        <is>
          <t>South</t>
        </is>
      </c>
      <c r="D1480" t="inlineStr">
        <is>
          <t>Hyderabad</t>
        </is>
      </c>
      <c r="E1480" t="inlineStr">
        <is>
          <t>Consumer</t>
        </is>
      </c>
      <c r="F1480" t="inlineStr">
        <is>
          <t>Retail Store</t>
        </is>
      </c>
      <c r="G1480" t="inlineStr">
        <is>
          <t>Furniture</t>
        </is>
      </c>
      <c r="H1480" t="inlineStr">
        <is>
          <t>Office Chair</t>
        </is>
      </c>
      <c r="I1480" t="n">
        <v>2</v>
      </c>
      <c r="J1480" s="12" t="n">
        <v>6572.26</v>
      </c>
      <c r="K1480" s="13" t="n">
        <v>0</v>
      </c>
      <c r="L1480" s="12" t="n">
        <v>13144.52</v>
      </c>
      <c r="M1480" s="12" t="n">
        <v>9464.049999999999</v>
      </c>
      <c r="N1480" s="12" t="n">
        <v>3680.47</v>
      </c>
      <c r="O1480" t="inlineStr">
        <is>
          <t>Cash</t>
        </is>
      </c>
      <c r="P1480" t="inlineStr">
        <is>
          <t>Anaya Rao</t>
        </is>
      </c>
    </row>
    <row r="1481">
      <c r="A1481" t="inlineStr">
        <is>
          <t>ORD-2501-1480</t>
        </is>
      </c>
      <c r="B1481" s="11" t="n">
        <v>45670</v>
      </c>
      <c r="C1481" t="inlineStr">
        <is>
          <t>Central</t>
        </is>
      </c>
      <c r="D1481" t="inlineStr">
        <is>
          <t>Indore</t>
        </is>
      </c>
      <c r="E1481" t="inlineStr">
        <is>
          <t>Corporate</t>
        </is>
      </c>
      <c r="F1481" t="inlineStr">
        <is>
          <t>Partner</t>
        </is>
      </c>
      <c r="G1481" t="inlineStr">
        <is>
          <t>Office Supplies</t>
        </is>
      </c>
      <c r="H1481" t="inlineStr">
        <is>
          <t>Pens Box</t>
        </is>
      </c>
      <c r="I1481" t="n">
        <v>4</v>
      </c>
      <c r="J1481" s="12" t="n">
        <v>188.64</v>
      </c>
      <c r="K1481" s="13" t="n">
        <v>0.05</v>
      </c>
      <c r="L1481" s="12" t="n">
        <v>716.83</v>
      </c>
      <c r="M1481" s="12" t="n">
        <v>490.46</v>
      </c>
      <c r="N1481" s="12" t="n">
        <v>226.37</v>
      </c>
      <c r="O1481" t="inlineStr">
        <is>
          <t>Net Banking</t>
        </is>
      </c>
      <c r="P1481" t="inlineStr">
        <is>
          <t>Sara Khan</t>
        </is>
      </c>
    </row>
    <row r="1482">
      <c r="A1482" t="inlineStr">
        <is>
          <t>ORD-2507-1481</t>
        </is>
      </c>
      <c r="B1482" s="11" t="n">
        <v>45853</v>
      </c>
      <c r="C1482" t="inlineStr">
        <is>
          <t>North</t>
        </is>
      </c>
      <c r="D1482" t="inlineStr">
        <is>
          <t>Lucknow</t>
        </is>
      </c>
      <c r="E1482" t="inlineStr">
        <is>
          <t>Corporate</t>
        </is>
      </c>
      <c r="F1482" t="inlineStr">
        <is>
          <t>Retail Store</t>
        </is>
      </c>
      <c r="G1482" t="inlineStr">
        <is>
          <t>Furniture</t>
        </is>
      </c>
      <c r="H1482" t="inlineStr">
        <is>
          <t>Desk</t>
        </is>
      </c>
      <c r="I1482" t="n">
        <v>4</v>
      </c>
      <c r="J1482" s="12" t="n">
        <v>10744.61</v>
      </c>
      <c r="K1482" s="13" t="n">
        <v>0.15</v>
      </c>
      <c r="L1482" s="12" t="n">
        <v>36531.67</v>
      </c>
      <c r="M1482" s="12" t="n">
        <v>32663.61</v>
      </c>
      <c r="N1482" s="12" t="n">
        <v>3868.06</v>
      </c>
      <c r="O1482" t="inlineStr">
        <is>
          <t>UPI</t>
        </is>
      </c>
      <c r="P1482" t="inlineStr">
        <is>
          <t>Rohan Verma</t>
        </is>
      </c>
    </row>
    <row r="1483">
      <c r="A1483" t="inlineStr">
        <is>
          <t>ORD-2507-1482</t>
        </is>
      </c>
      <c r="B1483" s="11" t="n">
        <v>45845</v>
      </c>
      <c r="C1483" t="inlineStr">
        <is>
          <t>East</t>
        </is>
      </c>
      <c r="D1483" t="inlineStr">
        <is>
          <t>Guwahati</t>
        </is>
      </c>
      <c r="E1483" t="inlineStr">
        <is>
          <t>Small Business</t>
        </is>
      </c>
      <c r="F1483" t="inlineStr">
        <is>
          <t>Partner</t>
        </is>
      </c>
      <c r="G1483" t="inlineStr">
        <is>
          <t>Technology</t>
        </is>
      </c>
      <c r="H1483" t="inlineStr">
        <is>
          <t>Keyboard</t>
        </is>
      </c>
      <c r="I1483" t="n">
        <v>1</v>
      </c>
      <c r="J1483" s="12" t="n">
        <v>1432.48</v>
      </c>
      <c r="K1483" s="13" t="n">
        <v>0.15</v>
      </c>
      <c r="L1483" s="12" t="n">
        <v>1217.61</v>
      </c>
      <c r="M1483" s="12" t="n">
        <v>1074.36</v>
      </c>
      <c r="N1483" s="12" t="n">
        <v>143.25</v>
      </c>
      <c r="O1483" t="inlineStr">
        <is>
          <t>UPI</t>
        </is>
      </c>
      <c r="P1483" t="inlineStr">
        <is>
          <t>Aarav Sharma</t>
        </is>
      </c>
    </row>
    <row r="1484">
      <c r="A1484" t="inlineStr">
        <is>
          <t>ORD-2507-1483</t>
        </is>
      </c>
      <c r="B1484" s="11" t="n">
        <v>45853</v>
      </c>
      <c r="C1484" t="inlineStr">
        <is>
          <t>East</t>
        </is>
      </c>
      <c r="D1484" t="inlineStr">
        <is>
          <t>Kolkata</t>
        </is>
      </c>
      <c r="E1484" t="inlineStr">
        <is>
          <t>Small Business</t>
        </is>
      </c>
      <c r="F1484" t="inlineStr">
        <is>
          <t>Partner</t>
        </is>
      </c>
      <c r="G1484" t="inlineStr">
        <is>
          <t>Office Supplies</t>
        </is>
      </c>
      <c r="H1484" t="inlineStr">
        <is>
          <t>File Folder</t>
        </is>
      </c>
      <c r="I1484" t="n">
        <v>2</v>
      </c>
      <c r="J1484" s="12" t="n">
        <v>85.09</v>
      </c>
      <c r="K1484" s="13" t="n">
        <v>0.1</v>
      </c>
      <c r="L1484" s="12" t="n">
        <v>153.16</v>
      </c>
      <c r="M1484" s="12" t="n">
        <v>105.51</v>
      </c>
      <c r="N1484" s="12" t="n">
        <v>47.65</v>
      </c>
      <c r="O1484" t="inlineStr">
        <is>
          <t>Cash</t>
        </is>
      </c>
      <c r="P1484" t="inlineStr">
        <is>
          <t>Aarav Sharma</t>
        </is>
      </c>
    </row>
    <row r="1485">
      <c r="A1485" t="inlineStr">
        <is>
          <t>ORD-2505-1484</t>
        </is>
      </c>
      <c r="B1485" s="11" t="n">
        <v>45786</v>
      </c>
      <c r="C1485" t="inlineStr">
        <is>
          <t>North</t>
        </is>
      </c>
      <c r="D1485" t="inlineStr">
        <is>
          <t>Chandigarh</t>
        </is>
      </c>
      <c r="E1485" t="inlineStr">
        <is>
          <t>Consumer</t>
        </is>
      </c>
      <c r="F1485" t="inlineStr">
        <is>
          <t>Online</t>
        </is>
      </c>
      <c r="G1485" t="inlineStr">
        <is>
          <t>Furniture</t>
        </is>
      </c>
      <c r="H1485" t="inlineStr">
        <is>
          <t>Bookshelf</t>
        </is>
      </c>
      <c r="I1485" t="n">
        <v>1</v>
      </c>
      <c r="J1485" s="12" t="n">
        <v>5146.66</v>
      </c>
      <c r="K1485" s="13" t="n">
        <v>0</v>
      </c>
      <c r="L1485" s="12" t="n">
        <v>5146.66</v>
      </c>
      <c r="M1485" s="12" t="n">
        <v>3808.53</v>
      </c>
      <c r="N1485" s="12" t="n">
        <v>1338.13</v>
      </c>
      <c r="O1485" t="inlineStr">
        <is>
          <t>Debit Card</t>
        </is>
      </c>
      <c r="P1485" t="inlineStr">
        <is>
          <t>Rohan Verma</t>
        </is>
      </c>
    </row>
    <row r="1486">
      <c r="A1486" t="inlineStr">
        <is>
          <t>ORD-2503-1485</t>
        </is>
      </c>
      <c r="B1486" s="11" t="n">
        <v>45743</v>
      </c>
      <c r="C1486" t="inlineStr">
        <is>
          <t>Central</t>
        </is>
      </c>
      <c r="D1486" t="inlineStr">
        <is>
          <t>Bhopal</t>
        </is>
      </c>
      <c r="E1486" t="inlineStr">
        <is>
          <t>Small Business</t>
        </is>
      </c>
      <c r="F1486" t="inlineStr">
        <is>
          <t>Online</t>
        </is>
      </c>
      <c r="G1486" t="inlineStr">
        <is>
          <t>Technology</t>
        </is>
      </c>
      <c r="H1486" t="inlineStr">
        <is>
          <t>Printer</t>
        </is>
      </c>
      <c r="I1486" t="n">
        <v>6</v>
      </c>
      <c r="J1486" s="12" t="n">
        <v>9610.370000000001</v>
      </c>
      <c r="K1486" s="13" t="n">
        <v>0.1</v>
      </c>
      <c r="L1486" s="12" t="n">
        <v>51896</v>
      </c>
      <c r="M1486" s="12" t="n">
        <v>48436.26</v>
      </c>
      <c r="N1486" s="12" t="n">
        <v>3459.74</v>
      </c>
      <c r="O1486" t="inlineStr">
        <is>
          <t>Net Banking</t>
        </is>
      </c>
      <c r="P1486" t="inlineStr">
        <is>
          <t>Anaya Rao</t>
        </is>
      </c>
    </row>
    <row r="1487">
      <c r="A1487" t="inlineStr">
        <is>
          <t>ORD-2508-1486</t>
        </is>
      </c>
      <c r="B1487" s="11" t="n">
        <v>45874</v>
      </c>
      <c r="C1487" t="inlineStr">
        <is>
          <t>South</t>
        </is>
      </c>
      <c r="D1487" t="inlineStr">
        <is>
          <t>Chennai</t>
        </is>
      </c>
      <c r="E1487" t="inlineStr">
        <is>
          <t>Consumer</t>
        </is>
      </c>
      <c r="F1487" t="inlineStr">
        <is>
          <t>Online</t>
        </is>
      </c>
      <c r="G1487" t="inlineStr">
        <is>
          <t>Technology</t>
        </is>
      </c>
      <c r="H1487" t="inlineStr">
        <is>
          <t>Laptop</t>
        </is>
      </c>
      <c r="I1487" t="n">
        <v>5</v>
      </c>
      <c r="J1487" s="12" t="n">
        <v>43428.2</v>
      </c>
      <c r="K1487" s="13" t="n">
        <v>0</v>
      </c>
      <c r="L1487" s="12" t="n">
        <v>217141</v>
      </c>
      <c r="M1487" s="12" t="n">
        <v>191084.08</v>
      </c>
      <c r="N1487" s="12" t="n">
        <v>26056.92</v>
      </c>
      <c r="O1487" t="inlineStr">
        <is>
          <t>Net Banking</t>
        </is>
      </c>
      <c r="P1487" t="inlineStr">
        <is>
          <t>Kabir Singh</t>
        </is>
      </c>
    </row>
    <row r="1488">
      <c r="A1488" t="inlineStr">
        <is>
          <t>ORD-2510-1487</t>
        </is>
      </c>
      <c r="B1488" s="11" t="n">
        <v>45931</v>
      </c>
      <c r="C1488" t="inlineStr">
        <is>
          <t>North</t>
        </is>
      </c>
      <c r="D1488" t="inlineStr">
        <is>
          <t>Lucknow</t>
        </is>
      </c>
      <c r="E1488" t="inlineStr">
        <is>
          <t>Consumer</t>
        </is>
      </c>
      <c r="F1488" t="inlineStr">
        <is>
          <t>Online</t>
        </is>
      </c>
      <c r="G1488" t="inlineStr">
        <is>
          <t>Furniture</t>
        </is>
      </c>
      <c r="H1488" t="inlineStr">
        <is>
          <t>Storage Cabinet</t>
        </is>
      </c>
      <c r="I1488" t="n">
        <v>4</v>
      </c>
      <c r="J1488" s="12" t="n">
        <v>8405.469999999999</v>
      </c>
      <c r="K1488" s="13" t="n">
        <v>0.1</v>
      </c>
      <c r="L1488" s="12" t="n">
        <v>30259.69</v>
      </c>
      <c r="M1488" s="12" t="n">
        <v>26897.5</v>
      </c>
      <c r="N1488" s="12" t="n">
        <v>3362.19</v>
      </c>
      <c r="O1488" t="inlineStr">
        <is>
          <t>Credit Card</t>
        </is>
      </c>
      <c r="P1488" t="inlineStr">
        <is>
          <t>Sara Khan</t>
        </is>
      </c>
    </row>
    <row r="1489">
      <c r="A1489" t="inlineStr">
        <is>
          <t>ORD-2503-1488</t>
        </is>
      </c>
      <c r="B1489" s="11" t="n">
        <v>45745</v>
      </c>
      <c r="C1489" t="inlineStr">
        <is>
          <t>East</t>
        </is>
      </c>
      <c r="D1489" t="inlineStr">
        <is>
          <t>Kolkata</t>
        </is>
      </c>
      <c r="E1489" t="inlineStr">
        <is>
          <t>Consumer</t>
        </is>
      </c>
      <c r="F1489" t="inlineStr">
        <is>
          <t>Retail Store</t>
        </is>
      </c>
      <c r="G1489" t="inlineStr">
        <is>
          <t>Furniture</t>
        </is>
      </c>
      <c r="H1489" t="inlineStr">
        <is>
          <t>Storage Cabinet</t>
        </is>
      </c>
      <c r="I1489" t="n">
        <v>3</v>
      </c>
      <c r="J1489" s="12" t="n">
        <v>8380.17</v>
      </c>
      <c r="K1489" s="13" t="n">
        <v>0</v>
      </c>
      <c r="L1489" s="12" t="n">
        <v>25140.51</v>
      </c>
      <c r="M1489" s="12" t="n">
        <v>20112.41</v>
      </c>
      <c r="N1489" s="12" t="n">
        <v>5028.1</v>
      </c>
      <c r="O1489" t="inlineStr">
        <is>
          <t>UPI</t>
        </is>
      </c>
      <c r="P1489" t="inlineStr">
        <is>
          <t>Kabir Singh</t>
        </is>
      </c>
    </row>
    <row r="1490">
      <c r="A1490" t="inlineStr">
        <is>
          <t>ORD-2505-1489</t>
        </is>
      </c>
      <c r="B1490" s="11" t="n">
        <v>45781</v>
      </c>
      <c r="C1490" t="inlineStr">
        <is>
          <t>Central</t>
        </is>
      </c>
      <c r="D1490" t="inlineStr">
        <is>
          <t>Raipur</t>
        </is>
      </c>
      <c r="E1490" t="inlineStr">
        <is>
          <t>Small Business</t>
        </is>
      </c>
      <c r="F1490" t="inlineStr">
        <is>
          <t>Online</t>
        </is>
      </c>
      <c r="G1490" t="inlineStr">
        <is>
          <t>Office Supplies</t>
        </is>
      </c>
      <c r="H1490" t="inlineStr">
        <is>
          <t>Notebook Pack</t>
        </is>
      </c>
      <c r="I1490" t="n">
        <v>5</v>
      </c>
      <c r="J1490" s="12" t="n">
        <v>347.48</v>
      </c>
      <c r="K1490" s="13" t="n">
        <v>0.05</v>
      </c>
      <c r="L1490" s="12" t="n">
        <v>1650.53</v>
      </c>
      <c r="M1490" s="12" t="n">
        <v>1181.43</v>
      </c>
      <c r="N1490" s="12" t="n">
        <v>469.1</v>
      </c>
      <c r="O1490" t="inlineStr">
        <is>
          <t>UPI</t>
        </is>
      </c>
      <c r="P1490" t="inlineStr">
        <is>
          <t>Kabir Singh</t>
        </is>
      </c>
    </row>
    <row r="1491">
      <c r="A1491" t="inlineStr">
        <is>
          <t>ORD-2511-1490</t>
        </is>
      </c>
      <c r="B1491" s="11" t="n">
        <v>45985</v>
      </c>
      <c r="C1491" t="inlineStr">
        <is>
          <t>Central</t>
        </is>
      </c>
      <c r="D1491" t="inlineStr">
        <is>
          <t>Bhopal</t>
        </is>
      </c>
      <c r="E1491" t="inlineStr">
        <is>
          <t>Small Business</t>
        </is>
      </c>
      <c r="F1491" t="inlineStr">
        <is>
          <t>Retail Store</t>
        </is>
      </c>
      <c r="G1491" t="inlineStr">
        <is>
          <t>Technology</t>
        </is>
      </c>
      <c r="H1491" t="inlineStr">
        <is>
          <t>Monitor</t>
        </is>
      </c>
      <c r="I1491" t="n">
        <v>10</v>
      </c>
      <c r="J1491" s="12" t="n">
        <v>12074.4</v>
      </c>
      <c r="K1491" s="13" t="n">
        <v>0</v>
      </c>
      <c r="L1491" s="12" t="n">
        <v>120744</v>
      </c>
      <c r="M1491" s="12" t="n">
        <v>99010.08</v>
      </c>
      <c r="N1491" s="12" t="n">
        <v>21733.92</v>
      </c>
      <c r="O1491" t="inlineStr">
        <is>
          <t>Debit Card</t>
        </is>
      </c>
      <c r="P1491" t="inlineStr">
        <is>
          <t>Vivaan Gupta</t>
        </is>
      </c>
    </row>
    <row r="1492">
      <c r="A1492" t="inlineStr">
        <is>
          <t>ORD-2509-1491</t>
        </is>
      </c>
      <c r="B1492" s="11" t="n">
        <v>45926</v>
      </c>
      <c r="C1492" t="inlineStr">
        <is>
          <t>West</t>
        </is>
      </c>
      <c r="D1492" t="inlineStr">
        <is>
          <t>Ahmedabad</t>
        </is>
      </c>
      <c r="E1492" t="inlineStr">
        <is>
          <t>Corporate</t>
        </is>
      </c>
      <c r="F1492" t="inlineStr">
        <is>
          <t>Partner</t>
        </is>
      </c>
      <c r="G1492" t="inlineStr">
        <is>
          <t>Office Supplies</t>
        </is>
      </c>
      <c r="H1492" t="inlineStr">
        <is>
          <t>File Folder</t>
        </is>
      </c>
      <c r="I1492" t="n">
        <v>3</v>
      </c>
      <c r="J1492" s="12" t="n">
        <v>93.59</v>
      </c>
      <c r="K1492" s="13" t="n">
        <v>0.1</v>
      </c>
      <c r="L1492" s="12" t="n">
        <v>252.69</v>
      </c>
      <c r="M1492" s="12" t="n">
        <v>174.08</v>
      </c>
      <c r="N1492" s="12" t="n">
        <v>78.61</v>
      </c>
      <c r="O1492" t="inlineStr">
        <is>
          <t>Debit Card</t>
        </is>
      </c>
      <c r="P1492" t="inlineStr">
        <is>
          <t>Kabir Singh</t>
        </is>
      </c>
    </row>
    <row r="1493">
      <c r="A1493" t="inlineStr">
        <is>
          <t>ORD-2509-1492</t>
        </is>
      </c>
      <c r="B1493" s="11" t="n">
        <v>45915</v>
      </c>
      <c r="C1493" t="inlineStr">
        <is>
          <t>West</t>
        </is>
      </c>
      <c r="D1493" t="inlineStr">
        <is>
          <t>Pune</t>
        </is>
      </c>
      <c r="E1493" t="inlineStr">
        <is>
          <t>Corporate</t>
        </is>
      </c>
      <c r="F1493" t="inlineStr">
        <is>
          <t>Online</t>
        </is>
      </c>
      <c r="G1493" t="inlineStr">
        <is>
          <t>Office Supplies</t>
        </is>
      </c>
      <c r="H1493" t="inlineStr">
        <is>
          <t>File Folder</t>
        </is>
      </c>
      <c r="I1493" t="n">
        <v>1</v>
      </c>
      <c r="J1493" s="12" t="n">
        <v>97.12</v>
      </c>
      <c r="K1493" s="13" t="n">
        <v>0</v>
      </c>
      <c r="L1493" s="12" t="n">
        <v>97.12</v>
      </c>
      <c r="M1493" s="12" t="n">
        <v>60.21</v>
      </c>
      <c r="N1493" s="12" t="n">
        <v>36.91</v>
      </c>
      <c r="O1493" t="inlineStr">
        <is>
          <t>Cash</t>
        </is>
      </c>
      <c r="P1493" t="inlineStr">
        <is>
          <t>Vivaan Gupta</t>
        </is>
      </c>
    </row>
    <row r="1494">
      <c r="A1494" t="inlineStr">
        <is>
          <t>ORD-2507-1493</t>
        </is>
      </c>
      <c r="B1494" s="11" t="n">
        <v>45853</v>
      </c>
      <c r="C1494" t="inlineStr">
        <is>
          <t>West</t>
        </is>
      </c>
      <c r="D1494" t="inlineStr">
        <is>
          <t>Ahmedabad</t>
        </is>
      </c>
      <c r="E1494" t="inlineStr">
        <is>
          <t>Consumer</t>
        </is>
      </c>
      <c r="F1494" t="inlineStr">
        <is>
          <t>Retail Store</t>
        </is>
      </c>
      <c r="G1494" t="inlineStr">
        <is>
          <t>Furniture</t>
        </is>
      </c>
      <c r="H1494" t="inlineStr">
        <is>
          <t>Office Chair</t>
        </is>
      </c>
      <c r="I1494" t="n">
        <v>1</v>
      </c>
      <c r="J1494" s="12" t="n">
        <v>7072.34</v>
      </c>
      <c r="K1494" s="13" t="n">
        <v>0.05</v>
      </c>
      <c r="L1494" s="12" t="n">
        <v>6718.72</v>
      </c>
      <c r="M1494" s="12" t="n">
        <v>5092.08</v>
      </c>
      <c r="N1494" s="12" t="n">
        <v>1626.64</v>
      </c>
      <c r="O1494" t="inlineStr">
        <is>
          <t>UPI</t>
        </is>
      </c>
      <c r="P1494" t="inlineStr">
        <is>
          <t>Anaya Rao</t>
        </is>
      </c>
    </row>
    <row r="1495">
      <c r="A1495" t="inlineStr">
        <is>
          <t>ORD-2510-1494</t>
        </is>
      </c>
      <c r="B1495" s="11" t="n">
        <v>45960</v>
      </c>
      <c r="C1495" t="inlineStr">
        <is>
          <t>South</t>
        </is>
      </c>
      <c r="D1495" t="inlineStr">
        <is>
          <t>Hyderabad</t>
        </is>
      </c>
      <c r="E1495" t="inlineStr">
        <is>
          <t>Corporate</t>
        </is>
      </c>
      <c r="F1495" t="inlineStr">
        <is>
          <t>Retail Store</t>
        </is>
      </c>
      <c r="G1495" t="inlineStr">
        <is>
          <t>Furniture</t>
        </is>
      </c>
      <c r="H1495" t="inlineStr">
        <is>
          <t>Desk</t>
        </is>
      </c>
      <c r="I1495" t="n">
        <v>2</v>
      </c>
      <c r="J1495" s="12" t="n">
        <v>10997.81</v>
      </c>
      <c r="K1495" s="13" t="n">
        <v>0</v>
      </c>
      <c r="L1495" s="12" t="n">
        <v>21995.62</v>
      </c>
      <c r="M1495" s="12" t="n">
        <v>16716.67</v>
      </c>
      <c r="N1495" s="12" t="n">
        <v>5278.95</v>
      </c>
      <c r="O1495" t="inlineStr">
        <is>
          <t>Debit Card</t>
        </is>
      </c>
      <c r="P1495" t="inlineStr">
        <is>
          <t>Vivaan Gupta</t>
        </is>
      </c>
    </row>
    <row r="1496">
      <c r="A1496" t="inlineStr">
        <is>
          <t>ORD-2508-1495</t>
        </is>
      </c>
      <c r="B1496" s="11" t="n">
        <v>45896</v>
      </c>
      <c r="C1496" t="inlineStr">
        <is>
          <t>West</t>
        </is>
      </c>
      <c r="D1496" t="inlineStr">
        <is>
          <t>Ahmedabad</t>
        </is>
      </c>
      <c r="E1496" t="inlineStr">
        <is>
          <t>Consumer</t>
        </is>
      </c>
      <c r="F1496" t="inlineStr">
        <is>
          <t>Partner</t>
        </is>
      </c>
      <c r="G1496" t="inlineStr">
        <is>
          <t>Technology</t>
        </is>
      </c>
      <c r="H1496" t="inlineStr">
        <is>
          <t>Printer</t>
        </is>
      </c>
      <c r="I1496" t="n">
        <v>3</v>
      </c>
      <c r="J1496" s="12" t="n">
        <v>8818.049999999999</v>
      </c>
      <c r="K1496" s="13" t="n">
        <v>0.05</v>
      </c>
      <c r="L1496" s="12" t="n">
        <v>25131.44</v>
      </c>
      <c r="M1496" s="12" t="n">
        <v>22221.49</v>
      </c>
      <c r="N1496" s="12" t="n">
        <v>2909.95</v>
      </c>
      <c r="O1496" t="inlineStr">
        <is>
          <t>Credit Card</t>
        </is>
      </c>
      <c r="P1496" t="inlineStr">
        <is>
          <t>Rohan Verma</t>
        </is>
      </c>
    </row>
    <row r="1497">
      <c r="A1497" t="inlineStr">
        <is>
          <t>ORD-2507-1496</t>
        </is>
      </c>
      <c r="B1497" s="11" t="n">
        <v>45849</v>
      </c>
      <c r="C1497" t="inlineStr">
        <is>
          <t>North</t>
        </is>
      </c>
      <c r="D1497" t="inlineStr">
        <is>
          <t>Chandigarh</t>
        </is>
      </c>
      <c r="E1497" t="inlineStr">
        <is>
          <t>Consumer</t>
        </is>
      </c>
      <c r="F1497" t="inlineStr">
        <is>
          <t>Partner</t>
        </is>
      </c>
      <c r="G1497" t="inlineStr">
        <is>
          <t>Furniture</t>
        </is>
      </c>
      <c r="H1497" t="inlineStr">
        <is>
          <t>Bookshelf</t>
        </is>
      </c>
      <c r="I1497" t="n">
        <v>6</v>
      </c>
      <c r="J1497" s="12" t="n">
        <v>5509.6</v>
      </c>
      <c r="K1497" s="13" t="n">
        <v>0.15</v>
      </c>
      <c r="L1497" s="12" t="n">
        <v>28098.96</v>
      </c>
      <c r="M1497" s="12" t="n">
        <v>24462.62</v>
      </c>
      <c r="N1497" s="12" t="n">
        <v>3636.34</v>
      </c>
      <c r="O1497" t="inlineStr">
        <is>
          <t>Net Banking</t>
        </is>
      </c>
      <c r="P1497" t="inlineStr">
        <is>
          <t>Sara Khan</t>
        </is>
      </c>
    </row>
    <row r="1498">
      <c r="A1498" t="inlineStr">
        <is>
          <t>ORD-2509-1497</t>
        </is>
      </c>
      <c r="B1498" s="11" t="n">
        <v>45920</v>
      </c>
      <c r="C1498" t="inlineStr">
        <is>
          <t>Central</t>
        </is>
      </c>
      <c r="D1498" t="inlineStr">
        <is>
          <t>Nagpur</t>
        </is>
      </c>
      <c r="E1498" t="inlineStr">
        <is>
          <t>Corporate</t>
        </is>
      </c>
      <c r="F1498" t="inlineStr">
        <is>
          <t>Retail Store</t>
        </is>
      </c>
      <c r="G1498" t="inlineStr">
        <is>
          <t>Technology</t>
        </is>
      </c>
      <c r="H1498" t="inlineStr">
        <is>
          <t>Laptop</t>
        </is>
      </c>
      <c r="I1498" t="n">
        <v>8</v>
      </c>
      <c r="J1498" s="12" t="n">
        <v>41861.96</v>
      </c>
      <c r="K1498" s="13" t="n">
        <v>0.15</v>
      </c>
      <c r="L1498" s="12" t="n">
        <v>284661.33</v>
      </c>
      <c r="M1498" s="12" t="n">
        <v>294708.2</v>
      </c>
      <c r="N1498" s="12" t="n">
        <v>-10046.87</v>
      </c>
      <c r="O1498" t="inlineStr">
        <is>
          <t>UPI</t>
        </is>
      </c>
      <c r="P1498" t="inlineStr">
        <is>
          <t>Rohan Verma</t>
        </is>
      </c>
    </row>
    <row r="1499">
      <c r="A1499" t="inlineStr">
        <is>
          <t>ORD-2509-1498</t>
        </is>
      </c>
      <c r="B1499" s="11" t="n">
        <v>45917</v>
      </c>
      <c r="C1499" t="inlineStr">
        <is>
          <t>South</t>
        </is>
      </c>
      <c r="D1499" t="inlineStr">
        <is>
          <t>Bengaluru</t>
        </is>
      </c>
      <c r="E1499" t="inlineStr">
        <is>
          <t>Consumer</t>
        </is>
      </c>
      <c r="F1499" t="inlineStr">
        <is>
          <t>Partner</t>
        </is>
      </c>
      <c r="G1499" t="inlineStr">
        <is>
          <t>Technology</t>
        </is>
      </c>
      <c r="H1499" t="inlineStr">
        <is>
          <t>Monitor</t>
        </is>
      </c>
      <c r="I1499" t="n">
        <v>1</v>
      </c>
      <c r="J1499" s="12" t="n">
        <v>12039.22</v>
      </c>
      <c r="K1499" s="13" t="n">
        <v>0.1</v>
      </c>
      <c r="L1499" s="12" t="n">
        <v>10835.3</v>
      </c>
      <c r="M1499" s="12" t="n">
        <v>9872.16</v>
      </c>
      <c r="N1499" s="12" t="n">
        <v>963.14</v>
      </c>
      <c r="O1499" t="inlineStr">
        <is>
          <t>UPI</t>
        </is>
      </c>
      <c r="P1499" t="inlineStr">
        <is>
          <t>Sara Khan</t>
        </is>
      </c>
    </row>
    <row r="1500">
      <c r="A1500" t="inlineStr">
        <is>
          <t>ORD-2501-1499</t>
        </is>
      </c>
      <c r="B1500" s="11" t="n">
        <v>45670</v>
      </c>
      <c r="C1500" t="inlineStr">
        <is>
          <t>West</t>
        </is>
      </c>
      <c r="D1500" t="inlineStr">
        <is>
          <t>Surat</t>
        </is>
      </c>
      <c r="E1500" t="inlineStr">
        <is>
          <t>Corporate</t>
        </is>
      </c>
      <c r="F1500" t="inlineStr">
        <is>
          <t>Retail Store</t>
        </is>
      </c>
      <c r="G1500" t="inlineStr">
        <is>
          <t>Furniture</t>
        </is>
      </c>
      <c r="H1500" t="inlineStr">
        <is>
          <t>Office Chair</t>
        </is>
      </c>
      <c r="I1500" t="n">
        <v>5</v>
      </c>
      <c r="J1500" s="12" t="n">
        <v>6932.49</v>
      </c>
      <c r="K1500" s="13" t="n">
        <v>0.05</v>
      </c>
      <c r="L1500" s="12" t="n">
        <v>32929.33</v>
      </c>
      <c r="M1500" s="12" t="n">
        <v>24956.96</v>
      </c>
      <c r="N1500" s="12" t="n">
        <v>7972.37</v>
      </c>
      <c r="O1500" t="inlineStr">
        <is>
          <t>Credit Card</t>
        </is>
      </c>
      <c r="P1500" t="inlineStr">
        <is>
          <t>Diya Patel</t>
        </is>
      </c>
    </row>
    <row r="1501">
      <c r="A1501" t="inlineStr">
        <is>
          <t>ORD-2508-1500</t>
        </is>
      </c>
      <c r="B1501" s="11" t="n">
        <v>45882</v>
      </c>
      <c r="C1501" t="inlineStr">
        <is>
          <t>West</t>
        </is>
      </c>
      <c r="D1501" t="inlineStr">
        <is>
          <t>Surat</t>
        </is>
      </c>
      <c r="E1501" t="inlineStr">
        <is>
          <t>Small Business</t>
        </is>
      </c>
      <c r="F1501" t="inlineStr">
        <is>
          <t>Partner</t>
        </is>
      </c>
      <c r="G1501" t="inlineStr">
        <is>
          <t>Office Supplies</t>
        </is>
      </c>
      <c r="H1501" t="inlineStr">
        <is>
          <t>File Folder</t>
        </is>
      </c>
      <c r="I1501" t="n">
        <v>3</v>
      </c>
      <c r="J1501" s="12" t="n">
        <v>90.69</v>
      </c>
      <c r="K1501" s="13" t="n">
        <v>0.1</v>
      </c>
      <c r="L1501" s="12" t="n">
        <v>244.86</v>
      </c>
      <c r="M1501" s="12" t="n">
        <v>168.68</v>
      </c>
      <c r="N1501" s="12" t="n">
        <v>76.18000000000001</v>
      </c>
      <c r="O1501" t="inlineStr">
        <is>
          <t>Cash</t>
        </is>
      </c>
      <c r="P1501" t="inlineStr">
        <is>
          <t>Diya Patel</t>
        </is>
      </c>
    </row>
  </sheetData>
  <autoFilter ref="A1:P1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18" customWidth="1" min="7" max="7"/>
    <col width="20" customWidth="1" min="8" max="8"/>
    <col width="11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8" customWidth="1" min="16" max="16"/>
    <col width="10" customWidth="1" min="17" max="17"/>
    <col width="12" customWidth="1" min="18" max="18"/>
    <col width="16" customWidth="1" min="19" max="19"/>
  </cols>
  <sheetData>
    <row r="1">
      <c r="A1" s="14" t="inlineStr">
        <is>
          <t>Order_ID</t>
        </is>
      </c>
      <c r="B1" s="14" t="inlineStr">
        <is>
          <t>Order_Date</t>
        </is>
      </c>
      <c r="C1" s="14" t="inlineStr">
        <is>
          <t>Region</t>
        </is>
      </c>
      <c r="D1" s="14" t="inlineStr">
        <is>
          <t>City</t>
        </is>
      </c>
      <c r="E1" s="14" t="inlineStr">
        <is>
          <t>Customer_Segment</t>
        </is>
      </c>
      <c r="F1" s="14" t="inlineStr">
        <is>
          <t>Sales_Channel</t>
        </is>
      </c>
      <c r="G1" s="14" t="inlineStr">
        <is>
          <t>Category</t>
        </is>
      </c>
      <c r="H1" s="14" t="inlineStr">
        <is>
          <t>Product</t>
        </is>
      </c>
      <c r="I1" s="14" t="inlineStr">
        <is>
          <t>Quantity</t>
        </is>
      </c>
      <c r="J1" s="14" t="inlineStr">
        <is>
          <t>Unit_Price</t>
        </is>
      </c>
      <c r="K1" s="14" t="inlineStr">
        <is>
          <t>Discount_Rate</t>
        </is>
      </c>
      <c r="L1" s="14" t="inlineStr">
        <is>
          <t>Sales</t>
        </is>
      </c>
      <c r="M1" s="14" t="inlineStr">
        <is>
          <t>Cost</t>
        </is>
      </c>
      <c r="N1" s="14" t="inlineStr">
        <is>
          <t>Profit</t>
        </is>
      </c>
      <c r="O1" s="14" t="inlineStr">
        <is>
          <t>Payment_Method</t>
        </is>
      </c>
      <c r="P1" s="14" t="inlineStr">
        <is>
          <t>Sales_Rep</t>
        </is>
      </c>
      <c r="Q1" s="14" t="inlineStr">
        <is>
          <t>Year</t>
        </is>
      </c>
      <c r="R1" s="14" t="inlineStr">
        <is>
          <t>Month</t>
        </is>
      </c>
      <c r="S1" s="14" t="inlineStr">
        <is>
          <t>Profit_Margin</t>
        </is>
      </c>
    </row>
    <row r="2">
      <c r="A2">
        <f>Raw_Data!A2</f>
        <v/>
      </c>
      <c r="B2" s="11">
        <f>Raw_Data!B2</f>
        <v/>
      </c>
      <c r="C2">
        <f>Raw_Data!C2</f>
        <v/>
      </c>
      <c r="D2">
        <f>Raw_Data!D2</f>
        <v/>
      </c>
      <c r="E2">
        <f>Raw_Data!E2</f>
        <v/>
      </c>
      <c r="F2">
        <f>Raw_Data!F2</f>
        <v/>
      </c>
      <c r="G2">
        <f>Raw_Data!G2</f>
        <v/>
      </c>
      <c r="H2">
        <f>Raw_Data!H2</f>
        <v/>
      </c>
      <c r="I2">
        <f>Raw_Data!I2</f>
        <v/>
      </c>
      <c r="J2" s="12">
        <f>Raw_Data!J2</f>
        <v/>
      </c>
      <c r="K2" s="13">
        <f>Raw_Data!K2</f>
        <v/>
      </c>
      <c r="L2" s="12">
        <f>Raw_Data!L2</f>
        <v/>
      </c>
      <c r="M2" s="12">
        <f>Raw_Data!M2</f>
        <v/>
      </c>
      <c r="N2" s="12">
        <f>Raw_Data!N2</f>
        <v/>
      </c>
      <c r="O2">
        <f>Raw_Data!O2</f>
        <v/>
      </c>
      <c r="P2">
        <f>Raw_Data!P2</f>
        <v/>
      </c>
      <c r="Q2">
        <f>YEAR(B2)</f>
        <v/>
      </c>
      <c r="R2">
        <f>TEXT(B2,"mmm")</f>
        <v/>
      </c>
      <c r="S2" s="15">
        <f>IFERROR(N2/L2,0)</f>
        <v/>
      </c>
    </row>
    <row r="3">
      <c r="A3">
        <f>Raw_Data!A3</f>
        <v/>
      </c>
      <c r="B3" s="11">
        <f>Raw_Data!B3</f>
        <v/>
      </c>
      <c r="C3">
        <f>Raw_Data!C3</f>
        <v/>
      </c>
      <c r="D3">
        <f>Raw_Data!D3</f>
        <v/>
      </c>
      <c r="E3">
        <f>Raw_Data!E3</f>
        <v/>
      </c>
      <c r="F3">
        <f>Raw_Data!F3</f>
        <v/>
      </c>
      <c r="G3">
        <f>Raw_Data!G3</f>
        <v/>
      </c>
      <c r="H3">
        <f>Raw_Data!H3</f>
        <v/>
      </c>
      <c r="I3">
        <f>Raw_Data!I3</f>
        <v/>
      </c>
      <c r="J3" s="12">
        <f>Raw_Data!J3</f>
        <v/>
      </c>
      <c r="K3" s="13">
        <f>Raw_Data!K3</f>
        <v/>
      </c>
      <c r="L3" s="12">
        <f>Raw_Data!L3</f>
        <v/>
      </c>
      <c r="M3" s="12">
        <f>Raw_Data!M3</f>
        <v/>
      </c>
      <c r="N3" s="12">
        <f>Raw_Data!N3</f>
        <v/>
      </c>
      <c r="O3">
        <f>Raw_Data!O3</f>
        <v/>
      </c>
      <c r="P3">
        <f>Raw_Data!P3</f>
        <v/>
      </c>
      <c r="Q3">
        <f>YEAR(B3)</f>
        <v/>
      </c>
      <c r="R3">
        <f>TEXT(B3,"mmm")</f>
        <v/>
      </c>
      <c r="S3" s="15">
        <f>IFERROR(N3/L3,0)</f>
        <v/>
      </c>
    </row>
    <row r="4">
      <c r="A4">
        <f>Raw_Data!A4</f>
        <v/>
      </c>
      <c r="B4" s="11">
        <f>Raw_Data!B4</f>
        <v/>
      </c>
      <c r="C4">
        <f>Raw_Data!C4</f>
        <v/>
      </c>
      <c r="D4">
        <f>Raw_Data!D4</f>
        <v/>
      </c>
      <c r="E4">
        <f>Raw_Data!E4</f>
        <v/>
      </c>
      <c r="F4">
        <f>Raw_Data!F4</f>
        <v/>
      </c>
      <c r="G4">
        <f>Raw_Data!G4</f>
        <v/>
      </c>
      <c r="H4">
        <f>Raw_Data!H4</f>
        <v/>
      </c>
      <c r="I4">
        <f>Raw_Data!I4</f>
        <v/>
      </c>
      <c r="J4" s="12">
        <f>Raw_Data!J4</f>
        <v/>
      </c>
      <c r="K4" s="13">
        <f>Raw_Data!K4</f>
        <v/>
      </c>
      <c r="L4" s="12">
        <f>Raw_Data!L4</f>
        <v/>
      </c>
      <c r="M4" s="12">
        <f>Raw_Data!M4</f>
        <v/>
      </c>
      <c r="N4" s="12">
        <f>Raw_Data!N4</f>
        <v/>
      </c>
      <c r="O4">
        <f>Raw_Data!O4</f>
        <v/>
      </c>
      <c r="P4">
        <f>Raw_Data!P4</f>
        <v/>
      </c>
      <c r="Q4">
        <f>YEAR(B4)</f>
        <v/>
      </c>
      <c r="R4">
        <f>TEXT(B4,"mmm")</f>
        <v/>
      </c>
      <c r="S4" s="15">
        <f>IFERROR(N4/L4,0)</f>
        <v/>
      </c>
    </row>
    <row r="5">
      <c r="A5">
        <f>Raw_Data!A5</f>
        <v/>
      </c>
      <c r="B5" s="11">
        <f>Raw_Data!B5</f>
        <v/>
      </c>
      <c r="C5">
        <f>Raw_Data!C5</f>
        <v/>
      </c>
      <c r="D5">
        <f>Raw_Data!D5</f>
        <v/>
      </c>
      <c r="E5">
        <f>Raw_Data!E5</f>
        <v/>
      </c>
      <c r="F5">
        <f>Raw_Data!F5</f>
        <v/>
      </c>
      <c r="G5">
        <f>Raw_Data!G5</f>
        <v/>
      </c>
      <c r="H5">
        <f>Raw_Data!H5</f>
        <v/>
      </c>
      <c r="I5">
        <f>Raw_Data!I5</f>
        <v/>
      </c>
      <c r="J5" s="12">
        <f>Raw_Data!J5</f>
        <v/>
      </c>
      <c r="K5" s="13">
        <f>Raw_Data!K5</f>
        <v/>
      </c>
      <c r="L5" s="12">
        <f>Raw_Data!L5</f>
        <v/>
      </c>
      <c r="M5" s="12">
        <f>Raw_Data!M5</f>
        <v/>
      </c>
      <c r="N5" s="12">
        <f>Raw_Data!N5</f>
        <v/>
      </c>
      <c r="O5">
        <f>Raw_Data!O5</f>
        <v/>
      </c>
      <c r="P5">
        <f>Raw_Data!P5</f>
        <v/>
      </c>
      <c r="Q5">
        <f>YEAR(B5)</f>
        <v/>
      </c>
      <c r="R5">
        <f>TEXT(B5,"mmm")</f>
        <v/>
      </c>
      <c r="S5" s="15">
        <f>IFERROR(N5/L5,0)</f>
        <v/>
      </c>
    </row>
    <row r="6">
      <c r="A6">
        <f>Raw_Data!A6</f>
        <v/>
      </c>
      <c r="B6" s="11">
        <f>Raw_Data!B6</f>
        <v/>
      </c>
      <c r="C6">
        <f>Raw_Data!C6</f>
        <v/>
      </c>
      <c r="D6">
        <f>Raw_Data!D6</f>
        <v/>
      </c>
      <c r="E6">
        <f>Raw_Data!E6</f>
        <v/>
      </c>
      <c r="F6">
        <f>Raw_Data!F6</f>
        <v/>
      </c>
      <c r="G6">
        <f>Raw_Data!G6</f>
        <v/>
      </c>
      <c r="H6">
        <f>Raw_Data!H6</f>
        <v/>
      </c>
      <c r="I6">
        <f>Raw_Data!I6</f>
        <v/>
      </c>
      <c r="J6" s="12">
        <f>Raw_Data!J6</f>
        <v/>
      </c>
      <c r="K6" s="13">
        <f>Raw_Data!K6</f>
        <v/>
      </c>
      <c r="L6" s="12">
        <f>Raw_Data!L6</f>
        <v/>
      </c>
      <c r="M6" s="12">
        <f>Raw_Data!M6</f>
        <v/>
      </c>
      <c r="N6" s="12">
        <f>Raw_Data!N6</f>
        <v/>
      </c>
      <c r="O6">
        <f>Raw_Data!O6</f>
        <v/>
      </c>
      <c r="P6">
        <f>Raw_Data!P6</f>
        <v/>
      </c>
      <c r="Q6">
        <f>YEAR(B6)</f>
        <v/>
      </c>
      <c r="R6">
        <f>TEXT(B6,"mmm")</f>
        <v/>
      </c>
      <c r="S6" s="15">
        <f>IFERROR(N6/L6,0)</f>
        <v/>
      </c>
    </row>
    <row r="7">
      <c r="A7">
        <f>Raw_Data!A7</f>
        <v/>
      </c>
      <c r="B7" s="11">
        <f>Raw_Data!B7</f>
        <v/>
      </c>
      <c r="C7">
        <f>Raw_Data!C7</f>
        <v/>
      </c>
      <c r="D7">
        <f>Raw_Data!D7</f>
        <v/>
      </c>
      <c r="E7">
        <f>Raw_Data!E7</f>
        <v/>
      </c>
      <c r="F7">
        <f>Raw_Data!F7</f>
        <v/>
      </c>
      <c r="G7">
        <f>Raw_Data!G7</f>
        <v/>
      </c>
      <c r="H7">
        <f>Raw_Data!H7</f>
        <v/>
      </c>
      <c r="I7">
        <f>Raw_Data!I7</f>
        <v/>
      </c>
      <c r="J7" s="12">
        <f>Raw_Data!J7</f>
        <v/>
      </c>
      <c r="K7" s="13">
        <f>Raw_Data!K7</f>
        <v/>
      </c>
      <c r="L7" s="12">
        <f>Raw_Data!L7</f>
        <v/>
      </c>
      <c r="M7" s="12">
        <f>Raw_Data!M7</f>
        <v/>
      </c>
      <c r="N7" s="12">
        <f>Raw_Data!N7</f>
        <v/>
      </c>
      <c r="O7">
        <f>Raw_Data!O7</f>
        <v/>
      </c>
      <c r="P7">
        <f>Raw_Data!P7</f>
        <v/>
      </c>
      <c r="Q7">
        <f>YEAR(B7)</f>
        <v/>
      </c>
      <c r="R7">
        <f>TEXT(B7,"mmm")</f>
        <v/>
      </c>
      <c r="S7" s="15">
        <f>IFERROR(N7/L7,0)</f>
        <v/>
      </c>
    </row>
    <row r="8">
      <c r="A8">
        <f>Raw_Data!A8</f>
        <v/>
      </c>
      <c r="B8" s="11">
        <f>Raw_Data!B8</f>
        <v/>
      </c>
      <c r="C8">
        <f>Raw_Data!C8</f>
        <v/>
      </c>
      <c r="D8">
        <f>Raw_Data!D8</f>
        <v/>
      </c>
      <c r="E8">
        <f>Raw_Data!E8</f>
        <v/>
      </c>
      <c r="F8">
        <f>Raw_Data!F8</f>
        <v/>
      </c>
      <c r="G8">
        <f>Raw_Data!G8</f>
        <v/>
      </c>
      <c r="H8">
        <f>Raw_Data!H8</f>
        <v/>
      </c>
      <c r="I8">
        <f>Raw_Data!I8</f>
        <v/>
      </c>
      <c r="J8" s="12">
        <f>Raw_Data!J8</f>
        <v/>
      </c>
      <c r="K8" s="13">
        <f>Raw_Data!K8</f>
        <v/>
      </c>
      <c r="L8" s="12">
        <f>Raw_Data!L8</f>
        <v/>
      </c>
      <c r="M8" s="12">
        <f>Raw_Data!M8</f>
        <v/>
      </c>
      <c r="N8" s="12">
        <f>Raw_Data!N8</f>
        <v/>
      </c>
      <c r="O8">
        <f>Raw_Data!O8</f>
        <v/>
      </c>
      <c r="P8">
        <f>Raw_Data!P8</f>
        <v/>
      </c>
      <c r="Q8">
        <f>YEAR(B8)</f>
        <v/>
      </c>
      <c r="R8">
        <f>TEXT(B8,"mmm")</f>
        <v/>
      </c>
      <c r="S8" s="15">
        <f>IFERROR(N8/L8,0)</f>
        <v/>
      </c>
    </row>
    <row r="9">
      <c r="A9">
        <f>Raw_Data!A9</f>
        <v/>
      </c>
      <c r="B9" s="11">
        <f>Raw_Data!B9</f>
        <v/>
      </c>
      <c r="C9">
        <f>Raw_Data!C9</f>
        <v/>
      </c>
      <c r="D9">
        <f>Raw_Data!D9</f>
        <v/>
      </c>
      <c r="E9">
        <f>Raw_Data!E9</f>
        <v/>
      </c>
      <c r="F9">
        <f>Raw_Data!F9</f>
        <v/>
      </c>
      <c r="G9">
        <f>Raw_Data!G9</f>
        <v/>
      </c>
      <c r="H9">
        <f>Raw_Data!H9</f>
        <v/>
      </c>
      <c r="I9">
        <f>Raw_Data!I9</f>
        <v/>
      </c>
      <c r="J9" s="12">
        <f>Raw_Data!J9</f>
        <v/>
      </c>
      <c r="K9" s="13">
        <f>Raw_Data!K9</f>
        <v/>
      </c>
      <c r="L9" s="12">
        <f>Raw_Data!L9</f>
        <v/>
      </c>
      <c r="M9" s="12">
        <f>Raw_Data!M9</f>
        <v/>
      </c>
      <c r="N9" s="12">
        <f>Raw_Data!N9</f>
        <v/>
      </c>
      <c r="O9">
        <f>Raw_Data!O9</f>
        <v/>
      </c>
      <c r="P9">
        <f>Raw_Data!P9</f>
        <v/>
      </c>
      <c r="Q9">
        <f>YEAR(B9)</f>
        <v/>
      </c>
      <c r="R9">
        <f>TEXT(B9,"mmm")</f>
        <v/>
      </c>
      <c r="S9" s="15">
        <f>IFERROR(N9/L9,0)</f>
        <v/>
      </c>
    </row>
    <row r="10">
      <c r="A10">
        <f>Raw_Data!A10</f>
        <v/>
      </c>
      <c r="B10" s="11">
        <f>Raw_Data!B10</f>
        <v/>
      </c>
      <c r="C10">
        <f>Raw_Data!C10</f>
        <v/>
      </c>
      <c r="D10">
        <f>Raw_Data!D10</f>
        <v/>
      </c>
      <c r="E10">
        <f>Raw_Data!E10</f>
        <v/>
      </c>
      <c r="F10">
        <f>Raw_Data!F10</f>
        <v/>
      </c>
      <c r="G10">
        <f>Raw_Data!G10</f>
        <v/>
      </c>
      <c r="H10">
        <f>Raw_Data!H10</f>
        <v/>
      </c>
      <c r="I10">
        <f>Raw_Data!I10</f>
        <v/>
      </c>
      <c r="J10" s="12">
        <f>Raw_Data!J10</f>
        <v/>
      </c>
      <c r="K10" s="13">
        <f>Raw_Data!K10</f>
        <v/>
      </c>
      <c r="L10" s="12">
        <f>Raw_Data!L10</f>
        <v/>
      </c>
      <c r="M10" s="12">
        <f>Raw_Data!M10</f>
        <v/>
      </c>
      <c r="N10" s="12">
        <f>Raw_Data!N10</f>
        <v/>
      </c>
      <c r="O10">
        <f>Raw_Data!O10</f>
        <v/>
      </c>
      <c r="P10">
        <f>Raw_Data!P10</f>
        <v/>
      </c>
      <c r="Q10">
        <f>YEAR(B10)</f>
        <v/>
      </c>
      <c r="R10">
        <f>TEXT(B10,"mmm")</f>
        <v/>
      </c>
      <c r="S10" s="15">
        <f>IFERROR(N10/L10,0)</f>
        <v/>
      </c>
    </row>
    <row r="11">
      <c r="A11">
        <f>Raw_Data!A11</f>
        <v/>
      </c>
      <c r="B11" s="11">
        <f>Raw_Data!B11</f>
        <v/>
      </c>
      <c r="C11">
        <f>Raw_Data!C11</f>
        <v/>
      </c>
      <c r="D11">
        <f>Raw_Data!D11</f>
        <v/>
      </c>
      <c r="E11">
        <f>Raw_Data!E11</f>
        <v/>
      </c>
      <c r="F11">
        <f>Raw_Data!F11</f>
        <v/>
      </c>
      <c r="G11">
        <f>Raw_Data!G11</f>
        <v/>
      </c>
      <c r="H11">
        <f>Raw_Data!H11</f>
        <v/>
      </c>
      <c r="I11">
        <f>Raw_Data!I11</f>
        <v/>
      </c>
      <c r="J11" s="12">
        <f>Raw_Data!J11</f>
        <v/>
      </c>
      <c r="K11" s="13">
        <f>Raw_Data!K11</f>
        <v/>
      </c>
      <c r="L11" s="12">
        <f>Raw_Data!L11</f>
        <v/>
      </c>
      <c r="M11" s="12">
        <f>Raw_Data!M11</f>
        <v/>
      </c>
      <c r="N11" s="12">
        <f>Raw_Data!N11</f>
        <v/>
      </c>
      <c r="O11">
        <f>Raw_Data!O11</f>
        <v/>
      </c>
      <c r="P11">
        <f>Raw_Data!P11</f>
        <v/>
      </c>
      <c r="Q11">
        <f>YEAR(B11)</f>
        <v/>
      </c>
      <c r="R11">
        <f>TEXT(B11,"mmm")</f>
        <v/>
      </c>
      <c r="S11" s="15">
        <f>IFERROR(N11/L11,0)</f>
        <v/>
      </c>
    </row>
    <row r="12">
      <c r="A12">
        <f>Raw_Data!A12</f>
        <v/>
      </c>
      <c r="B12" s="11">
        <f>Raw_Data!B12</f>
        <v/>
      </c>
      <c r="C12">
        <f>Raw_Data!C12</f>
        <v/>
      </c>
      <c r="D12">
        <f>Raw_Data!D12</f>
        <v/>
      </c>
      <c r="E12">
        <f>Raw_Data!E12</f>
        <v/>
      </c>
      <c r="F12">
        <f>Raw_Data!F12</f>
        <v/>
      </c>
      <c r="G12">
        <f>Raw_Data!G12</f>
        <v/>
      </c>
      <c r="H12">
        <f>Raw_Data!H12</f>
        <v/>
      </c>
      <c r="I12">
        <f>Raw_Data!I12</f>
        <v/>
      </c>
      <c r="J12" s="12">
        <f>Raw_Data!J12</f>
        <v/>
      </c>
      <c r="K12" s="13">
        <f>Raw_Data!K12</f>
        <v/>
      </c>
      <c r="L12" s="12">
        <f>Raw_Data!L12</f>
        <v/>
      </c>
      <c r="M12" s="12">
        <f>Raw_Data!M12</f>
        <v/>
      </c>
      <c r="N12" s="12">
        <f>Raw_Data!N12</f>
        <v/>
      </c>
      <c r="O12">
        <f>Raw_Data!O12</f>
        <v/>
      </c>
      <c r="P12">
        <f>Raw_Data!P12</f>
        <v/>
      </c>
      <c r="Q12">
        <f>YEAR(B12)</f>
        <v/>
      </c>
      <c r="R12">
        <f>TEXT(B12,"mmm")</f>
        <v/>
      </c>
      <c r="S12" s="15">
        <f>IFERROR(N12/L12,0)</f>
        <v/>
      </c>
    </row>
    <row r="13">
      <c r="A13">
        <f>Raw_Data!A13</f>
        <v/>
      </c>
      <c r="B13" s="11">
        <f>Raw_Data!B13</f>
        <v/>
      </c>
      <c r="C13">
        <f>Raw_Data!C13</f>
        <v/>
      </c>
      <c r="D13">
        <f>Raw_Data!D13</f>
        <v/>
      </c>
      <c r="E13">
        <f>Raw_Data!E13</f>
        <v/>
      </c>
      <c r="F13">
        <f>Raw_Data!F13</f>
        <v/>
      </c>
      <c r="G13">
        <f>Raw_Data!G13</f>
        <v/>
      </c>
      <c r="H13">
        <f>Raw_Data!H13</f>
        <v/>
      </c>
      <c r="I13">
        <f>Raw_Data!I13</f>
        <v/>
      </c>
      <c r="J13" s="12">
        <f>Raw_Data!J13</f>
        <v/>
      </c>
      <c r="K13" s="13">
        <f>Raw_Data!K13</f>
        <v/>
      </c>
      <c r="L13" s="12">
        <f>Raw_Data!L13</f>
        <v/>
      </c>
      <c r="M13" s="12">
        <f>Raw_Data!M13</f>
        <v/>
      </c>
      <c r="N13" s="12">
        <f>Raw_Data!N13</f>
        <v/>
      </c>
      <c r="O13">
        <f>Raw_Data!O13</f>
        <v/>
      </c>
      <c r="P13">
        <f>Raw_Data!P13</f>
        <v/>
      </c>
      <c r="Q13">
        <f>YEAR(B13)</f>
        <v/>
      </c>
      <c r="R13">
        <f>TEXT(B13,"mmm")</f>
        <v/>
      </c>
      <c r="S13" s="15">
        <f>IFERROR(N13/L13,0)</f>
        <v/>
      </c>
    </row>
    <row r="14">
      <c r="A14">
        <f>Raw_Data!A14</f>
        <v/>
      </c>
      <c r="B14" s="11">
        <f>Raw_Data!B14</f>
        <v/>
      </c>
      <c r="C14">
        <f>Raw_Data!C14</f>
        <v/>
      </c>
      <c r="D14">
        <f>Raw_Data!D14</f>
        <v/>
      </c>
      <c r="E14">
        <f>Raw_Data!E14</f>
        <v/>
      </c>
      <c r="F14">
        <f>Raw_Data!F14</f>
        <v/>
      </c>
      <c r="G14">
        <f>Raw_Data!G14</f>
        <v/>
      </c>
      <c r="H14">
        <f>Raw_Data!H14</f>
        <v/>
      </c>
      <c r="I14">
        <f>Raw_Data!I14</f>
        <v/>
      </c>
      <c r="J14" s="12">
        <f>Raw_Data!J14</f>
        <v/>
      </c>
      <c r="K14" s="13">
        <f>Raw_Data!K14</f>
        <v/>
      </c>
      <c r="L14" s="12">
        <f>Raw_Data!L14</f>
        <v/>
      </c>
      <c r="M14" s="12">
        <f>Raw_Data!M14</f>
        <v/>
      </c>
      <c r="N14" s="12">
        <f>Raw_Data!N14</f>
        <v/>
      </c>
      <c r="O14">
        <f>Raw_Data!O14</f>
        <v/>
      </c>
      <c r="P14">
        <f>Raw_Data!P14</f>
        <v/>
      </c>
      <c r="Q14">
        <f>YEAR(B14)</f>
        <v/>
      </c>
      <c r="R14">
        <f>TEXT(B14,"mmm")</f>
        <v/>
      </c>
      <c r="S14" s="15">
        <f>IFERROR(N14/L14,0)</f>
        <v/>
      </c>
    </row>
    <row r="15">
      <c r="A15">
        <f>Raw_Data!A15</f>
        <v/>
      </c>
      <c r="B15" s="11">
        <f>Raw_Data!B15</f>
        <v/>
      </c>
      <c r="C15">
        <f>Raw_Data!C15</f>
        <v/>
      </c>
      <c r="D15">
        <f>Raw_Data!D15</f>
        <v/>
      </c>
      <c r="E15">
        <f>Raw_Data!E15</f>
        <v/>
      </c>
      <c r="F15">
        <f>Raw_Data!F15</f>
        <v/>
      </c>
      <c r="G15">
        <f>Raw_Data!G15</f>
        <v/>
      </c>
      <c r="H15">
        <f>Raw_Data!H15</f>
        <v/>
      </c>
      <c r="I15">
        <f>Raw_Data!I15</f>
        <v/>
      </c>
      <c r="J15" s="12">
        <f>Raw_Data!J15</f>
        <v/>
      </c>
      <c r="K15" s="13">
        <f>Raw_Data!K15</f>
        <v/>
      </c>
      <c r="L15" s="12">
        <f>Raw_Data!L15</f>
        <v/>
      </c>
      <c r="M15" s="12">
        <f>Raw_Data!M15</f>
        <v/>
      </c>
      <c r="N15" s="12">
        <f>Raw_Data!N15</f>
        <v/>
      </c>
      <c r="O15">
        <f>Raw_Data!O15</f>
        <v/>
      </c>
      <c r="P15">
        <f>Raw_Data!P15</f>
        <v/>
      </c>
      <c r="Q15">
        <f>YEAR(B15)</f>
        <v/>
      </c>
      <c r="R15">
        <f>TEXT(B15,"mmm")</f>
        <v/>
      </c>
      <c r="S15" s="15">
        <f>IFERROR(N15/L15,0)</f>
        <v/>
      </c>
    </row>
    <row r="16">
      <c r="A16">
        <f>Raw_Data!A16</f>
        <v/>
      </c>
      <c r="B16" s="11">
        <f>Raw_Data!B16</f>
        <v/>
      </c>
      <c r="C16">
        <f>Raw_Data!C16</f>
        <v/>
      </c>
      <c r="D16">
        <f>Raw_Data!D16</f>
        <v/>
      </c>
      <c r="E16">
        <f>Raw_Data!E16</f>
        <v/>
      </c>
      <c r="F16">
        <f>Raw_Data!F16</f>
        <v/>
      </c>
      <c r="G16">
        <f>Raw_Data!G16</f>
        <v/>
      </c>
      <c r="H16">
        <f>Raw_Data!H16</f>
        <v/>
      </c>
      <c r="I16">
        <f>Raw_Data!I16</f>
        <v/>
      </c>
      <c r="J16" s="12">
        <f>Raw_Data!J16</f>
        <v/>
      </c>
      <c r="K16" s="13">
        <f>Raw_Data!K16</f>
        <v/>
      </c>
      <c r="L16" s="12">
        <f>Raw_Data!L16</f>
        <v/>
      </c>
      <c r="M16" s="12">
        <f>Raw_Data!M16</f>
        <v/>
      </c>
      <c r="N16" s="12">
        <f>Raw_Data!N16</f>
        <v/>
      </c>
      <c r="O16">
        <f>Raw_Data!O16</f>
        <v/>
      </c>
      <c r="P16">
        <f>Raw_Data!P16</f>
        <v/>
      </c>
      <c r="Q16">
        <f>YEAR(B16)</f>
        <v/>
      </c>
      <c r="R16">
        <f>TEXT(B16,"mmm")</f>
        <v/>
      </c>
      <c r="S16" s="15">
        <f>IFERROR(N16/L16,0)</f>
        <v/>
      </c>
    </row>
    <row r="17">
      <c r="A17">
        <f>Raw_Data!A17</f>
        <v/>
      </c>
      <c r="B17" s="11">
        <f>Raw_Data!B17</f>
        <v/>
      </c>
      <c r="C17">
        <f>Raw_Data!C17</f>
        <v/>
      </c>
      <c r="D17">
        <f>Raw_Data!D17</f>
        <v/>
      </c>
      <c r="E17">
        <f>Raw_Data!E17</f>
        <v/>
      </c>
      <c r="F17">
        <f>Raw_Data!F17</f>
        <v/>
      </c>
      <c r="G17">
        <f>Raw_Data!G17</f>
        <v/>
      </c>
      <c r="H17">
        <f>Raw_Data!H17</f>
        <v/>
      </c>
      <c r="I17">
        <f>Raw_Data!I17</f>
        <v/>
      </c>
      <c r="J17" s="12">
        <f>Raw_Data!J17</f>
        <v/>
      </c>
      <c r="K17" s="13">
        <f>Raw_Data!K17</f>
        <v/>
      </c>
      <c r="L17" s="12">
        <f>Raw_Data!L17</f>
        <v/>
      </c>
      <c r="M17" s="12">
        <f>Raw_Data!M17</f>
        <v/>
      </c>
      <c r="N17" s="12">
        <f>Raw_Data!N17</f>
        <v/>
      </c>
      <c r="O17">
        <f>Raw_Data!O17</f>
        <v/>
      </c>
      <c r="P17">
        <f>Raw_Data!P17</f>
        <v/>
      </c>
      <c r="Q17">
        <f>YEAR(B17)</f>
        <v/>
      </c>
      <c r="R17">
        <f>TEXT(B17,"mmm")</f>
        <v/>
      </c>
      <c r="S17" s="15">
        <f>IFERROR(N17/L17,0)</f>
        <v/>
      </c>
    </row>
    <row r="18">
      <c r="A18">
        <f>Raw_Data!A18</f>
        <v/>
      </c>
      <c r="B18" s="11">
        <f>Raw_Data!B18</f>
        <v/>
      </c>
      <c r="C18">
        <f>Raw_Data!C18</f>
        <v/>
      </c>
      <c r="D18">
        <f>Raw_Data!D18</f>
        <v/>
      </c>
      <c r="E18">
        <f>Raw_Data!E18</f>
        <v/>
      </c>
      <c r="F18">
        <f>Raw_Data!F18</f>
        <v/>
      </c>
      <c r="G18">
        <f>Raw_Data!G18</f>
        <v/>
      </c>
      <c r="H18">
        <f>Raw_Data!H18</f>
        <v/>
      </c>
      <c r="I18">
        <f>Raw_Data!I18</f>
        <v/>
      </c>
      <c r="J18" s="12">
        <f>Raw_Data!J18</f>
        <v/>
      </c>
      <c r="K18" s="13">
        <f>Raw_Data!K18</f>
        <v/>
      </c>
      <c r="L18" s="12">
        <f>Raw_Data!L18</f>
        <v/>
      </c>
      <c r="M18" s="12">
        <f>Raw_Data!M18</f>
        <v/>
      </c>
      <c r="N18" s="12">
        <f>Raw_Data!N18</f>
        <v/>
      </c>
      <c r="O18">
        <f>Raw_Data!O18</f>
        <v/>
      </c>
      <c r="P18">
        <f>Raw_Data!P18</f>
        <v/>
      </c>
      <c r="Q18">
        <f>YEAR(B18)</f>
        <v/>
      </c>
      <c r="R18">
        <f>TEXT(B18,"mmm")</f>
        <v/>
      </c>
      <c r="S18" s="15">
        <f>IFERROR(N18/L18,0)</f>
        <v/>
      </c>
    </row>
    <row r="19">
      <c r="A19">
        <f>Raw_Data!A19</f>
        <v/>
      </c>
      <c r="B19" s="11">
        <f>Raw_Data!B19</f>
        <v/>
      </c>
      <c r="C19">
        <f>Raw_Data!C19</f>
        <v/>
      </c>
      <c r="D19">
        <f>Raw_Data!D19</f>
        <v/>
      </c>
      <c r="E19">
        <f>Raw_Data!E19</f>
        <v/>
      </c>
      <c r="F19">
        <f>Raw_Data!F19</f>
        <v/>
      </c>
      <c r="G19">
        <f>Raw_Data!G19</f>
        <v/>
      </c>
      <c r="H19">
        <f>Raw_Data!H19</f>
        <v/>
      </c>
      <c r="I19">
        <f>Raw_Data!I19</f>
        <v/>
      </c>
      <c r="J19" s="12">
        <f>Raw_Data!J19</f>
        <v/>
      </c>
      <c r="K19" s="13">
        <f>Raw_Data!K19</f>
        <v/>
      </c>
      <c r="L19" s="12">
        <f>Raw_Data!L19</f>
        <v/>
      </c>
      <c r="M19" s="12">
        <f>Raw_Data!M19</f>
        <v/>
      </c>
      <c r="N19" s="12">
        <f>Raw_Data!N19</f>
        <v/>
      </c>
      <c r="O19">
        <f>Raw_Data!O19</f>
        <v/>
      </c>
      <c r="P19">
        <f>Raw_Data!P19</f>
        <v/>
      </c>
      <c r="Q19">
        <f>YEAR(B19)</f>
        <v/>
      </c>
      <c r="R19">
        <f>TEXT(B19,"mmm")</f>
        <v/>
      </c>
      <c r="S19" s="15">
        <f>IFERROR(N19/L19,0)</f>
        <v/>
      </c>
    </row>
    <row r="20">
      <c r="A20">
        <f>Raw_Data!A20</f>
        <v/>
      </c>
      <c r="B20" s="11">
        <f>Raw_Data!B20</f>
        <v/>
      </c>
      <c r="C20">
        <f>Raw_Data!C20</f>
        <v/>
      </c>
      <c r="D20">
        <f>Raw_Data!D20</f>
        <v/>
      </c>
      <c r="E20">
        <f>Raw_Data!E20</f>
        <v/>
      </c>
      <c r="F20">
        <f>Raw_Data!F20</f>
        <v/>
      </c>
      <c r="G20">
        <f>Raw_Data!G20</f>
        <v/>
      </c>
      <c r="H20">
        <f>Raw_Data!H20</f>
        <v/>
      </c>
      <c r="I20">
        <f>Raw_Data!I20</f>
        <v/>
      </c>
      <c r="J20" s="12">
        <f>Raw_Data!J20</f>
        <v/>
      </c>
      <c r="K20" s="13">
        <f>Raw_Data!K20</f>
        <v/>
      </c>
      <c r="L20" s="12">
        <f>Raw_Data!L20</f>
        <v/>
      </c>
      <c r="M20" s="12">
        <f>Raw_Data!M20</f>
        <v/>
      </c>
      <c r="N20" s="12">
        <f>Raw_Data!N20</f>
        <v/>
      </c>
      <c r="O20">
        <f>Raw_Data!O20</f>
        <v/>
      </c>
      <c r="P20">
        <f>Raw_Data!P20</f>
        <v/>
      </c>
      <c r="Q20">
        <f>YEAR(B20)</f>
        <v/>
      </c>
      <c r="R20">
        <f>TEXT(B20,"mmm")</f>
        <v/>
      </c>
      <c r="S20" s="15">
        <f>IFERROR(N20/L20,0)</f>
        <v/>
      </c>
    </row>
    <row r="21">
      <c r="A21">
        <f>Raw_Data!A21</f>
        <v/>
      </c>
      <c r="B21" s="11">
        <f>Raw_Data!B21</f>
        <v/>
      </c>
      <c r="C21">
        <f>Raw_Data!C21</f>
        <v/>
      </c>
      <c r="D21">
        <f>Raw_Data!D21</f>
        <v/>
      </c>
      <c r="E21">
        <f>Raw_Data!E21</f>
        <v/>
      </c>
      <c r="F21">
        <f>Raw_Data!F21</f>
        <v/>
      </c>
      <c r="G21">
        <f>Raw_Data!G21</f>
        <v/>
      </c>
      <c r="H21">
        <f>Raw_Data!H21</f>
        <v/>
      </c>
      <c r="I21">
        <f>Raw_Data!I21</f>
        <v/>
      </c>
      <c r="J21" s="12">
        <f>Raw_Data!J21</f>
        <v/>
      </c>
      <c r="K21" s="13">
        <f>Raw_Data!K21</f>
        <v/>
      </c>
      <c r="L21" s="12">
        <f>Raw_Data!L21</f>
        <v/>
      </c>
      <c r="M21" s="12">
        <f>Raw_Data!M21</f>
        <v/>
      </c>
      <c r="N21" s="12">
        <f>Raw_Data!N21</f>
        <v/>
      </c>
      <c r="O21">
        <f>Raw_Data!O21</f>
        <v/>
      </c>
      <c r="P21">
        <f>Raw_Data!P21</f>
        <v/>
      </c>
      <c r="Q21">
        <f>YEAR(B21)</f>
        <v/>
      </c>
      <c r="R21">
        <f>TEXT(B21,"mmm")</f>
        <v/>
      </c>
      <c r="S21" s="15">
        <f>IFERROR(N21/L21,0)</f>
        <v/>
      </c>
    </row>
    <row r="22">
      <c r="A22">
        <f>Raw_Data!A22</f>
        <v/>
      </c>
      <c r="B22" s="11">
        <f>Raw_Data!B22</f>
        <v/>
      </c>
      <c r="C22">
        <f>Raw_Data!C22</f>
        <v/>
      </c>
      <c r="D22">
        <f>Raw_Data!D22</f>
        <v/>
      </c>
      <c r="E22">
        <f>Raw_Data!E22</f>
        <v/>
      </c>
      <c r="F22">
        <f>Raw_Data!F22</f>
        <v/>
      </c>
      <c r="G22">
        <f>Raw_Data!G22</f>
        <v/>
      </c>
      <c r="H22">
        <f>Raw_Data!H22</f>
        <v/>
      </c>
      <c r="I22">
        <f>Raw_Data!I22</f>
        <v/>
      </c>
      <c r="J22" s="12">
        <f>Raw_Data!J22</f>
        <v/>
      </c>
      <c r="K22" s="13">
        <f>Raw_Data!K22</f>
        <v/>
      </c>
      <c r="L22" s="12">
        <f>Raw_Data!L22</f>
        <v/>
      </c>
      <c r="M22" s="12">
        <f>Raw_Data!M22</f>
        <v/>
      </c>
      <c r="N22" s="12">
        <f>Raw_Data!N22</f>
        <v/>
      </c>
      <c r="O22">
        <f>Raw_Data!O22</f>
        <v/>
      </c>
      <c r="P22">
        <f>Raw_Data!P22</f>
        <v/>
      </c>
      <c r="Q22">
        <f>YEAR(B22)</f>
        <v/>
      </c>
      <c r="R22">
        <f>TEXT(B22,"mmm")</f>
        <v/>
      </c>
      <c r="S22" s="15">
        <f>IFERROR(N22/L22,0)</f>
        <v/>
      </c>
    </row>
    <row r="23">
      <c r="A23">
        <f>Raw_Data!A23</f>
        <v/>
      </c>
      <c r="B23" s="11">
        <f>Raw_Data!B23</f>
        <v/>
      </c>
      <c r="C23">
        <f>Raw_Data!C23</f>
        <v/>
      </c>
      <c r="D23">
        <f>Raw_Data!D23</f>
        <v/>
      </c>
      <c r="E23">
        <f>Raw_Data!E23</f>
        <v/>
      </c>
      <c r="F23">
        <f>Raw_Data!F23</f>
        <v/>
      </c>
      <c r="G23">
        <f>Raw_Data!G23</f>
        <v/>
      </c>
      <c r="H23">
        <f>Raw_Data!H23</f>
        <v/>
      </c>
      <c r="I23">
        <f>Raw_Data!I23</f>
        <v/>
      </c>
      <c r="J23" s="12">
        <f>Raw_Data!J23</f>
        <v/>
      </c>
      <c r="K23" s="13">
        <f>Raw_Data!K23</f>
        <v/>
      </c>
      <c r="L23" s="12">
        <f>Raw_Data!L23</f>
        <v/>
      </c>
      <c r="M23" s="12">
        <f>Raw_Data!M23</f>
        <v/>
      </c>
      <c r="N23" s="12">
        <f>Raw_Data!N23</f>
        <v/>
      </c>
      <c r="O23">
        <f>Raw_Data!O23</f>
        <v/>
      </c>
      <c r="P23">
        <f>Raw_Data!P23</f>
        <v/>
      </c>
      <c r="Q23">
        <f>YEAR(B23)</f>
        <v/>
      </c>
      <c r="R23">
        <f>TEXT(B23,"mmm")</f>
        <v/>
      </c>
      <c r="S23" s="15">
        <f>IFERROR(N23/L23,0)</f>
        <v/>
      </c>
    </row>
    <row r="24">
      <c r="A24">
        <f>Raw_Data!A24</f>
        <v/>
      </c>
      <c r="B24" s="11">
        <f>Raw_Data!B24</f>
        <v/>
      </c>
      <c r="C24">
        <f>Raw_Data!C24</f>
        <v/>
      </c>
      <c r="D24">
        <f>Raw_Data!D24</f>
        <v/>
      </c>
      <c r="E24">
        <f>Raw_Data!E24</f>
        <v/>
      </c>
      <c r="F24">
        <f>Raw_Data!F24</f>
        <v/>
      </c>
      <c r="G24">
        <f>Raw_Data!G24</f>
        <v/>
      </c>
      <c r="H24">
        <f>Raw_Data!H24</f>
        <v/>
      </c>
      <c r="I24">
        <f>Raw_Data!I24</f>
        <v/>
      </c>
      <c r="J24" s="12">
        <f>Raw_Data!J24</f>
        <v/>
      </c>
      <c r="K24" s="13">
        <f>Raw_Data!K24</f>
        <v/>
      </c>
      <c r="L24" s="12">
        <f>Raw_Data!L24</f>
        <v/>
      </c>
      <c r="M24" s="12">
        <f>Raw_Data!M24</f>
        <v/>
      </c>
      <c r="N24" s="12">
        <f>Raw_Data!N24</f>
        <v/>
      </c>
      <c r="O24">
        <f>Raw_Data!O24</f>
        <v/>
      </c>
      <c r="P24">
        <f>Raw_Data!P24</f>
        <v/>
      </c>
      <c r="Q24">
        <f>YEAR(B24)</f>
        <v/>
      </c>
      <c r="R24">
        <f>TEXT(B24,"mmm")</f>
        <v/>
      </c>
      <c r="S24" s="15">
        <f>IFERROR(N24/L24,0)</f>
        <v/>
      </c>
    </row>
    <row r="25">
      <c r="A25">
        <f>Raw_Data!A25</f>
        <v/>
      </c>
      <c r="B25" s="11">
        <f>Raw_Data!B25</f>
        <v/>
      </c>
      <c r="C25">
        <f>Raw_Data!C25</f>
        <v/>
      </c>
      <c r="D25">
        <f>Raw_Data!D25</f>
        <v/>
      </c>
      <c r="E25">
        <f>Raw_Data!E25</f>
        <v/>
      </c>
      <c r="F25">
        <f>Raw_Data!F25</f>
        <v/>
      </c>
      <c r="G25">
        <f>Raw_Data!G25</f>
        <v/>
      </c>
      <c r="H25">
        <f>Raw_Data!H25</f>
        <v/>
      </c>
      <c r="I25">
        <f>Raw_Data!I25</f>
        <v/>
      </c>
      <c r="J25" s="12">
        <f>Raw_Data!J25</f>
        <v/>
      </c>
      <c r="K25" s="13">
        <f>Raw_Data!K25</f>
        <v/>
      </c>
      <c r="L25" s="12">
        <f>Raw_Data!L25</f>
        <v/>
      </c>
      <c r="M25" s="12">
        <f>Raw_Data!M25</f>
        <v/>
      </c>
      <c r="N25" s="12">
        <f>Raw_Data!N25</f>
        <v/>
      </c>
      <c r="O25">
        <f>Raw_Data!O25</f>
        <v/>
      </c>
      <c r="P25">
        <f>Raw_Data!P25</f>
        <v/>
      </c>
      <c r="Q25">
        <f>YEAR(B25)</f>
        <v/>
      </c>
      <c r="R25">
        <f>TEXT(B25,"mmm")</f>
        <v/>
      </c>
      <c r="S25" s="15">
        <f>IFERROR(N25/L25,0)</f>
        <v/>
      </c>
    </row>
    <row r="26">
      <c r="A26">
        <f>Raw_Data!A26</f>
        <v/>
      </c>
      <c r="B26" s="11">
        <f>Raw_Data!B26</f>
        <v/>
      </c>
      <c r="C26">
        <f>Raw_Data!C26</f>
        <v/>
      </c>
      <c r="D26">
        <f>Raw_Data!D26</f>
        <v/>
      </c>
      <c r="E26">
        <f>Raw_Data!E26</f>
        <v/>
      </c>
      <c r="F26">
        <f>Raw_Data!F26</f>
        <v/>
      </c>
      <c r="G26">
        <f>Raw_Data!G26</f>
        <v/>
      </c>
      <c r="H26">
        <f>Raw_Data!H26</f>
        <v/>
      </c>
      <c r="I26">
        <f>Raw_Data!I26</f>
        <v/>
      </c>
      <c r="J26" s="12">
        <f>Raw_Data!J26</f>
        <v/>
      </c>
      <c r="K26" s="13">
        <f>Raw_Data!K26</f>
        <v/>
      </c>
      <c r="L26" s="12">
        <f>Raw_Data!L26</f>
        <v/>
      </c>
      <c r="M26" s="12">
        <f>Raw_Data!M26</f>
        <v/>
      </c>
      <c r="N26" s="12">
        <f>Raw_Data!N26</f>
        <v/>
      </c>
      <c r="O26">
        <f>Raw_Data!O26</f>
        <v/>
      </c>
      <c r="P26">
        <f>Raw_Data!P26</f>
        <v/>
      </c>
      <c r="Q26">
        <f>YEAR(B26)</f>
        <v/>
      </c>
      <c r="R26">
        <f>TEXT(B26,"mmm")</f>
        <v/>
      </c>
      <c r="S26" s="15">
        <f>IFERROR(N26/L26,0)</f>
        <v/>
      </c>
    </row>
    <row r="27">
      <c r="A27">
        <f>Raw_Data!A27</f>
        <v/>
      </c>
      <c r="B27" s="11">
        <f>Raw_Data!B27</f>
        <v/>
      </c>
      <c r="C27">
        <f>Raw_Data!C27</f>
        <v/>
      </c>
      <c r="D27">
        <f>Raw_Data!D27</f>
        <v/>
      </c>
      <c r="E27">
        <f>Raw_Data!E27</f>
        <v/>
      </c>
      <c r="F27">
        <f>Raw_Data!F27</f>
        <v/>
      </c>
      <c r="G27">
        <f>Raw_Data!G27</f>
        <v/>
      </c>
      <c r="H27">
        <f>Raw_Data!H27</f>
        <v/>
      </c>
      <c r="I27">
        <f>Raw_Data!I27</f>
        <v/>
      </c>
      <c r="J27" s="12">
        <f>Raw_Data!J27</f>
        <v/>
      </c>
      <c r="K27" s="13">
        <f>Raw_Data!K27</f>
        <v/>
      </c>
      <c r="L27" s="12">
        <f>Raw_Data!L27</f>
        <v/>
      </c>
      <c r="M27" s="12">
        <f>Raw_Data!M27</f>
        <v/>
      </c>
      <c r="N27" s="12">
        <f>Raw_Data!N27</f>
        <v/>
      </c>
      <c r="O27">
        <f>Raw_Data!O27</f>
        <v/>
      </c>
      <c r="P27">
        <f>Raw_Data!P27</f>
        <v/>
      </c>
      <c r="Q27">
        <f>YEAR(B27)</f>
        <v/>
      </c>
      <c r="R27">
        <f>TEXT(B27,"mmm")</f>
        <v/>
      </c>
      <c r="S27" s="15">
        <f>IFERROR(N27/L27,0)</f>
        <v/>
      </c>
    </row>
    <row r="28">
      <c r="A28">
        <f>Raw_Data!A28</f>
        <v/>
      </c>
      <c r="B28" s="11">
        <f>Raw_Data!B28</f>
        <v/>
      </c>
      <c r="C28">
        <f>Raw_Data!C28</f>
        <v/>
      </c>
      <c r="D28">
        <f>Raw_Data!D28</f>
        <v/>
      </c>
      <c r="E28">
        <f>Raw_Data!E28</f>
        <v/>
      </c>
      <c r="F28">
        <f>Raw_Data!F28</f>
        <v/>
      </c>
      <c r="G28">
        <f>Raw_Data!G28</f>
        <v/>
      </c>
      <c r="H28">
        <f>Raw_Data!H28</f>
        <v/>
      </c>
      <c r="I28">
        <f>Raw_Data!I28</f>
        <v/>
      </c>
      <c r="J28" s="12">
        <f>Raw_Data!J28</f>
        <v/>
      </c>
      <c r="K28" s="13">
        <f>Raw_Data!K28</f>
        <v/>
      </c>
      <c r="L28" s="12">
        <f>Raw_Data!L28</f>
        <v/>
      </c>
      <c r="M28" s="12">
        <f>Raw_Data!M28</f>
        <v/>
      </c>
      <c r="N28" s="12">
        <f>Raw_Data!N28</f>
        <v/>
      </c>
      <c r="O28">
        <f>Raw_Data!O28</f>
        <v/>
      </c>
      <c r="P28">
        <f>Raw_Data!P28</f>
        <v/>
      </c>
      <c r="Q28">
        <f>YEAR(B28)</f>
        <v/>
      </c>
      <c r="R28">
        <f>TEXT(B28,"mmm")</f>
        <v/>
      </c>
      <c r="S28" s="15">
        <f>IFERROR(N28/L28,0)</f>
        <v/>
      </c>
    </row>
    <row r="29">
      <c r="A29">
        <f>Raw_Data!A29</f>
        <v/>
      </c>
      <c r="B29" s="11">
        <f>Raw_Data!B29</f>
        <v/>
      </c>
      <c r="C29">
        <f>Raw_Data!C29</f>
        <v/>
      </c>
      <c r="D29">
        <f>Raw_Data!D29</f>
        <v/>
      </c>
      <c r="E29">
        <f>Raw_Data!E29</f>
        <v/>
      </c>
      <c r="F29">
        <f>Raw_Data!F29</f>
        <v/>
      </c>
      <c r="G29">
        <f>Raw_Data!G29</f>
        <v/>
      </c>
      <c r="H29">
        <f>Raw_Data!H29</f>
        <v/>
      </c>
      <c r="I29">
        <f>Raw_Data!I29</f>
        <v/>
      </c>
      <c r="J29" s="12">
        <f>Raw_Data!J29</f>
        <v/>
      </c>
      <c r="K29" s="13">
        <f>Raw_Data!K29</f>
        <v/>
      </c>
      <c r="L29" s="12">
        <f>Raw_Data!L29</f>
        <v/>
      </c>
      <c r="M29" s="12">
        <f>Raw_Data!M29</f>
        <v/>
      </c>
      <c r="N29" s="12">
        <f>Raw_Data!N29</f>
        <v/>
      </c>
      <c r="O29">
        <f>Raw_Data!O29</f>
        <v/>
      </c>
      <c r="P29">
        <f>Raw_Data!P29</f>
        <v/>
      </c>
      <c r="Q29">
        <f>YEAR(B29)</f>
        <v/>
      </c>
      <c r="R29">
        <f>TEXT(B29,"mmm")</f>
        <v/>
      </c>
      <c r="S29" s="15">
        <f>IFERROR(N29/L29,0)</f>
        <v/>
      </c>
    </row>
    <row r="30">
      <c r="A30">
        <f>Raw_Data!A30</f>
        <v/>
      </c>
      <c r="B30" s="11">
        <f>Raw_Data!B30</f>
        <v/>
      </c>
      <c r="C30">
        <f>Raw_Data!C30</f>
        <v/>
      </c>
      <c r="D30">
        <f>Raw_Data!D30</f>
        <v/>
      </c>
      <c r="E30">
        <f>Raw_Data!E30</f>
        <v/>
      </c>
      <c r="F30">
        <f>Raw_Data!F30</f>
        <v/>
      </c>
      <c r="G30">
        <f>Raw_Data!G30</f>
        <v/>
      </c>
      <c r="H30">
        <f>Raw_Data!H30</f>
        <v/>
      </c>
      <c r="I30">
        <f>Raw_Data!I30</f>
        <v/>
      </c>
      <c r="J30" s="12">
        <f>Raw_Data!J30</f>
        <v/>
      </c>
      <c r="K30" s="13">
        <f>Raw_Data!K30</f>
        <v/>
      </c>
      <c r="L30" s="12">
        <f>Raw_Data!L30</f>
        <v/>
      </c>
      <c r="M30" s="12">
        <f>Raw_Data!M30</f>
        <v/>
      </c>
      <c r="N30" s="12">
        <f>Raw_Data!N30</f>
        <v/>
      </c>
      <c r="O30">
        <f>Raw_Data!O30</f>
        <v/>
      </c>
      <c r="P30">
        <f>Raw_Data!P30</f>
        <v/>
      </c>
      <c r="Q30">
        <f>YEAR(B30)</f>
        <v/>
      </c>
      <c r="R30">
        <f>TEXT(B30,"mmm")</f>
        <v/>
      </c>
      <c r="S30" s="15">
        <f>IFERROR(N30/L30,0)</f>
        <v/>
      </c>
    </row>
    <row r="31">
      <c r="A31">
        <f>Raw_Data!A31</f>
        <v/>
      </c>
      <c r="B31" s="11">
        <f>Raw_Data!B31</f>
        <v/>
      </c>
      <c r="C31">
        <f>Raw_Data!C31</f>
        <v/>
      </c>
      <c r="D31">
        <f>Raw_Data!D31</f>
        <v/>
      </c>
      <c r="E31">
        <f>Raw_Data!E31</f>
        <v/>
      </c>
      <c r="F31">
        <f>Raw_Data!F31</f>
        <v/>
      </c>
      <c r="G31">
        <f>Raw_Data!G31</f>
        <v/>
      </c>
      <c r="H31">
        <f>Raw_Data!H31</f>
        <v/>
      </c>
      <c r="I31">
        <f>Raw_Data!I31</f>
        <v/>
      </c>
      <c r="J31" s="12">
        <f>Raw_Data!J31</f>
        <v/>
      </c>
      <c r="K31" s="13">
        <f>Raw_Data!K31</f>
        <v/>
      </c>
      <c r="L31" s="12">
        <f>Raw_Data!L31</f>
        <v/>
      </c>
      <c r="M31" s="12">
        <f>Raw_Data!M31</f>
        <v/>
      </c>
      <c r="N31" s="12">
        <f>Raw_Data!N31</f>
        <v/>
      </c>
      <c r="O31">
        <f>Raw_Data!O31</f>
        <v/>
      </c>
      <c r="P31">
        <f>Raw_Data!P31</f>
        <v/>
      </c>
      <c r="Q31">
        <f>YEAR(B31)</f>
        <v/>
      </c>
      <c r="R31">
        <f>TEXT(B31,"mmm")</f>
        <v/>
      </c>
      <c r="S31" s="15">
        <f>IFERROR(N31/L31,0)</f>
        <v/>
      </c>
    </row>
    <row r="32">
      <c r="A32">
        <f>Raw_Data!A32</f>
        <v/>
      </c>
      <c r="B32" s="11">
        <f>Raw_Data!B32</f>
        <v/>
      </c>
      <c r="C32">
        <f>Raw_Data!C32</f>
        <v/>
      </c>
      <c r="D32">
        <f>Raw_Data!D32</f>
        <v/>
      </c>
      <c r="E32">
        <f>Raw_Data!E32</f>
        <v/>
      </c>
      <c r="F32">
        <f>Raw_Data!F32</f>
        <v/>
      </c>
      <c r="G32">
        <f>Raw_Data!G32</f>
        <v/>
      </c>
      <c r="H32">
        <f>Raw_Data!H32</f>
        <v/>
      </c>
      <c r="I32">
        <f>Raw_Data!I32</f>
        <v/>
      </c>
      <c r="J32" s="12">
        <f>Raw_Data!J32</f>
        <v/>
      </c>
      <c r="K32" s="13">
        <f>Raw_Data!K32</f>
        <v/>
      </c>
      <c r="L32" s="12">
        <f>Raw_Data!L32</f>
        <v/>
      </c>
      <c r="M32" s="12">
        <f>Raw_Data!M32</f>
        <v/>
      </c>
      <c r="N32" s="12">
        <f>Raw_Data!N32</f>
        <v/>
      </c>
      <c r="O32">
        <f>Raw_Data!O32</f>
        <v/>
      </c>
      <c r="P32">
        <f>Raw_Data!P32</f>
        <v/>
      </c>
      <c r="Q32">
        <f>YEAR(B32)</f>
        <v/>
      </c>
      <c r="R32">
        <f>TEXT(B32,"mmm")</f>
        <v/>
      </c>
      <c r="S32" s="15">
        <f>IFERROR(N32/L32,0)</f>
        <v/>
      </c>
    </row>
    <row r="33">
      <c r="A33">
        <f>Raw_Data!A33</f>
        <v/>
      </c>
      <c r="B33" s="11">
        <f>Raw_Data!B33</f>
        <v/>
      </c>
      <c r="C33">
        <f>Raw_Data!C33</f>
        <v/>
      </c>
      <c r="D33">
        <f>Raw_Data!D33</f>
        <v/>
      </c>
      <c r="E33">
        <f>Raw_Data!E33</f>
        <v/>
      </c>
      <c r="F33">
        <f>Raw_Data!F33</f>
        <v/>
      </c>
      <c r="G33">
        <f>Raw_Data!G33</f>
        <v/>
      </c>
      <c r="H33">
        <f>Raw_Data!H33</f>
        <v/>
      </c>
      <c r="I33">
        <f>Raw_Data!I33</f>
        <v/>
      </c>
      <c r="J33" s="12">
        <f>Raw_Data!J33</f>
        <v/>
      </c>
      <c r="K33" s="13">
        <f>Raw_Data!K33</f>
        <v/>
      </c>
      <c r="L33" s="12">
        <f>Raw_Data!L33</f>
        <v/>
      </c>
      <c r="M33" s="12">
        <f>Raw_Data!M33</f>
        <v/>
      </c>
      <c r="N33" s="12">
        <f>Raw_Data!N33</f>
        <v/>
      </c>
      <c r="O33">
        <f>Raw_Data!O33</f>
        <v/>
      </c>
      <c r="P33">
        <f>Raw_Data!P33</f>
        <v/>
      </c>
      <c r="Q33">
        <f>YEAR(B33)</f>
        <v/>
      </c>
      <c r="R33">
        <f>TEXT(B33,"mmm")</f>
        <v/>
      </c>
      <c r="S33" s="15">
        <f>IFERROR(N33/L33,0)</f>
        <v/>
      </c>
    </row>
    <row r="34">
      <c r="A34">
        <f>Raw_Data!A34</f>
        <v/>
      </c>
      <c r="B34" s="11">
        <f>Raw_Data!B34</f>
        <v/>
      </c>
      <c r="C34">
        <f>Raw_Data!C34</f>
        <v/>
      </c>
      <c r="D34">
        <f>Raw_Data!D34</f>
        <v/>
      </c>
      <c r="E34">
        <f>Raw_Data!E34</f>
        <v/>
      </c>
      <c r="F34">
        <f>Raw_Data!F34</f>
        <v/>
      </c>
      <c r="G34">
        <f>Raw_Data!G34</f>
        <v/>
      </c>
      <c r="H34">
        <f>Raw_Data!H34</f>
        <v/>
      </c>
      <c r="I34">
        <f>Raw_Data!I34</f>
        <v/>
      </c>
      <c r="J34" s="12">
        <f>Raw_Data!J34</f>
        <v/>
      </c>
      <c r="K34" s="13">
        <f>Raw_Data!K34</f>
        <v/>
      </c>
      <c r="L34" s="12">
        <f>Raw_Data!L34</f>
        <v/>
      </c>
      <c r="M34" s="12">
        <f>Raw_Data!M34</f>
        <v/>
      </c>
      <c r="N34" s="12">
        <f>Raw_Data!N34</f>
        <v/>
      </c>
      <c r="O34">
        <f>Raw_Data!O34</f>
        <v/>
      </c>
      <c r="P34">
        <f>Raw_Data!P34</f>
        <v/>
      </c>
      <c r="Q34">
        <f>YEAR(B34)</f>
        <v/>
      </c>
      <c r="R34">
        <f>TEXT(B34,"mmm")</f>
        <v/>
      </c>
      <c r="S34" s="15">
        <f>IFERROR(N34/L34,0)</f>
        <v/>
      </c>
    </row>
    <row r="35">
      <c r="A35">
        <f>Raw_Data!A35</f>
        <v/>
      </c>
      <c r="B35" s="11">
        <f>Raw_Data!B35</f>
        <v/>
      </c>
      <c r="C35">
        <f>Raw_Data!C35</f>
        <v/>
      </c>
      <c r="D35">
        <f>Raw_Data!D35</f>
        <v/>
      </c>
      <c r="E35">
        <f>Raw_Data!E35</f>
        <v/>
      </c>
      <c r="F35">
        <f>Raw_Data!F35</f>
        <v/>
      </c>
      <c r="G35">
        <f>Raw_Data!G35</f>
        <v/>
      </c>
      <c r="H35">
        <f>Raw_Data!H35</f>
        <v/>
      </c>
      <c r="I35">
        <f>Raw_Data!I35</f>
        <v/>
      </c>
      <c r="J35" s="12">
        <f>Raw_Data!J35</f>
        <v/>
      </c>
      <c r="K35" s="13">
        <f>Raw_Data!K35</f>
        <v/>
      </c>
      <c r="L35" s="12">
        <f>Raw_Data!L35</f>
        <v/>
      </c>
      <c r="M35" s="12">
        <f>Raw_Data!M35</f>
        <v/>
      </c>
      <c r="N35" s="12">
        <f>Raw_Data!N35</f>
        <v/>
      </c>
      <c r="O35">
        <f>Raw_Data!O35</f>
        <v/>
      </c>
      <c r="P35">
        <f>Raw_Data!P35</f>
        <v/>
      </c>
      <c r="Q35">
        <f>YEAR(B35)</f>
        <v/>
      </c>
      <c r="R35">
        <f>TEXT(B35,"mmm")</f>
        <v/>
      </c>
      <c r="S35" s="15">
        <f>IFERROR(N35/L35,0)</f>
        <v/>
      </c>
    </row>
    <row r="36">
      <c r="A36">
        <f>Raw_Data!A36</f>
        <v/>
      </c>
      <c r="B36" s="11">
        <f>Raw_Data!B36</f>
        <v/>
      </c>
      <c r="C36">
        <f>Raw_Data!C36</f>
        <v/>
      </c>
      <c r="D36">
        <f>Raw_Data!D36</f>
        <v/>
      </c>
      <c r="E36">
        <f>Raw_Data!E36</f>
        <v/>
      </c>
      <c r="F36">
        <f>Raw_Data!F36</f>
        <v/>
      </c>
      <c r="G36">
        <f>Raw_Data!G36</f>
        <v/>
      </c>
      <c r="H36">
        <f>Raw_Data!H36</f>
        <v/>
      </c>
      <c r="I36">
        <f>Raw_Data!I36</f>
        <v/>
      </c>
      <c r="J36" s="12">
        <f>Raw_Data!J36</f>
        <v/>
      </c>
      <c r="K36" s="13">
        <f>Raw_Data!K36</f>
        <v/>
      </c>
      <c r="L36" s="12">
        <f>Raw_Data!L36</f>
        <v/>
      </c>
      <c r="M36" s="12">
        <f>Raw_Data!M36</f>
        <v/>
      </c>
      <c r="N36" s="12">
        <f>Raw_Data!N36</f>
        <v/>
      </c>
      <c r="O36">
        <f>Raw_Data!O36</f>
        <v/>
      </c>
      <c r="P36">
        <f>Raw_Data!P36</f>
        <v/>
      </c>
      <c r="Q36">
        <f>YEAR(B36)</f>
        <v/>
      </c>
      <c r="R36">
        <f>TEXT(B36,"mmm")</f>
        <v/>
      </c>
      <c r="S36" s="15">
        <f>IFERROR(N36/L36,0)</f>
        <v/>
      </c>
    </row>
    <row r="37">
      <c r="A37">
        <f>Raw_Data!A37</f>
        <v/>
      </c>
      <c r="B37" s="11">
        <f>Raw_Data!B37</f>
        <v/>
      </c>
      <c r="C37">
        <f>Raw_Data!C37</f>
        <v/>
      </c>
      <c r="D37">
        <f>Raw_Data!D37</f>
        <v/>
      </c>
      <c r="E37">
        <f>Raw_Data!E37</f>
        <v/>
      </c>
      <c r="F37">
        <f>Raw_Data!F37</f>
        <v/>
      </c>
      <c r="G37">
        <f>Raw_Data!G37</f>
        <v/>
      </c>
      <c r="H37">
        <f>Raw_Data!H37</f>
        <v/>
      </c>
      <c r="I37">
        <f>Raw_Data!I37</f>
        <v/>
      </c>
      <c r="J37" s="12">
        <f>Raw_Data!J37</f>
        <v/>
      </c>
      <c r="K37" s="13">
        <f>Raw_Data!K37</f>
        <v/>
      </c>
      <c r="L37" s="12">
        <f>Raw_Data!L37</f>
        <v/>
      </c>
      <c r="M37" s="12">
        <f>Raw_Data!M37</f>
        <v/>
      </c>
      <c r="N37" s="12">
        <f>Raw_Data!N37</f>
        <v/>
      </c>
      <c r="O37">
        <f>Raw_Data!O37</f>
        <v/>
      </c>
      <c r="P37">
        <f>Raw_Data!P37</f>
        <v/>
      </c>
      <c r="Q37">
        <f>YEAR(B37)</f>
        <v/>
      </c>
      <c r="R37">
        <f>TEXT(B37,"mmm")</f>
        <v/>
      </c>
      <c r="S37" s="15">
        <f>IFERROR(N37/L37,0)</f>
        <v/>
      </c>
    </row>
    <row r="38">
      <c r="A38">
        <f>Raw_Data!A38</f>
        <v/>
      </c>
      <c r="B38" s="11">
        <f>Raw_Data!B38</f>
        <v/>
      </c>
      <c r="C38">
        <f>Raw_Data!C38</f>
        <v/>
      </c>
      <c r="D38">
        <f>Raw_Data!D38</f>
        <v/>
      </c>
      <c r="E38">
        <f>Raw_Data!E38</f>
        <v/>
      </c>
      <c r="F38">
        <f>Raw_Data!F38</f>
        <v/>
      </c>
      <c r="G38">
        <f>Raw_Data!G38</f>
        <v/>
      </c>
      <c r="H38">
        <f>Raw_Data!H38</f>
        <v/>
      </c>
      <c r="I38">
        <f>Raw_Data!I38</f>
        <v/>
      </c>
      <c r="J38" s="12">
        <f>Raw_Data!J38</f>
        <v/>
      </c>
      <c r="K38" s="13">
        <f>Raw_Data!K38</f>
        <v/>
      </c>
      <c r="L38" s="12">
        <f>Raw_Data!L38</f>
        <v/>
      </c>
      <c r="M38" s="12">
        <f>Raw_Data!M38</f>
        <v/>
      </c>
      <c r="N38" s="12">
        <f>Raw_Data!N38</f>
        <v/>
      </c>
      <c r="O38">
        <f>Raw_Data!O38</f>
        <v/>
      </c>
      <c r="P38">
        <f>Raw_Data!P38</f>
        <v/>
      </c>
      <c r="Q38">
        <f>YEAR(B38)</f>
        <v/>
      </c>
      <c r="R38">
        <f>TEXT(B38,"mmm")</f>
        <v/>
      </c>
      <c r="S38" s="15">
        <f>IFERROR(N38/L38,0)</f>
        <v/>
      </c>
    </row>
    <row r="39">
      <c r="A39">
        <f>Raw_Data!A39</f>
        <v/>
      </c>
      <c r="B39" s="11">
        <f>Raw_Data!B39</f>
        <v/>
      </c>
      <c r="C39">
        <f>Raw_Data!C39</f>
        <v/>
      </c>
      <c r="D39">
        <f>Raw_Data!D39</f>
        <v/>
      </c>
      <c r="E39">
        <f>Raw_Data!E39</f>
        <v/>
      </c>
      <c r="F39">
        <f>Raw_Data!F39</f>
        <v/>
      </c>
      <c r="G39">
        <f>Raw_Data!G39</f>
        <v/>
      </c>
      <c r="H39">
        <f>Raw_Data!H39</f>
        <v/>
      </c>
      <c r="I39">
        <f>Raw_Data!I39</f>
        <v/>
      </c>
      <c r="J39" s="12">
        <f>Raw_Data!J39</f>
        <v/>
      </c>
      <c r="K39" s="13">
        <f>Raw_Data!K39</f>
        <v/>
      </c>
      <c r="L39" s="12">
        <f>Raw_Data!L39</f>
        <v/>
      </c>
      <c r="M39" s="12">
        <f>Raw_Data!M39</f>
        <v/>
      </c>
      <c r="N39" s="12">
        <f>Raw_Data!N39</f>
        <v/>
      </c>
      <c r="O39">
        <f>Raw_Data!O39</f>
        <v/>
      </c>
      <c r="P39">
        <f>Raw_Data!P39</f>
        <v/>
      </c>
      <c r="Q39">
        <f>YEAR(B39)</f>
        <v/>
      </c>
      <c r="R39">
        <f>TEXT(B39,"mmm")</f>
        <v/>
      </c>
      <c r="S39" s="15">
        <f>IFERROR(N39/L39,0)</f>
        <v/>
      </c>
    </row>
    <row r="40">
      <c r="A40">
        <f>Raw_Data!A40</f>
        <v/>
      </c>
      <c r="B40" s="11">
        <f>Raw_Data!B40</f>
        <v/>
      </c>
      <c r="C40">
        <f>Raw_Data!C40</f>
        <v/>
      </c>
      <c r="D40">
        <f>Raw_Data!D40</f>
        <v/>
      </c>
      <c r="E40">
        <f>Raw_Data!E40</f>
        <v/>
      </c>
      <c r="F40">
        <f>Raw_Data!F40</f>
        <v/>
      </c>
      <c r="G40">
        <f>Raw_Data!G40</f>
        <v/>
      </c>
      <c r="H40">
        <f>Raw_Data!H40</f>
        <v/>
      </c>
      <c r="I40">
        <f>Raw_Data!I40</f>
        <v/>
      </c>
      <c r="J40" s="12">
        <f>Raw_Data!J40</f>
        <v/>
      </c>
      <c r="K40" s="13">
        <f>Raw_Data!K40</f>
        <v/>
      </c>
      <c r="L40" s="12">
        <f>Raw_Data!L40</f>
        <v/>
      </c>
      <c r="M40" s="12">
        <f>Raw_Data!M40</f>
        <v/>
      </c>
      <c r="N40" s="12">
        <f>Raw_Data!N40</f>
        <v/>
      </c>
      <c r="O40">
        <f>Raw_Data!O40</f>
        <v/>
      </c>
      <c r="P40">
        <f>Raw_Data!P40</f>
        <v/>
      </c>
      <c r="Q40">
        <f>YEAR(B40)</f>
        <v/>
      </c>
      <c r="R40">
        <f>TEXT(B40,"mmm")</f>
        <v/>
      </c>
      <c r="S40" s="15">
        <f>IFERROR(N40/L40,0)</f>
        <v/>
      </c>
    </row>
    <row r="41">
      <c r="A41">
        <f>Raw_Data!A41</f>
        <v/>
      </c>
      <c r="B41" s="11">
        <f>Raw_Data!B41</f>
        <v/>
      </c>
      <c r="C41">
        <f>Raw_Data!C41</f>
        <v/>
      </c>
      <c r="D41">
        <f>Raw_Data!D41</f>
        <v/>
      </c>
      <c r="E41">
        <f>Raw_Data!E41</f>
        <v/>
      </c>
      <c r="F41">
        <f>Raw_Data!F41</f>
        <v/>
      </c>
      <c r="G41">
        <f>Raw_Data!G41</f>
        <v/>
      </c>
      <c r="H41">
        <f>Raw_Data!H41</f>
        <v/>
      </c>
      <c r="I41">
        <f>Raw_Data!I41</f>
        <v/>
      </c>
      <c r="J41" s="12">
        <f>Raw_Data!J41</f>
        <v/>
      </c>
      <c r="K41" s="13">
        <f>Raw_Data!K41</f>
        <v/>
      </c>
      <c r="L41" s="12">
        <f>Raw_Data!L41</f>
        <v/>
      </c>
      <c r="M41" s="12">
        <f>Raw_Data!M41</f>
        <v/>
      </c>
      <c r="N41" s="12">
        <f>Raw_Data!N41</f>
        <v/>
      </c>
      <c r="O41">
        <f>Raw_Data!O41</f>
        <v/>
      </c>
      <c r="P41">
        <f>Raw_Data!P41</f>
        <v/>
      </c>
      <c r="Q41">
        <f>YEAR(B41)</f>
        <v/>
      </c>
      <c r="R41">
        <f>TEXT(B41,"mmm")</f>
        <v/>
      </c>
      <c r="S41" s="15">
        <f>IFERROR(N41/L41,0)</f>
        <v/>
      </c>
    </row>
    <row r="42">
      <c r="A42">
        <f>Raw_Data!A42</f>
        <v/>
      </c>
      <c r="B42" s="11">
        <f>Raw_Data!B42</f>
        <v/>
      </c>
      <c r="C42">
        <f>Raw_Data!C42</f>
        <v/>
      </c>
      <c r="D42">
        <f>Raw_Data!D42</f>
        <v/>
      </c>
      <c r="E42">
        <f>Raw_Data!E42</f>
        <v/>
      </c>
      <c r="F42">
        <f>Raw_Data!F42</f>
        <v/>
      </c>
      <c r="G42">
        <f>Raw_Data!G42</f>
        <v/>
      </c>
      <c r="H42">
        <f>Raw_Data!H42</f>
        <v/>
      </c>
      <c r="I42">
        <f>Raw_Data!I42</f>
        <v/>
      </c>
      <c r="J42" s="12">
        <f>Raw_Data!J42</f>
        <v/>
      </c>
      <c r="K42" s="13">
        <f>Raw_Data!K42</f>
        <v/>
      </c>
      <c r="L42" s="12">
        <f>Raw_Data!L42</f>
        <v/>
      </c>
      <c r="M42" s="12">
        <f>Raw_Data!M42</f>
        <v/>
      </c>
      <c r="N42" s="12">
        <f>Raw_Data!N42</f>
        <v/>
      </c>
      <c r="O42">
        <f>Raw_Data!O42</f>
        <v/>
      </c>
      <c r="P42">
        <f>Raw_Data!P42</f>
        <v/>
      </c>
      <c r="Q42">
        <f>YEAR(B42)</f>
        <v/>
      </c>
      <c r="R42">
        <f>TEXT(B42,"mmm")</f>
        <v/>
      </c>
      <c r="S42" s="15">
        <f>IFERROR(N42/L42,0)</f>
        <v/>
      </c>
    </row>
    <row r="43">
      <c r="A43">
        <f>Raw_Data!A43</f>
        <v/>
      </c>
      <c r="B43" s="11">
        <f>Raw_Data!B43</f>
        <v/>
      </c>
      <c r="C43">
        <f>Raw_Data!C43</f>
        <v/>
      </c>
      <c r="D43">
        <f>Raw_Data!D43</f>
        <v/>
      </c>
      <c r="E43">
        <f>Raw_Data!E43</f>
        <v/>
      </c>
      <c r="F43">
        <f>Raw_Data!F43</f>
        <v/>
      </c>
      <c r="G43">
        <f>Raw_Data!G43</f>
        <v/>
      </c>
      <c r="H43">
        <f>Raw_Data!H43</f>
        <v/>
      </c>
      <c r="I43">
        <f>Raw_Data!I43</f>
        <v/>
      </c>
      <c r="J43" s="12">
        <f>Raw_Data!J43</f>
        <v/>
      </c>
      <c r="K43" s="13">
        <f>Raw_Data!K43</f>
        <v/>
      </c>
      <c r="L43" s="12">
        <f>Raw_Data!L43</f>
        <v/>
      </c>
      <c r="M43" s="12">
        <f>Raw_Data!M43</f>
        <v/>
      </c>
      <c r="N43" s="12">
        <f>Raw_Data!N43</f>
        <v/>
      </c>
      <c r="O43">
        <f>Raw_Data!O43</f>
        <v/>
      </c>
      <c r="P43">
        <f>Raw_Data!P43</f>
        <v/>
      </c>
      <c r="Q43">
        <f>YEAR(B43)</f>
        <v/>
      </c>
      <c r="R43">
        <f>TEXT(B43,"mmm")</f>
        <v/>
      </c>
      <c r="S43" s="15">
        <f>IFERROR(N43/L43,0)</f>
        <v/>
      </c>
    </row>
    <row r="44">
      <c r="A44">
        <f>Raw_Data!A44</f>
        <v/>
      </c>
      <c r="B44" s="11">
        <f>Raw_Data!B44</f>
        <v/>
      </c>
      <c r="C44">
        <f>Raw_Data!C44</f>
        <v/>
      </c>
      <c r="D44">
        <f>Raw_Data!D44</f>
        <v/>
      </c>
      <c r="E44">
        <f>Raw_Data!E44</f>
        <v/>
      </c>
      <c r="F44">
        <f>Raw_Data!F44</f>
        <v/>
      </c>
      <c r="G44">
        <f>Raw_Data!G44</f>
        <v/>
      </c>
      <c r="H44">
        <f>Raw_Data!H44</f>
        <v/>
      </c>
      <c r="I44">
        <f>Raw_Data!I44</f>
        <v/>
      </c>
      <c r="J44" s="12">
        <f>Raw_Data!J44</f>
        <v/>
      </c>
      <c r="K44" s="13">
        <f>Raw_Data!K44</f>
        <v/>
      </c>
      <c r="L44" s="12">
        <f>Raw_Data!L44</f>
        <v/>
      </c>
      <c r="M44" s="12">
        <f>Raw_Data!M44</f>
        <v/>
      </c>
      <c r="N44" s="12">
        <f>Raw_Data!N44</f>
        <v/>
      </c>
      <c r="O44">
        <f>Raw_Data!O44</f>
        <v/>
      </c>
      <c r="P44">
        <f>Raw_Data!P44</f>
        <v/>
      </c>
      <c r="Q44">
        <f>YEAR(B44)</f>
        <v/>
      </c>
      <c r="R44">
        <f>TEXT(B44,"mmm")</f>
        <v/>
      </c>
      <c r="S44" s="15">
        <f>IFERROR(N44/L44,0)</f>
        <v/>
      </c>
    </row>
    <row r="45">
      <c r="A45">
        <f>Raw_Data!A45</f>
        <v/>
      </c>
      <c r="B45" s="11">
        <f>Raw_Data!B45</f>
        <v/>
      </c>
      <c r="C45">
        <f>Raw_Data!C45</f>
        <v/>
      </c>
      <c r="D45">
        <f>Raw_Data!D45</f>
        <v/>
      </c>
      <c r="E45">
        <f>Raw_Data!E45</f>
        <v/>
      </c>
      <c r="F45">
        <f>Raw_Data!F45</f>
        <v/>
      </c>
      <c r="G45">
        <f>Raw_Data!G45</f>
        <v/>
      </c>
      <c r="H45">
        <f>Raw_Data!H45</f>
        <v/>
      </c>
      <c r="I45">
        <f>Raw_Data!I45</f>
        <v/>
      </c>
      <c r="J45" s="12">
        <f>Raw_Data!J45</f>
        <v/>
      </c>
      <c r="K45" s="13">
        <f>Raw_Data!K45</f>
        <v/>
      </c>
      <c r="L45" s="12">
        <f>Raw_Data!L45</f>
        <v/>
      </c>
      <c r="M45" s="12">
        <f>Raw_Data!M45</f>
        <v/>
      </c>
      <c r="N45" s="12">
        <f>Raw_Data!N45</f>
        <v/>
      </c>
      <c r="O45">
        <f>Raw_Data!O45</f>
        <v/>
      </c>
      <c r="P45">
        <f>Raw_Data!P45</f>
        <v/>
      </c>
      <c r="Q45">
        <f>YEAR(B45)</f>
        <v/>
      </c>
      <c r="R45">
        <f>TEXT(B45,"mmm")</f>
        <v/>
      </c>
      <c r="S45" s="15">
        <f>IFERROR(N45/L45,0)</f>
        <v/>
      </c>
    </row>
    <row r="46">
      <c r="A46">
        <f>Raw_Data!A46</f>
        <v/>
      </c>
      <c r="B46" s="11">
        <f>Raw_Data!B46</f>
        <v/>
      </c>
      <c r="C46">
        <f>Raw_Data!C46</f>
        <v/>
      </c>
      <c r="D46">
        <f>Raw_Data!D46</f>
        <v/>
      </c>
      <c r="E46">
        <f>Raw_Data!E46</f>
        <v/>
      </c>
      <c r="F46">
        <f>Raw_Data!F46</f>
        <v/>
      </c>
      <c r="G46">
        <f>Raw_Data!G46</f>
        <v/>
      </c>
      <c r="H46">
        <f>Raw_Data!H46</f>
        <v/>
      </c>
      <c r="I46">
        <f>Raw_Data!I46</f>
        <v/>
      </c>
      <c r="J46" s="12">
        <f>Raw_Data!J46</f>
        <v/>
      </c>
      <c r="K46" s="13">
        <f>Raw_Data!K46</f>
        <v/>
      </c>
      <c r="L46" s="12">
        <f>Raw_Data!L46</f>
        <v/>
      </c>
      <c r="M46" s="12">
        <f>Raw_Data!M46</f>
        <v/>
      </c>
      <c r="N46" s="12">
        <f>Raw_Data!N46</f>
        <v/>
      </c>
      <c r="O46">
        <f>Raw_Data!O46</f>
        <v/>
      </c>
      <c r="P46">
        <f>Raw_Data!P46</f>
        <v/>
      </c>
      <c r="Q46">
        <f>YEAR(B46)</f>
        <v/>
      </c>
      <c r="R46">
        <f>TEXT(B46,"mmm")</f>
        <v/>
      </c>
      <c r="S46" s="15">
        <f>IFERROR(N46/L46,0)</f>
        <v/>
      </c>
    </row>
    <row r="47">
      <c r="A47">
        <f>Raw_Data!A47</f>
        <v/>
      </c>
      <c r="B47" s="11">
        <f>Raw_Data!B47</f>
        <v/>
      </c>
      <c r="C47">
        <f>Raw_Data!C47</f>
        <v/>
      </c>
      <c r="D47">
        <f>Raw_Data!D47</f>
        <v/>
      </c>
      <c r="E47">
        <f>Raw_Data!E47</f>
        <v/>
      </c>
      <c r="F47">
        <f>Raw_Data!F47</f>
        <v/>
      </c>
      <c r="G47">
        <f>Raw_Data!G47</f>
        <v/>
      </c>
      <c r="H47">
        <f>Raw_Data!H47</f>
        <v/>
      </c>
      <c r="I47">
        <f>Raw_Data!I47</f>
        <v/>
      </c>
      <c r="J47" s="12">
        <f>Raw_Data!J47</f>
        <v/>
      </c>
      <c r="K47" s="13">
        <f>Raw_Data!K47</f>
        <v/>
      </c>
      <c r="L47" s="12">
        <f>Raw_Data!L47</f>
        <v/>
      </c>
      <c r="M47" s="12">
        <f>Raw_Data!M47</f>
        <v/>
      </c>
      <c r="N47" s="12">
        <f>Raw_Data!N47</f>
        <v/>
      </c>
      <c r="O47">
        <f>Raw_Data!O47</f>
        <v/>
      </c>
      <c r="P47">
        <f>Raw_Data!P47</f>
        <v/>
      </c>
      <c r="Q47">
        <f>YEAR(B47)</f>
        <v/>
      </c>
      <c r="R47">
        <f>TEXT(B47,"mmm")</f>
        <v/>
      </c>
      <c r="S47" s="15">
        <f>IFERROR(N47/L47,0)</f>
        <v/>
      </c>
    </row>
    <row r="48">
      <c r="A48">
        <f>Raw_Data!A48</f>
        <v/>
      </c>
      <c r="B48" s="11">
        <f>Raw_Data!B48</f>
        <v/>
      </c>
      <c r="C48">
        <f>Raw_Data!C48</f>
        <v/>
      </c>
      <c r="D48">
        <f>Raw_Data!D48</f>
        <v/>
      </c>
      <c r="E48">
        <f>Raw_Data!E48</f>
        <v/>
      </c>
      <c r="F48">
        <f>Raw_Data!F48</f>
        <v/>
      </c>
      <c r="G48">
        <f>Raw_Data!G48</f>
        <v/>
      </c>
      <c r="H48">
        <f>Raw_Data!H48</f>
        <v/>
      </c>
      <c r="I48">
        <f>Raw_Data!I48</f>
        <v/>
      </c>
      <c r="J48" s="12">
        <f>Raw_Data!J48</f>
        <v/>
      </c>
      <c r="K48" s="13">
        <f>Raw_Data!K48</f>
        <v/>
      </c>
      <c r="L48" s="12">
        <f>Raw_Data!L48</f>
        <v/>
      </c>
      <c r="M48" s="12">
        <f>Raw_Data!M48</f>
        <v/>
      </c>
      <c r="N48" s="12">
        <f>Raw_Data!N48</f>
        <v/>
      </c>
      <c r="O48">
        <f>Raw_Data!O48</f>
        <v/>
      </c>
      <c r="P48">
        <f>Raw_Data!P48</f>
        <v/>
      </c>
      <c r="Q48">
        <f>YEAR(B48)</f>
        <v/>
      </c>
      <c r="R48">
        <f>TEXT(B48,"mmm")</f>
        <v/>
      </c>
      <c r="S48" s="15">
        <f>IFERROR(N48/L48,0)</f>
        <v/>
      </c>
    </row>
    <row r="49">
      <c r="A49">
        <f>Raw_Data!A49</f>
        <v/>
      </c>
      <c r="B49" s="11">
        <f>Raw_Data!B49</f>
        <v/>
      </c>
      <c r="C49">
        <f>Raw_Data!C49</f>
        <v/>
      </c>
      <c r="D49">
        <f>Raw_Data!D49</f>
        <v/>
      </c>
      <c r="E49">
        <f>Raw_Data!E49</f>
        <v/>
      </c>
      <c r="F49">
        <f>Raw_Data!F49</f>
        <v/>
      </c>
      <c r="G49">
        <f>Raw_Data!G49</f>
        <v/>
      </c>
      <c r="H49">
        <f>Raw_Data!H49</f>
        <v/>
      </c>
      <c r="I49">
        <f>Raw_Data!I49</f>
        <v/>
      </c>
      <c r="J49" s="12">
        <f>Raw_Data!J49</f>
        <v/>
      </c>
      <c r="K49" s="13">
        <f>Raw_Data!K49</f>
        <v/>
      </c>
      <c r="L49" s="12">
        <f>Raw_Data!L49</f>
        <v/>
      </c>
      <c r="M49" s="12">
        <f>Raw_Data!M49</f>
        <v/>
      </c>
      <c r="N49" s="12">
        <f>Raw_Data!N49</f>
        <v/>
      </c>
      <c r="O49">
        <f>Raw_Data!O49</f>
        <v/>
      </c>
      <c r="P49">
        <f>Raw_Data!P49</f>
        <v/>
      </c>
      <c r="Q49">
        <f>YEAR(B49)</f>
        <v/>
      </c>
      <c r="R49">
        <f>TEXT(B49,"mmm")</f>
        <v/>
      </c>
      <c r="S49" s="15">
        <f>IFERROR(N49/L49,0)</f>
        <v/>
      </c>
    </row>
    <row r="50">
      <c r="A50">
        <f>Raw_Data!A50</f>
        <v/>
      </c>
      <c r="B50" s="11">
        <f>Raw_Data!B50</f>
        <v/>
      </c>
      <c r="C50">
        <f>Raw_Data!C50</f>
        <v/>
      </c>
      <c r="D50">
        <f>Raw_Data!D50</f>
        <v/>
      </c>
      <c r="E50">
        <f>Raw_Data!E50</f>
        <v/>
      </c>
      <c r="F50">
        <f>Raw_Data!F50</f>
        <v/>
      </c>
      <c r="G50">
        <f>Raw_Data!G50</f>
        <v/>
      </c>
      <c r="H50">
        <f>Raw_Data!H50</f>
        <v/>
      </c>
      <c r="I50">
        <f>Raw_Data!I50</f>
        <v/>
      </c>
      <c r="J50" s="12">
        <f>Raw_Data!J50</f>
        <v/>
      </c>
      <c r="K50" s="13">
        <f>Raw_Data!K50</f>
        <v/>
      </c>
      <c r="L50" s="12">
        <f>Raw_Data!L50</f>
        <v/>
      </c>
      <c r="M50" s="12">
        <f>Raw_Data!M50</f>
        <v/>
      </c>
      <c r="N50" s="12">
        <f>Raw_Data!N50</f>
        <v/>
      </c>
      <c r="O50">
        <f>Raw_Data!O50</f>
        <v/>
      </c>
      <c r="P50">
        <f>Raw_Data!P50</f>
        <v/>
      </c>
      <c r="Q50">
        <f>YEAR(B50)</f>
        <v/>
      </c>
      <c r="R50">
        <f>TEXT(B50,"mmm")</f>
        <v/>
      </c>
      <c r="S50" s="15">
        <f>IFERROR(N50/L50,0)</f>
        <v/>
      </c>
    </row>
    <row r="51">
      <c r="A51">
        <f>Raw_Data!A51</f>
        <v/>
      </c>
      <c r="B51" s="11">
        <f>Raw_Data!B51</f>
        <v/>
      </c>
      <c r="C51">
        <f>Raw_Data!C51</f>
        <v/>
      </c>
      <c r="D51">
        <f>Raw_Data!D51</f>
        <v/>
      </c>
      <c r="E51">
        <f>Raw_Data!E51</f>
        <v/>
      </c>
      <c r="F51">
        <f>Raw_Data!F51</f>
        <v/>
      </c>
      <c r="G51">
        <f>Raw_Data!G51</f>
        <v/>
      </c>
      <c r="H51">
        <f>Raw_Data!H51</f>
        <v/>
      </c>
      <c r="I51">
        <f>Raw_Data!I51</f>
        <v/>
      </c>
      <c r="J51" s="12">
        <f>Raw_Data!J51</f>
        <v/>
      </c>
      <c r="K51" s="13">
        <f>Raw_Data!K51</f>
        <v/>
      </c>
      <c r="L51" s="12">
        <f>Raw_Data!L51</f>
        <v/>
      </c>
      <c r="M51" s="12">
        <f>Raw_Data!M51</f>
        <v/>
      </c>
      <c r="N51" s="12">
        <f>Raw_Data!N51</f>
        <v/>
      </c>
      <c r="O51">
        <f>Raw_Data!O51</f>
        <v/>
      </c>
      <c r="P51">
        <f>Raw_Data!P51</f>
        <v/>
      </c>
      <c r="Q51">
        <f>YEAR(B51)</f>
        <v/>
      </c>
      <c r="R51">
        <f>TEXT(B51,"mmm")</f>
        <v/>
      </c>
      <c r="S51" s="15">
        <f>IFERROR(N51/L51,0)</f>
        <v/>
      </c>
    </row>
    <row r="52">
      <c r="A52">
        <f>Raw_Data!A52</f>
        <v/>
      </c>
      <c r="B52" s="11">
        <f>Raw_Data!B52</f>
        <v/>
      </c>
      <c r="C52">
        <f>Raw_Data!C52</f>
        <v/>
      </c>
      <c r="D52">
        <f>Raw_Data!D52</f>
        <v/>
      </c>
      <c r="E52">
        <f>Raw_Data!E52</f>
        <v/>
      </c>
      <c r="F52">
        <f>Raw_Data!F52</f>
        <v/>
      </c>
      <c r="G52">
        <f>Raw_Data!G52</f>
        <v/>
      </c>
      <c r="H52">
        <f>Raw_Data!H52</f>
        <v/>
      </c>
      <c r="I52">
        <f>Raw_Data!I52</f>
        <v/>
      </c>
      <c r="J52" s="12">
        <f>Raw_Data!J52</f>
        <v/>
      </c>
      <c r="K52" s="13">
        <f>Raw_Data!K52</f>
        <v/>
      </c>
      <c r="L52" s="12">
        <f>Raw_Data!L52</f>
        <v/>
      </c>
      <c r="M52" s="12">
        <f>Raw_Data!M52</f>
        <v/>
      </c>
      <c r="N52" s="12">
        <f>Raw_Data!N52</f>
        <v/>
      </c>
      <c r="O52">
        <f>Raw_Data!O52</f>
        <v/>
      </c>
      <c r="P52">
        <f>Raw_Data!P52</f>
        <v/>
      </c>
      <c r="Q52">
        <f>YEAR(B52)</f>
        <v/>
      </c>
      <c r="R52">
        <f>TEXT(B52,"mmm")</f>
        <v/>
      </c>
      <c r="S52" s="15">
        <f>IFERROR(N52/L52,0)</f>
        <v/>
      </c>
    </row>
    <row r="53">
      <c r="A53">
        <f>Raw_Data!A53</f>
        <v/>
      </c>
      <c r="B53" s="11">
        <f>Raw_Data!B53</f>
        <v/>
      </c>
      <c r="C53">
        <f>Raw_Data!C53</f>
        <v/>
      </c>
      <c r="D53">
        <f>Raw_Data!D53</f>
        <v/>
      </c>
      <c r="E53">
        <f>Raw_Data!E53</f>
        <v/>
      </c>
      <c r="F53">
        <f>Raw_Data!F53</f>
        <v/>
      </c>
      <c r="G53">
        <f>Raw_Data!G53</f>
        <v/>
      </c>
      <c r="H53">
        <f>Raw_Data!H53</f>
        <v/>
      </c>
      <c r="I53">
        <f>Raw_Data!I53</f>
        <v/>
      </c>
      <c r="J53" s="12">
        <f>Raw_Data!J53</f>
        <v/>
      </c>
      <c r="K53" s="13">
        <f>Raw_Data!K53</f>
        <v/>
      </c>
      <c r="L53" s="12">
        <f>Raw_Data!L53</f>
        <v/>
      </c>
      <c r="M53" s="12">
        <f>Raw_Data!M53</f>
        <v/>
      </c>
      <c r="N53" s="12">
        <f>Raw_Data!N53</f>
        <v/>
      </c>
      <c r="O53">
        <f>Raw_Data!O53</f>
        <v/>
      </c>
      <c r="P53">
        <f>Raw_Data!P53</f>
        <v/>
      </c>
      <c r="Q53">
        <f>YEAR(B53)</f>
        <v/>
      </c>
      <c r="R53">
        <f>TEXT(B53,"mmm")</f>
        <v/>
      </c>
      <c r="S53" s="15">
        <f>IFERROR(N53/L53,0)</f>
        <v/>
      </c>
    </row>
    <row r="54">
      <c r="A54">
        <f>Raw_Data!A54</f>
        <v/>
      </c>
      <c r="B54" s="11">
        <f>Raw_Data!B54</f>
        <v/>
      </c>
      <c r="C54">
        <f>Raw_Data!C54</f>
        <v/>
      </c>
      <c r="D54">
        <f>Raw_Data!D54</f>
        <v/>
      </c>
      <c r="E54">
        <f>Raw_Data!E54</f>
        <v/>
      </c>
      <c r="F54">
        <f>Raw_Data!F54</f>
        <v/>
      </c>
      <c r="G54">
        <f>Raw_Data!G54</f>
        <v/>
      </c>
      <c r="H54">
        <f>Raw_Data!H54</f>
        <v/>
      </c>
      <c r="I54">
        <f>Raw_Data!I54</f>
        <v/>
      </c>
      <c r="J54" s="12">
        <f>Raw_Data!J54</f>
        <v/>
      </c>
      <c r="K54" s="13">
        <f>Raw_Data!K54</f>
        <v/>
      </c>
      <c r="L54" s="12">
        <f>Raw_Data!L54</f>
        <v/>
      </c>
      <c r="M54" s="12">
        <f>Raw_Data!M54</f>
        <v/>
      </c>
      <c r="N54" s="12">
        <f>Raw_Data!N54</f>
        <v/>
      </c>
      <c r="O54">
        <f>Raw_Data!O54</f>
        <v/>
      </c>
      <c r="P54">
        <f>Raw_Data!P54</f>
        <v/>
      </c>
      <c r="Q54">
        <f>YEAR(B54)</f>
        <v/>
      </c>
      <c r="R54">
        <f>TEXT(B54,"mmm")</f>
        <v/>
      </c>
      <c r="S54" s="15">
        <f>IFERROR(N54/L54,0)</f>
        <v/>
      </c>
    </row>
    <row r="55">
      <c r="A55">
        <f>Raw_Data!A55</f>
        <v/>
      </c>
      <c r="B55" s="11">
        <f>Raw_Data!B55</f>
        <v/>
      </c>
      <c r="C55">
        <f>Raw_Data!C55</f>
        <v/>
      </c>
      <c r="D55">
        <f>Raw_Data!D55</f>
        <v/>
      </c>
      <c r="E55">
        <f>Raw_Data!E55</f>
        <v/>
      </c>
      <c r="F55">
        <f>Raw_Data!F55</f>
        <v/>
      </c>
      <c r="G55">
        <f>Raw_Data!G55</f>
        <v/>
      </c>
      <c r="H55">
        <f>Raw_Data!H55</f>
        <v/>
      </c>
      <c r="I55">
        <f>Raw_Data!I55</f>
        <v/>
      </c>
      <c r="J55" s="12">
        <f>Raw_Data!J55</f>
        <v/>
      </c>
      <c r="K55" s="13">
        <f>Raw_Data!K55</f>
        <v/>
      </c>
      <c r="L55" s="12">
        <f>Raw_Data!L55</f>
        <v/>
      </c>
      <c r="M55" s="12">
        <f>Raw_Data!M55</f>
        <v/>
      </c>
      <c r="N55" s="12">
        <f>Raw_Data!N55</f>
        <v/>
      </c>
      <c r="O55">
        <f>Raw_Data!O55</f>
        <v/>
      </c>
      <c r="P55">
        <f>Raw_Data!P55</f>
        <v/>
      </c>
      <c r="Q55">
        <f>YEAR(B55)</f>
        <v/>
      </c>
      <c r="R55">
        <f>TEXT(B55,"mmm")</f>
        <v/>
      </c>
      <c r="S55" s="15">
        <f>IFERROR(N55/L55,0)</f>
        <v/>
      </c>
    </row>
    <row r="56">
      <c r="A56">
        <f>Raw_Data!A56</f>
        <v/>
      </c>
      <c r="B56" s="11">
        <f>Raw_Data!B56</f>
        <v/>
      </c>
      <c r="C56">
        <f>Raw_Data!C56</f>
        <v/>
      </c>
      <c r="D56">
        <f>Raw_Data!D56</f>
        <v/>
      </c>
      <c r="E56">
        <f>Raw_Data!E56</f>
        <v/>
      </c>
      <c r="F56">
        <f>Raw_Data!F56</f>
        <v/>
      </c>
      <c r="G56">
        <f>Raw_Data!G56</f>
        <v/>
      </c>
      <c r="H56">
        <f>Raw_Data!H56</f>
        <v/>
      </c>
      <c r="I56">
        <f>Raw_Data!I56</f>
        <v/>
      </c>
      <c r="J56" s="12">
        <f>Raw_Data!J56</f>
        <v/>
      </c>
      <c r="K56" s="13">
        <f>Raw_Data!K56</f>
        <v/>
      </c>
      <c r="L56" s="12">
        <f>Raw_Data!L56</f>
        <v/>
      </c>
      <c r="M56" s="12">
        <f>Raw_Data!M56</f>
        <v/>
      </c>
      <c r="N56" s="12">
        <f>Raw_Data!N56</f>
        <v/>
      </c>
      <c r="O56">
        <f>Raw_Data!O56</f>
        <v/>
      </c>
      <c r="P56">
        <f>Raw_Data!P56</f>
        <v/>
      </c>
      <c r="Q56">
        <f>YEAR(B56)</f>
        <v/>
      </c>
      <c r="R56">
        <f>TEXT(B56,"mmm")</f>
        <v/>
      </c>
      <c r="S56" s="15">
        <f>IFERROR(N56/L56,0)</f>
        <v/>
      </c>
    </row>
    <row r="57">
      <c r="A57">
        <f>Raw_Data!A57</f>
        <v/>
      </c>
      <c r="B57" s="11">
        <f>Raw_Data!B57</f>
        <v/>
      </c>
      <c r="C57">
        <f>Raw_Data!C57</f>
        <v/>
      </c>
      <c r="D57">
        <f>Raw_Data!D57</f>
        <v/>
      </c>
      <c r="E57">
        <f>Raw_Data!E57</f>
        <v/>
      </c>
      <c r="F57">
        <f>Raw_Data!F57</f>
        <v/>
      </c>
      <c r="G57">
        <f>Raw_Data!G57</f>
        <v/>
      </c>
      <c r="H57">
        <f>Raw_Data!H57</f>
        <v/>
      </c>
      <c r="I57">
        <f>Raw_Data!I57</f>
        <v/>
      </c>
      <c r="J57" s="12">
        <f>Raw_Data!J57</f>
        <v/>
      </c>
      <c r="K57" s="13">
        <f>Raw_Data!K57</f>
        <v/>
      </c>
      <c r="L57" s="12">
        <f>Raw_Data!L57</f>
        <v/>
      </c>
      <c r="M57" s="12">
        <f>Raw_Data!M57</f>
        <v/>
      </c>
      <c r="N57" s="12">
        <f>Raw_Data!N57</f>
        <v/>
      </c>
      <c r="O57">
        <f>Raw_Data!O57</f>
        <v/>
      </c>
      <c r="P57">
        <f>Raw_Data!P57</f>
        <v/>
      </c>
      <c r="Q57">
        <f>YEAR(B57)</f>
        <v/>
      </c>
      <c r="R57">
        <f>TEXT(B57,"mmm")</f>
        <v/>
      </c>
      <c r="S57" s="15">
        <f>IFERROR(N57/L57,0)</f>
        <v/>
      </c>
    </row>
    <row r="58">
      <c r="A58">
        <f>Raw_Data!A58</f>
        <v/>
      </c>
      <c r="B58" s="11">
        <f>Raw_Data!B58</f>
        <v/>
      </c>
      <c r="C58">
        <f>Raw_Data!C58</f>
        <v/>
      </c>
      <c r="D58">
        <f>Raw_Data!D58</f>
        <v/>
      </c>
      <c r="E58">
        <f>Raw_Data!E58</f>
        <v/>
      </c>
      <c r="F58">
        <f>Raw_Data!F58</f>
        <v/>
      </c>
      <c r="G58">
        <f>Raw_Data!G58</f>
        <v/>
      </c>
      <c r="H58">
        <f>Raw_Data!H58</f>
        <v/>
      </c>
      <c r="I58">
        <f>Raw_Data!I58</f>
        <v/>
      </c>
      <c r="J58" s="12">
        <f>Raw_Data!J58</f>
        <v/>
      </c>
      <c r="K58" s="13">
        <f>Raw_Data!K58</f>
        <v/>
      </c>
      <c r="L58" s="12">
        <f>Raw_Data!L58</f>
        <v/>
      </c>
      <c r="M58" s="12">
        <f>Raw_Data!M58</f>
        <v/>
      </c>
      <c r="N58" s="12">
        <f>Raw_Data!N58</f>
        <v/>
      </c>
      <c r="O58">
        <f>Raw_Data!O58</f>
        <v/>
      </c>
      <c r="P58">
        <f>Raw_Data!P58</f>
        <v/>
      </c>
      <c r="Q58">
        <f>YEAR(B58)</f>
        <v/>
      </c>
      <c r="R58">
        <f>TEXT(B58,"mmm")</f>
        <v/>
      </c>
      <c r="S58" s="15">
        <f>IFERROR(N58/L58,0)</f>
        <v/>
      </c>
    </row>
    <row r="59">
      <c r="A59">
        <f>Raw_Data!A59</f>
        <v/>
      </c>
      <c r="B59" s="11">
        <f>Raw_Data!B59</f>
        <v/>
      </c>
      <c r="C59">
        <f>Raw_Data!C59</f>
        <v/>
      </c>
      <c r="D59">
        <f>Raw_Data!D59</f>
        <v/>
      </c>
      <c r="E59">
        <f>Raw_Data!E59</f>
        <v/>
      </c>
      <c r="F59">
        <f>Raw_Data!F59</f>
        <v/>
      </c>
      <c r="G59">
        <f>Raw_Data!G59</f>
        <v/>
      </c>
      <c r="H59">
        <f>Raw_Data!H59</f>
        <v/>
      </c>
      <c r="I59">
        <f>Raw_Data!I59</f>
        <v/>
      </c>
      <c r="J59" s="12">
        <f>Raw_Data!J59</f>
        <v/>
      </c>
      <c r="K59" s="13">
        <f>Raw_Data!K59</f>
        <v/>
      </c>
      <c r="L59" s="12">
        <f>Raw_Data!L59</f>
        <v/>
      </c>
      <c r="M59" s="12">
        <f>Raw_Data!M59</f>
        <v/>
      </c>
      <c r="N59" s="12">
        <f>Raw_Data!N59</f>
        <v/>
      </c>
      <c r="O59">
        <f>Raw_Data!O59</f>
        <v/>
      </c>
      <c r="P59">
        <f>Raw_Data!P59</f>
        <v/>
      </c>
      <c r="Q59">
        <f>YEAR(B59)</f>
        <v/>
      </c>
      <c r="R59">
        <f>TEXT(B59,"mmm")</f>
        <v/>
      </c>
      <c r="S59" s="15">
        <f>IFERROR(N59/L59,0)</f>
        <v/>
      </c>
    </row>
    <row r="60">
      <c r="A60">
        <f>Raw_Data!A60</f>
        <v/>
      </c>
      <c r="B60" s="11">
        <f>Raw_Data!B60</f>
        <v/>
      </c>
      <c r="C60">
        <f>Raw_Data!C60</f>
        <v/>
      </c>
      <c r="D60">
        <f>Raw_Data!D60</f>
        <v/>
      </c>
      <c r="E60">
        <f>Raw_Data!E60</f>
        <v/>
      </c>
      <c r="F60">
        <f>Raw_Data!F60</f>
        <v/>
      </c>
      <c r="G60">
        <f>Raw_Data!G60</f>
        <v/>
      </c>
      <c r="H60">
        <f>Raw_Data!H60</f>
        <v/>
      </c>
      <c r="I60">
        <f>Raw_Data!I60</f>
        <v/>
      </c>
      <c r="J60" s="12">
        <f>Raw_Data!J60</f>
        <v/>
      </c>
      <c r="K60" s="13">
        <f>Raw_Data!K60</f>
        <v/>
      </c>
      <c r="L60" s="12">
        <f>Raw_Data!L60</f>
        <v/>
      </c>
      <c r="M60" s="12">
        <f>Raw_Data!M60</f>
        <v/>
      </c>
      <c r="N60" s="12">
        <f>Raw_Data!N60</f>
        <v/>
      </c>
      <c r="O60">
        <f>Raw_Data!O60</f>
        <v/>
      </c>
      <c r="P60">
        <f>Raw_Data!P60</f>
        <v/>
      </c>
      <c r="Q60">
        <f>YEAR(B60)</f>
        <v/>
      </c>
      <c r="R60">
        <f>TEXT(B60,"mmm")</f>
        <v/>
      </c>
      <c r="S60" s="15">
        <f>IFERROR(N60/L60,0)</f>
        <v/>
      </c>
    </row>
    <row r="61">
      <c r="A61">
        <f>Raw_Data!A61</f>
        <v/>
      </c>
      <c r="B61" s="11">
        <f>Raw_Data!B61</f>
        <v/>
      </c>
      <c r="C61">
        <f>Raw_Data!C61</f>
        <v/>
      </c>
      <c r="D61">
        <f>Raw_Data!D61</f>
        <v/>
      </c>
      <c r="E61">
        <f>Raw_Data!E61</f>
        <v/>
      </c>
      <c r="F61">
        <f>Raw_Data!F61</f>
        <v/>
      </c>
      <c r="G61">
        <f>Raw_Data!G61</f>
        <v/>
      </c>
      <c r="H61">
        <f>Raw_Data!H61</f>
        <v/>
      </c>
      <c r="I61">
        <f>Raw_Data!I61</f>
        <v/>
      </c>
      <c r="J61" s="12">
        <f>Raw_Data!J61</f>
        <v/>
      </c>
      <c r="K61" s="13">
        <f>Raw_Data!K61</f>
        <v/>
      </c>
      <c r="L61" s="12">
        <f>Raw_Data!L61</f>
        <v/>
      </c>
      <c r="M61" s="12">
        <f>Raw_Data!M61</f>
        <v/>
      </c>
      <c r="N61" s="12">
        <f>Raw_Data!N61</f>
        <v/>
      </c>
      <c r="O61">
        <f>Raw_Data!O61</f>
        <v/>
      </c>
      <c r="P61">
        <f>Raw_Data!P61</f>
        <v/>
      </c>
      <c r="Q61">
        <f>YEAR(B61)</f>
        <v/>
      </c>
      <c r="R61">
        <f>TEXT(B61,"mmm")</f>
        <v/>
      </c>
      <c r="S61" s="15">
        <f>IFERROR(N61/L61,0)</f>
        <v/>
      </c>
    </row>
    <row r="62">
      <c r="A62">
        <f>Raw_Data!A62</f>
        <v/>
      </c>
      <c r="B62" s="11">
        <f>Raw_Data!B62</f>
        <v/>
      </c>
      <c r="C62">
        <f>Raw_Data!C62</f>
        <v/>
      </c>
      <c r="D62">
        <f>Raw_Data!D62</f>
        <v/>
      </c>
      <c r="E62">
        <f>Raw_Data!E62</f>
        <v/>
      </c>
      <c r="F62">
        <f>Raw_Data!F62</f>
        <v/>
      </c>
      <c r="G62">
        <f>Raw_Data!G62</f>
        <v/>
      </c>
      <c r="H62">
        <f>Raw_Data!H62</f>
        <v/>
      </c>
      <c r="I62">
        <f>Raw_Data!I62</f>
        <v/>
      </c>
      <c r="J62" s="12">
        <f>Raw_Data!J62</f>
        <v/>
      </c>
      <c r="K62" s="13">
        <f>Raw_Data!K62</f>
        <v/>
      </c>
      <c r="L62" s="12">
        <f>Raw_Data!L62</f>
        <v/>
      </c>
      <c r="M62" s="12">
        <f>Raw_Data!M62</f>
        <v/>
      </c>
      <c r="N62" s="12">
        <f>Raw_Data!N62</f>
        <v/>
      </c>
      <c r="O62">
        <f>Raw_Data!O62</f>
        <v/>
      </c>
      <c r="P62">
        <f>Raw_Data!P62</f>
        <v/>
      </c>
      <c r="Q62">
        <f>YEAR(B62)</f>
        <v/>
      </c>
      <c r="R62">
        <f>TEXT(B62,"mmm")</f>
        <v/>
      </c>
      <c r="S62" s="15">
        <f>IFERROR(N62/L62,0)</f>
        <v/>
      </c>
    </row>
    <row r="63">
      <c r="A63">
        <f>Raw_Data!A63</f>
        <v/>
      </c>
      <c r="B63" s="11">
        <f>Raw_Data!B63</f>
        <v/>
      </c>
      <c r="C63">
        <f>Raw_Data!C63</f>
        <v/>
      </c>
      <c r="D63">
        <f>Raw_Data!D63</f>
        <v/>
      </c>
      <c r="E63">
        <f>Raw_Data!E63</f>
        <v/>
      </c>
      <c r="F63">
        <f>Raw_Data!F63</f>
        <v/>
      </c>
      <c r="G63">
        <f>Raw_Data!G63</f>
        <v/>
      </c>
      <c r="H63">
        <f>Raw_Data!H63</f>
        <v/>
      </c>
      <c r="I63">
        <f>Raw_Data!I63</f>
        <v/>
      </c>
      <c r="J63" s="12">
        <f>Raw_Data!J63</f>
        <v/>
      </c>
      <c r="K63" s="13">
        <f>Raw_Data!K63</f>
        <v/>
      </c>
      <c r="L63" s="12">
        <f>Raw_Data!L63</f>
        <v/>
      </c>
      <c r="M63" s="12">
        <f>Raw_Data!M63</f>
        <v/>
      </c>
      <c r="N63" s="12">
        <f>Raw_Data!N63</f>
        <v/>
      </c>
      <c r="O63">
        <f>Raw_Data!O63</f>
        <v/>
      </c>
      <c r="P63">
        <f>Raw_Data!P63</f>
        <v/>
      </c>
      <c r="Q63">
        <f>YEAR(B63)</f>
        <v/>
      </c>
      <c r="R63">
        <f>TEXT(B63,"mmm")</f>
        <v/>
      </c>
      <c r="S63" s="15">
        <f>IFERROR(N63/L63,0)</f>
        <v/>
      </c>
    </row>
    <row r="64">
      <c r="A64">
        <f>Raw_Data!A64</f>
        <v/>
      </c>
      <c r="B64" s="11">
        <f>Raw_Data!B64</f>
        <v/>
      </c>
      <c r="C64">
        <f>Raw_Data!C64</f>
        <v/>
      </c>
      <c r="D64">
        <f>Raw_Data!D64</f>
        <v/>
      </c>
      <c r="E64">
        <f>Raw_Data!E64</f>
        <v/>
      </c>
      <c r="F64">
        <f>Raw_Data!F64</f>
        <v/>
      </c>
      <c r="G64">
        <f>Raw_Data!G64</f>
        <v/>
      </c>
      <c r="H64">
        <f>Raw_Data!H64</f>
        <v/>
      </c>
      <c r="I64">
        <f>Raw_Data!I64</f>
        <v/>
      </c>
      <c r="J64" s="12">
        <f>Raw_Data!J64</f>
        <v/>
      </c>
      <c r="K64" s="13">
        <f>Raw_Data!K64</f>
        <v/>
      </c>
      <c r="L64" s="12">
        <f>Raw_Data!L64</f>
        <v/>
      </c>
      <c r="M64" s="12">
        <f>Raw_Data!M64</f>
        <v/>
      </c>
      <c r="N64" s="12">
        <f>Raw_Data!N64</f>
        <v/>
      </c>
      <c r="O64">
        <f>Raw_Data!O64</f>
        <v/>
      </c>
      <c r="P64">
        <f>Raw_Data!P64</f>
        <v/>
      </c>
      <c r="Q64">
        <f>YEAR(B64)</f>
        <v/>
      </c>
      <c r="R64">
        <f>TEXT(B64,"mmm")</f>
        <v/>
      </c>
      <c r="S64" s="15">
        <f>IFERROR(N64/L64,0)</f>
        <v/>
      </c>
    </row>
    <row r="65">
      <c r="A65">
        <f>Raw_Data!A65</f>
        <v/>
      </c>
      <c r="B65" s="11">
        <f>Raw_Data!B65</f>
        <v/>
      </c>
      <c r="C65">
        <f>Raw_Data!C65</f>
        <v/>
      </c>
      <c r="D65">
        <f>Raw_Data!D65</f>
        <v/>
      </c>
      <c r="E65">
        <f>Raw_Data!E65</f>
        <v/>
      </c>
      <c r="F65">
        <f>Raw_Data!F65</f>
        <v/>
      </c>
      <c r="G65">
        <f>Raw_Data!G65</f>
        <v/>
      </c>
      <c r="H65">
        <f>Raw_Data!H65</f>
        <v/>
      </c>
      <c r="I65">
        <f>Raw_Data!I65</f>
        <v/>
      </c>
      <c r="J65" s="12">
        <f>Raw_Data!J65</f>
        <v/>
      </c>
      <c r="K65" s="13">
        <f>Raw_Data!K65</f>
        <v/>
      </c>
      <c r="L65" s="12">
        <f>Raw_Data!L65</f>
        <v/>
      </c>
      <c r="M65" s="12">
        <f>Raw_Data!M65</f>
        <v/>
      </c>
      <c r="N65" s="12">
        <f>Raw_Data!N65</f>
        <v/>
      </c>
      <c r="O65">
        <f>Raw_Data!O65</f>
        <v/>
      </c>
      <c r="P65">
        <f>Raw_Data!P65</f>
        <v/>
      </c>
      <c r="Q65">
        <f>YEAR(B65)</f>
        <v/>
      </c>
      <c r="R65">
        <f>TEXT(B65,"mmm")</f>
        <v/>
      </c>
      <c r="S65" s="15">
        <f>IFERROR(N65/L65,0)</f>
        <v/>
      </c>
    </row>
    <row r="66">
      <c r="A66">
        <f>Raw_Data!A66</f>
        <v/>
      </c>
      <c r="B66" s="11">
        <f>Raw_Data!B66</f>
        <v/>
      </c>
      <c r="C66">
        <f>Raw_Data!C66</f>
        <v/>
      </c>
      <c r="D66">
        <f>Raw_Data!D66</f>
        <v/>
      </c>
      <c r="E66">
        <f>Raw_Data!E66</f>
        <v/>
      </c>
      <c r="F66">
        <f>Raw_Data!F66</f>
        <v/>
      </c>
      <c r="G66">
        <f>Raw_Data!G66</f>
        <v/>
      </c>
      <c r="H66">
        <f>Raw_Data!H66</f>
        <v/>
      </c>
      <c r="I66">
        <f>Raw_Data!I66</f>
        <v/>
      </c>
      <c r="J66" s="12">
        <f>Raw_Data!J66</f>
        <v/>
      </c>
      <c r="K66" s="13">
        <f>Raw_Data!K66</f>
        <v/>
      </c>
      <c r="L66" s="12">
        <f>Raw_Data!L66</f>
        <v/>
      </c>
      <c r="M66" s="12">
        <f>Raw_Data!M66</f>
        <v/>
      </c>
      <c r="N66" s="12">
        <f>Raw_Data!N66</f>
        <v/>
      </c>
      <c r="O66">
        <f>Raw_Data!O66</f>
        <v/>
      </c>
      <c r="P66">
        <f>Raw_Data!P66</f>
        <v/>
      </c>
      <c r="Q66">
        <f>YEAR(B66)</f>
        <v/>
      </c>
      <c r="R66">
        <f>TEXT(B66,"mmm")</f>
        <v/>
      </c>
      <c r="S66" s="15">
        <f>IFERROR(N66/L66,0)</f>
        <v/>
      </c>
    </row>
    <row r="67">
      <c r="A67">
        <f>Raw_Data!A67</f>
        <v/>
      </c>
      <c r="B67" s="11">
        <f>Raw_Data!B67</f>
        <v/>
      </c>
      <c r="C67">
        <f>Raw_Data!C67</f>
        <v/>
      </c>
      <c r="D67">
        <f>Raw_Data!D67</f>
        <v/>
      </c>
      <c r="E67">
        <f>Raw_Data!E67</f>
        <v/>
      </c>
      <c r="F67">
        <f>Raw_Data!F67</f>
        <v/>
      </c>
      <c r="G67">
        <f>Raw_Data!G67</f>
        <v/>
      </c>
      <c r="H67">
        <f>Raw_Data!H67</f>
        <v/>
      </c>
      <c r="I67">
        <f>Raw_Data!I67</f>
        <v/>
      </c>
      <c r="J67" s="12">
        <f>Raw_Data!J67</f>
        <v/>
      </c>
      <c r="K67" s="13">
        <f>Raw_Data!K67</f>
        <v/>
      </c>
      <c r="L67" s="12">
        <f>Raw_Data!L67</f>
        <v/>
      </c>
      <c r="M67" s="12">
        <f>Raw_Data!M67</f>
        <v/>
      </c>
      <c r="N67" s="12">
        <f>Raw_Data!N67</f>
        <v/>
      </c>
      <c r="O67">
        <f>Raw_Data!O67</f>
        <v/>
      </c>
      <c r="P67">
        <f>Raw_Data!P67</f>
        <v/>
      </c>
      <c r="Q67">
        <f>YEAR(B67)</f>
        <v/>
      </c>
      <c r="R67">
        <f>TEXT(B67,"mmm")</f>
        <v/>
      </c>
      <c r="S67" s="15">
        <f>IFERROR(N67/L67,0)</f>
        <v/>
      </c>
    </row>
    <row r="68">
      <c r="A68">
        <f>Raw_Data!A68</f>
        <v/>
      </c>
      <c r="B68" s="11">
        <f>Raw_Data!B68</f>
        <v/>
      </c>
      <c r="C68">
        <f>Raw_Data!C68</f>
        <v/>
      </c>
      <c r="D68">
        <f>Raw_Data!D68</f>
        <v/>
      </c>
      <c r="E68">
        <f>Raw_Data!E68</f>
        <v/>
      </c>
      <c r="F68">
        <f>Raw_Data!F68</f>
        <v/>
      </c>
      <c r="G68">
        <f>Raw_Data!G68</f>
        <v/>
      </c>
      <c r="H68">
        <f>Raw_Data!H68</f>
        <v/>
      </c>
      <c r="I68">
        <f>Raw_Data!I68</f>
        <v/>
      </c>
      <c r="J68" s="12">
        <f>Raw_Data!J68</f>
        <v/>
      </c>
      <c r="K68" s="13">
        <f>Raw_Data!K68</f>
        <v/>
      </c>
      <c r="L68" s="12">
        <f>Raw_Data!L68</f>
        <v/>
      </c>
      <c r="M68" s="12">
        <f>Raw_Data!M68</f>
        <v/>
      </c>
      <c r="N68" s="12">
        <f>Raw_Data!N68</f>
        <v/>
      </c>
      <c r="O68">
        <f>Raw_Data!O68</f>
        <v/>
      </c>
      <c r="P68">
        <f>Raw_Data!P68</f>
        <v/>
      </c>
      <c r="Q68">
        <f>YEAR(B68)</f>
        <v/>
      </c>
      <c r="R68">
        <f>TEXT(B68,"mmm")</f>
        <v/>
      </c>
      <c r="S68" s="15">
        <f>IFERROR(N68/L68,0)</f>
        <v/>
      </c>
    </row>
    <row r="69">
      <c r="A69">
        <f>Raw_Data!A69</f>
        <v/>
      </c>
      <c r="B69" s="11">
        <f>Raw_Data!B69</f>
        <v/>
      </c>
      <c r="C69">
        <f>Raw_Data!C69</f>
        <v/>
      </c>
      <c r="D69">
        <f>Raw_Data!D69</f>
        <v/>
      </c>
      <c r="E69">
        <f>Raw_Data!E69</f>
        <v/>
      </c>
      <c r="F69">
        <f>Raw_Data!F69</f>
        <v/>
      </c>
      <c r="G69">
        <f>Raw_Data!G69</f>
        <v/>
      </c>
      <c r="H69">
        <f>Raw_Data!H69</f>
        <v/>
      </c>
      <c r="I69">
        <f>Raw_Data!I69</f>
        <v/>
      </c>
      <c r="J69" s="12">
        <f>Raw_Data!J69</f>
        <v/>
      </c>
      <c r="K69" s="13">
        <f>Raw_Data!K69</f>
        <v/>
      </c>
      <c r="L69" s="12">
        <f>Raw_Data!L69</f>
        <v/>
      </c>
      <c r="M69" s="12">
        <f>Raw_Data!M69</f>
        <v/>
      </c>
      <c r="N69" s="12">
        <f>Raw_Data!N69</f>
        <v/>
      </c>
      <c r="O69">
        <f>Raw_Data!O69</f>
        <v/>
      </c>
      <c r="P69">
        <f>Raw_Data!P69</f>
        <v/>
      </c>
      <c r="Q69">
        <f>YEAR(B69)</f>
        <v/>
      </c>
      <c r="R69">
        <f>TEXT(B69,"mmm")</f>
        <v/>
      </c>
      <c r="S69" s="15">
        <f>IFERROR(N69/L69,0)</f>
        <v/>
      </c>
    </row>
    <row r="70">
      <c r="A70">
        <f>Raw_Data!A70</f>
        <v/>
      </c>
      <c r="B70" s="11">
        <f>Raw_Data!B70</f>
        <v/>
      </c>
      <c r="C70">
        <f>Raw_Data!C70</f>
        <v/>
      </c>
      <c r="D70">
        <f>Raw_Data!D70</f>
        <v/>
      </c>
      <c r="E70">
        <f>Raw_Data!E70</f>
        <v/>
      </c>
      <c r="F70">
        <f>Raw_Data!F70</f>
        <v/>
      </c>
      <c r="G70">
        <f>Raw_Data!G70</f>
        <v/>
      </c>
      <c r="H70">
        <f>Raw_Data!H70</f>
        <v/>
      </c>
      <c r="I70">
        <f>Raw_Data!I70</f>
        <v/>
      </c>
      <c r="J70" s="12">
        <f>Raw_Data!J70</f>
        <v/>
      </c>
      <c r="K70" s="13">
        <f>Raw_Data!K70</f>
        <v/>
      </c>
      <c r="L70" s="12">
        <f>Raw_Data!L70</f>
        <v/>
      </c>
      <c r="M70" s="12">
        <f>Raw_Data!M70</f>
        <v/>
      </c>
      <c r="N70" s="12">
        <f>Raw_Data!N70</f>
        <v/>
      </c>
      <c r="O70">
        <f>Raw_Data!O70</f>
        <v/>
      </c>
      <c r="P70">
        <f>Raw_Data!P70</f>
        <v/>
      </c>
      <c r="Q70">
        <f>YEAR(B70)</f>
        <v/>
      </c>
      <c r="R70">
        <f>TEXT(B70,"mmm")</f>
        <v/>
      </c>
      <c r="S70" s="15">
        <f>IFERROR(N70/L70,0)</f>
        <v/>
      </c>
    </row>
    <row r="71">
      <c r="A71">
        <f>Raw_Data!A71</f>
        <v/>
      </c>
      <c r="B71" s="11">
        <f>Raw_Data!B71</f>
        <v/>
      </c>
      <c r="C71">
        <f>Raw_Data!C71</f>
        <v/>
      </c>
      <c r="D71">
        <f>Raw_Data!D71</f>
        <v/>
      </c>
      <c r="E71">
        <f>Raw_Data!E71</f>
        <v/>
      </c>
      <c r="F71">
        <f>Raw_Data!F71</f>
        <v/>
      </c>
      <c r="G71">
        <f>Raw_Data!G71</f>
        <v/>
      </c>
      <c r="H71">
        <f>Raw_Data!H71</f>
        <v/>
      </c>
      <c r="I71">
        <f>Raw_Data!I71</f>
        <v/>
      </c>
      <c r="J71" s="12">
        <f>Raw_Data!J71</f>
        <v/>
      </c>
      <c r="K71" s="13">
        <f>Raw_Data!K71</f>
        <v/>
      </c>
      <c r="L71" s="12">
        <f>Raw_Data!L71</f>
        <v/>
      </c>
      <c r="M71" s="12">
        <f>Raw_Data!M71</f>
        <v/>
      </c>
      <c r="N71" s="12">
        <f>Raw_Data!N71</f>
        <v/>
      </c>
      <c r="O71">
        <f>Raw_Data!O71</f>
        <v/>
      </c>
      <c r="P71">
        <f>Raw_Data!P71</f>
        <v/>
      </c>
      <c r="Q71">
        <f>YEAR(B71)</f>
        <v/>
      </c>
      <c r="R71">
        <f>TEXT(B71,"mmm")</f>
        <v/>
      </c>
      <c r="S71" s="15">
        <f>IFERROR(N71/L71,0)</f>
        <v/>
      </c>
    </row>
    <row r="72">
      <c r="A72">
        <f>Raw_Data!A72</f>
        <v/>
      </c>
      <c r="B72" s="11">
        <f>Raw_Data!B72</f>
        <v/>
      </c>
      <c r="C72">
        <f>Raw_Data!C72</f>
        <v/>
      </c>
      <c r="D72">
        <f>Raw_Data!D72</f>
        <v/>
      </c>
      <c r="E72">
        <f>Raw_Data!E72</f>
        <v/>
      </c>
      <c r="F72">
        <f>Raw_Data!F72</f>
        <v/>
      </c>
      <c r="G72">
        <f>Raw_Data!G72</f>
        <v/>
      </c>
      <c r="H72">
        <f>Raw_Data!H72</f>
        <v/>
      </c>
      <c r="I72">
        <f>Raw_Data!I72</f>
        <v/>
      </c>
      <c r="J72" s="12">
        <f>Raw_Data!J72</f>
        <v/>
      </c>
      <c r="K72" s="13">
        <f>Raw_Data!K72</f>
        <v/>
      </c>
      <c r="L72" s="12">
        <f>Raw_Data!L72</f>
        <v/>
      </c>
      <c r="M72" s="12">
        <f>Raw_Data!M72</f>
        <v/>
      </c>
      <c r="N72" s="12">
        <f>Raw_Data!N72</f>
        <v/>
      </c>
      <c r="O72">
        <f>Raw_Data!O72</f>
        <v/>
      </c>
      <c r="P72">
        <f>Raw_Data!P72</f>
        <v/>
      </c>
      <c r="Q72">
        <f>YEAR(B72)</f>
        <v/>
      </c>
      <c r="R72">
        <f>TEXT(B72,"mmm")</f>
        <v/>
      </c>
      <c r="S72" s="15">
        <f>IFERROR(N72/L72,0)</f>
        <v/>
      </c>
    </row>
    <row r="73">
      <c r="A73">
        <f>Raw_Data!A73</f>
        <v/>
      </c>
      <c r="B73" s="11">
        <f>Raw_Data!B73</f>
        <v/>
      </c>
      <c r="C73">
        <f>Raw_Data!C73</f>
        <v/>
      </c>
      <c r="D73">
        <f>Raw_Data!D73</f>
        <v/>
      </c>
      <c r="E73">
        <f>Raw_Data!E73</f>
        <v/>
      </c>
      <c r="F73">
        <f>Raw_Data!F73</f>
        <v/>
      </c>
      <c r="G73">
        <f>Raw_Data!G73</f>
        <v/>
      </c>
      <c r="H73">
        <f>Raw_Data!H73</f>
        <v/>
      </c>
      <c r="I73">
        <f>Raw_Data!I73</f>
        <v/>
      </c>
      <c r="J73" s="12">
        <f>Raw_Data!J73</f>
        <v/>
      </c>
      <c r="K73" s="13">
        <f>Raw_Data!K73</f>
        <v/>
      </c>
      <c r="L73" s="12">
        <f>Raw_Data!L73</f>
        <v/>
      </c>
      <c r="M73" s="12">
        <f>Raw_Data!M73</f>
        <v/>
      </c>
      <c r="N73" s="12">
        <f>Raw_Data!N73</f>
        <v/>
      </c>
      <c r="O73">
        <f>Raw_Data!O73</f>
        <v/>
      </c>
      <c r="P73">
        <f>Raw_Data!P73</f>
        <v/>
      </c>
      <c r="Q73">
        <f>YEAR(B73)</f>
        <v/>
      </c>
      <c r="R73">
        <f>TEXT(B73,"mmm")</f>
        <v/>
      </c>
      <c r="S73" s="15">
        <f>IFERROR(N73/L73,0)</f>
        <v/>
      </c>
    </row>
    <row r="74">
      <c r="A74">
        <f>Raw_Data!A74</f>
        <v/>
      </c>
      <c r="B74" s="11">
        <f>Raw_Data!B74</f>
        <v/>
      </c>
      <c r="C74">
        <f>Raw_Data!C74</f>
        <v/>
      </c>
      <c r="D74">
        <f>Raw_Data!D74</f>
        <v/>
      </c>
      <c r="E74">
        <f>Raw_Data!E74</f>
        <v/>
      </c>
      <c r="F74">
        <f>Raw_Data!F74</f>
        <v/>
      </c>
      <c r="G74">
        <f>Raw_Data!G74</f>
        <v/>
      </c>
      <c r="H74">
        <f>Raw_Data!H74</f>
        <v/>
      </c>
      <c r="I74">
        <f>Raw_Data!I74</f>
        <v/>
      </c>
      <c r="J74" s="12">
        <f>Raw_Data!J74</f>
        <v/>
      </c>
      <c r="K74" s="13">
        <f>Raw_Data!K74</f>
        <v/>
      </c>
      <c r="L74" s="12">
        <f>Raw_Data!L74</f>
        <v/>
      </c>
      <c r="M74" s="12">
        <f>Raw_Data!M74</f>
        <v/>
      </c>
      <c r="N74" s="12">
        <f>Raw_Data!N74</f>
        <v/>
      </c>
      <c r="O74">
        <f>Raw_Data!O74</f>
        <v/>
      </c>
      <c r="P74">
        <f>Raw_Data!P74</f>
        <v/>
      </c>
      <c r="Q74">
        <f>YEAR(B74)</f>
        <v/>
      </c>
      <c r="R74">
        <f>TEXT(B74,"mmm")</f>
        <v/>
      </c>
      <c r="S74" s="15">
        <f>IFERROR(N74/L74,0)</f>
        <v/>
      </c>
    </row>
    <row r="75">
      <c r="A75">
        <f>Raw_Data!A75</f>
        <v/>
      </c>
      <c r="B75" s="11">
        <f>Raw_Data!B75</f>
        <v/>
      </c>
      <c r="C75">
        <f>Raw_Data!C75</f>
        <v/>
      </c>
      <c r="D75">
        <f>Raw_Data!D75</f>
        <v/>
      </c>
      <c r="E75">
        <f>Raw_Data!E75</f>
        <v/>
      </c>
      <c r="F75">
        <f>Raw_Data!F75</f>
        <v/>
      </c>
      <c r="G75">
        <f>Raw_Data!G75</f>
        <v/>
      </c>
      <c r="H75">
        <f>Raw_Data!H75</f>
        <v/>
      </c>
      <c r="I75">
        <f>Raw_Data!I75</f>
        <v/>
      </c>
      <c r="J75" s="12">
        <f>Raw_Data!J75</f>
        <v/>
      </c>
      <c r="K75" s="13">
        <f>Raw_Data!K75</f>
        <v/>
      </c>
      <c r="L75" s="12">
        <f>Raw_Data!L75</f>
        <v/>
      </c>
      <c r="M75" s="12">
        <f>Raw_Data!M75</f>
        <v/>
      </c>
      <c r="N75" s="12">
        <f>Raw_Data!N75</f>
        <v/>
      </c>
      <c r="O75">
        <f>Raw_Data!O75</f>
        <v/>
      </c>
      <c r="P75">
        <f>Raw_Data!P75</f>
        <v/>
      </c>
      <c r="Q75">
        <f>YEAR(B75)</f>
        <v/>
      </c>
      <c r="R75">
        <f>TEXT(B75,"mmm")</f>
        <v/>
      </c>
      <c r="S75" s="15">
        <f>IFERROR(N75/L75,0)</f>
        <v/>
      </c>
    </row>
    <row r="76">
      <c r="A76">
        <f>Raw_Data!A76</f>
        <v/>
      </c>
      <c r="B76" s="11">
        <f>Raw_Data!B76</f>
        <v/>
      </c>
      <c r="C76">
        <f>Raw_Data!C76</f>
        <v/>
      </c>
      <c r="D76">
        <f>Raw_Data!D76</f>
        <v/>
      </c>
      <c r="E76">
        <f>Raw_Data!E76</f>
        <v/>
      </c>
      <c r="F76">
        <f>Raw_Data!F76</f>
        <v/>
      </c>
      <c r="G76">
        <f>Raw_Data!G76</f>
        <v/>
      </c>
      <c r="H76">
        <f>Raw_Data!H76</f>
        <v/>
      </c>
      <c r="I76">
        <f>Raw_Data!I76</f>
        <v/>
      </c>
      <c r="J76" s="12">
        <f>Raw_Data!J76</f>
        <v/>
      </c>
      <c r="K76" s="13">
        <f>Raw_Data!K76</f>
        <v/>
      </c>
      <c r="L76" s="12">
        <f>Raw_Data!L76</f>
        <v/>
      </c>
      <c r="M76" s="12">
        <f>Raw_Data!M76</f>
        <v/>
      </c>
      <c r="N76" s="12">
        <f>Raw_Data!N76</f>
        <v/>
      </c>
      <c r="O76">
        <f>Raw_Data!O76</f>
        <v/>
      </c>
      <c r="P76">
        <f>Raw_Data!P76</f>
        <v/>
      </c>
      <c r="Q76">
        <f>YEAR(B76)</f>
        <v/>
      </c>
      <c r="R76">
        <f>TEXT(B76,"mmm")</f>
        <v/>
      </c>
      <c r="S76" s="15">
        <f>IFERROR(N76/L76,0)</f>
        <v/>
      </c>
    </row>
    <row r="77">
      <c r="A77">
        <f>Raw_Data!A77</f>
        <v/>
      </c>
      <c r="B77" s="11">
        <f>Raw_Data!B77</f>
        <v/>
      </c>
      <c r="C77">
        <f>Raw_Data!C77</f>
        <v/>
      </c>
      <c r="D77">
        <f>Raw_Data!D77</f>
        <v/>
      </c>
      <c r="E77">
        <f>Raw_Data!E77</f>
        <v/>
      </c>
      <c r="F77">
        <f>Raw_Data!F77</f>
        <v/>
      </c>
      <c r="G77">
        <f>Raw_Data!G77</f>
        <v/>
      </c>
      <c r="H77">
        <f>Raw_Data!H77</f>
        <v/>
      </c>
      <c r="I77">
        <f>Raw_Data!I77</f>
        <v/>
      </c>
      <c r="J77" s="12">
        <f>Raw_Data!J77</f>
        <v/>
      </c>
      <c r="K77" s="13">
        <f>Raw_Data!K77</f>
        <v/>
      </c>
      <c r="L77" s="12">
        <f>Raw_Data!L77</f>
        <v/>
      </c>
      <c r="M77" s="12">
        <f>Raw_Data!M77</f>
        <v/>
      </c>
      <c r="N77" s="12">
        <f>Raw_Data!N77</f>
        <v/>
      </c>
      <c r="O77">
        <f>Raw_Data!O77</f>
        <v/>
      </c>
      <c r="P77">
        <f>Raw_Data!P77</f>
        <v/>
      </c>
      <c r="Q77">
        <f>YEAR(B77)</f>
        <v/>
      </c>
      <c r="R77">
        <f>TEXT(B77,"mmm")</f>
        <v/>
      </c>
      <c r="S77" s="15">
        <f>IFERROR(N77/L77,0)</f>
        <v/>
      </c>
    </row>
    <row r="78">
      <c r="A78">
        <f>Raw_Data!A78</f>
        <v/>
      </c>
      <c r="B78" s="11">
        <f>Raw_Data!B78</f>
        <v/>
      </c>
      <c r="C78">
        <f>Raw_Data!C78</f>
        <v/>
      </c>
      <c r="D78">
        <f>Raw_Data!D78</f>
        <v/>
      </c>
      <c r="E78">
        <f>Raw_Data!E78</f>
        <v/>
      </c>
      <c r="F78">
        <f>Raw_Data!F78</f>
        <v/>
      </c>
      <c r="G78">
        <f>Raw_Data!G78</f>
        <v/>
      </c>
      <c r="H78">
        <f>Raw_Data!H78</f>
        <v/>
      </c>
      <c r="I78">
        <f>Raw_Data!I78</f>
        <v/>
      </c>
      <c r="J78" s="12">
        <f>Raw_Data!J78</f>
        <v/>
      </c>
      <c r="K78" s="13">
        <f>Raw_Data!K78</f>
        <v/>
      </c>
      <c r="L78" s="12">
        <f>Raw_Data!L78</f>
        <v/>
      </c>
      <c r="M78" s="12">
        <f>Raw_Data!M78</f>
        <v/>
      </c>
      <c r="N78" s="12">
        <f>Raw_Data!N78</f>
        <v/>
      </c>
      <c r="O78">
        <f>Raw_Data!O78</f>
        <v/>
      </c>
      <c r="P78">
        <f>Raw_Data!P78</f>
        <v/>
      </c>
      <c r="Q78">
        <f>YEAR(B78)</f>
        <v/>
      </c>
      <c r="R78">
        <f>TEXT(B78,"mmm")</f>
        <v/>
      </c>
      <c r="S78" s="15">
        <f>IFERROR(N78/L78,0)</f>
        <v/>
      </c>
    </row>
    <row r="79">
      <c r="A79">
        <f>Raw_Data!A79</f>
        <v/>
      </c>
      <c r="B79" s="11">
        <f>Raw_Data!B79</f>
        <v/>
      </c>
      <c r="C79">
        <f>Raw_Data!C79</f>
        <v/>
      </c>
      <c r="D79">
        <f>Raw_Data!D79</f>
        <v/>
      </c>
      <c r="E79">
        <f>Raw_Data!E79</f>
        <v/>
      </c>
      <c r="F79">
        <f>Raw_Data!F79</f>
        <v/>
      </c>
      <c r="G79">
        <f>Raw_Data!G79</f>
        <v/>
      </c>
      <c r="H79">
        <f>Raw_Data!H79</f>
        <v/>
      </c>
      <c r="I79">
        <f>Raw_Data!I79</f>
        <v/>
      </c>
      <c r="J79" s="12">
        <f>Raw_Data!J79</f>
        <v/>
      </c>
      <c r="K79" s="13">
        <f>Raw_Data!K79</f>
        <v/>
      </c>
      <c r="L79" s="12">
        <f>Raw_Data!L79</f>
        <v/>
      </c>
      <c r="M79" s="12">
        <f>Raw_Data!M79</f>
        <v/>
      </c>
      <c r="N79" s="12">
        <f>Raw_Data!N79</f>
        <v/>
      </c>
      <c r="O79">
        <f>Raw_Data!O79</f>
        <v/>
      </c>
      <c r="P79">
        <f>Raw_Data!P79</f>
        <v/>
      </c>
      <c r="Q79">
        <f>YEAR(B79)</f>
        <v/>
      </c>
      <c r="R79">
        <f>TEXT(B79,"mmm")</f>
        <v/>
      </c>
      <c r="S79" s="15">
        <f>IFERROR(N79/L79,0)</f>
        <v/>
      </c>
    </row>
    <row r="80">
      <c r="A80">
        <f>Raw_Data!A80</f>
        <v/>
      </c>
      <c r="B80" s="11">
        <f>Raw_Data!B80</f>
        <v/>
      </c>
      <c r="C80">
        <f>Raw_Data!C80</f>
        <v/>
      </c>
      <c r="D80">
        <f>Raw_Data!D80</f>
        <v/>
      </c>
      <c r="E80">
        <f>Raw_Data!E80</f>
        <v/>
      </c>
      <c r="F80">
        <f>Raw_Data!F80</f>
        <v/>
      </c>
      <c r="G80">
        <f>Raw_Data!G80</f>
        <v/>
      </c>
      <c r="H80">
        <f>Raw_Data!H80</f>
        <v/>
      </c>
      <c r="I80">
        <f>Raw_Data!I80</f>
        <v/>
      </c>
      <c r="J80" s="12">
        <f>Raw_Data!J80</f>
        <v/>
      </c>
      <c r="K80" s="13">
        <f>Raw_Data!K80</f>
        <v/>
      </c>
      <c r="L80" s="12">
        <f>Raw_Data!L80</f>
        <v/>
      </c>
      <c r="M80" s="12">
        <f>Raw_Data!M80</f>
        <v/>
      </c>
      <c r="N80" s="12">
        <f>Raw_Data!N80</f>
        <v/>
      </c>
      <c r="O80">
        <f>Raw_Data!O80</f>
        <v/>
      </c>
      <c r="P80">
        <f>Raw_Data!P80</f>
        <v/>
      </c>
      <c r="Q80">
        <f>YEAR(B80)</f>
        <v/>
      </c>
      <c r="R80">
        <f>TEXT(B80,"mmm")</f>
        <v/>
      </c>
      <c r="S80" s="15">
        <f>IFERROR(N80/L80,0)</f>
        <v/>
      </c>
    </row>
    <row r="81">
      <c r="A81">
        <f>Raw_Data!A81</f>
        <v/>
      </c>
      <c r="B81" s="11">
        <f>Raw_Data!B81</f>
        <v/>
      </c>
      <c r="C81">
        <f>Raw_Data!C81</f>
        <v/>
      </c>
      <c r="D81">
        <f>Raw_Data!D81</f>
        <v/>
      </c>
      <c r="E81">
        <f>Raw_Data!E81</f>
        <v/>
      </c>
      <c r="F81">
        <f>Raw_Data!F81</f>
        <v/>
      </c>
      <c r="G81">
        <f>Raw_Data!G81</f>
        <v/>
      </c>
      <c r="H81">
        <f>Raw_Data!H81</f>
        <v/>
      </c>
      <c r="I81">
        <f>Raw_Data!I81</f>
        <v/>
      </c>
      <c r="J81" s="12">
        <f>Raw_Data!J81</f>
        <v/>
      </c>
      <c r="K81" s="13">
        <f>Raw_Data!K81</f>
        <v/>
      </c>
      <c r="L81" s="12">
        <f>Raw_Data!L81</f>
        <v/>
      </c>
      <c r="M81" s="12">
        <f>Raw_Data!M81</f>
        <v/>
      </c>
      <c r="N81" s="12">
        <f>Raw_Data!N81</f>
        <v/>
      </c>
      <c r="O81">
        <f>Raw_Data!O81</f>
        <v/>
      </c>
      <c r="P81">
        <f>Raw_Data!P81</f>
        <v/>
      </c>
      <c r="Q81">
        <f>YEAR(B81)</f>
        <v/>
      </c>
      <c r="R81">
        <f>TEXT(B81,"mmm")</f>
        <v/>
      </c>
      <c r="S81" s="15">
        <f>IFERROR(N81/L81,0)</f>
        <v/>
      </c>
    </row>
    <row r="82">
      <c r="A82">
        <f>Raw_Data!A82</f>
        <v/>
      </c>
      <c r="B82" s="11">
        <f>Raw_Data!B82</f>
        <v/>
      </c>
      <c r="C82">
        <f>Raw_Data!C82</f>
        <v/>
      </c>
      <c r="D82">
        <f>Raw_Data!D82</f>
        <v/>
      </c>
      <c r="E82">
        <f>Raw_Data!E82</f>
        <v/>
      </c>
      <c r="F82">
        <f>Raw_Data!F82</f>
        <v/>
      </c>
      <c r="G82">
        <f>Raw_Data!G82</f>
        <v/>
      </c>
      <c r="H82">
        <f>Raw_Data!H82</f>
        <v/>
      </c>
      <c r="I82">
        <f>Raw_Data!I82</f>
        <v/>
      </c>
      <c r="J82" s="12">
        <f>Raw_Data!J82</f>
        <v/>
      </c>
      <c r="K82" s="13">
        <f>Raw_Data!K82</f>
        <v/>
      </c>
      <c r="L82" s="12">
        <f>Raw_Data!L82</f>
        <v/>
      </c>
      <c r="M82" s="12">
        <f>Raw_Data!M82</f>
        <v/>
      </c>
      <c r="N82" s="12">
        <f>Raw_Data!N82</f>
        <v/>
      </c>
      <c r="O82">
        <f>Raw_Data!O82</f>
        <v/>
      </c>
      <c r="P82">
        <f>Raw_Data!P82</f>
        <v/>
      </c>
      <c r="Q82">
        <f>YEAR(B82)</f>
        <v/>
      </c>
      <c r="R82">
        <f>TEXT(B82,"mmm")</f>
        <v/>
      </c>
      <c r="S82" s="15">
        <f>IFERROR(N82/L82,0)</f>
        <v/>
      </c>
    </row>
    <row r="83">
      <c r="A83">
        <f>Raw_Data!A83</f>
        <v/>
      </c>
      <c r="B83" s="11">
        <f>Raw_Data!B83</f>
        <v/>
      </c>
      <c r="C83">
        <f>Raw_Data!C83</f>
        <v/>
      </c>
      <c r="D83">
        <f>Raw_Data!D83</f>
        <v/>
      </c>
      <c r="E83">
        <f>Raw_Data!E83</f>
        <v/>
      </c>
      <c r="F83">
        <f>Raw_Data!F83</f>
        <v/>
      </c>
      <c r="G83">
        <f>Raw_Data!G83</f>
        <v/>
      </c>
      <c r="H83">
        <f>Raw_Data!H83</f>
        <v/>
      </c>
      <c r="I83">
        <f>Raw_Data!I83</f>
        <v/>
      </c>
      <c r="J83" s="12">
        <f>Raw_Data!J83</f>
        <v/>
      </c>
      <c r="K83" s="13">
        <f>Raw_Data!K83</f>
        <v/>
      </c>
      <c r="L83" s="12">
        <f>Raw_Data!L83</f>
        <v/>
      </c>
      <c r="M83" s="12">
        <f>Raw_Data!M83</f>
        <v/>
      </c>
      <c r="N83" s="12">
        <f>Raw_Data!N83</f>
        <v/>
      </c>
      <c r="O83">
        <f>Raw_Data!O83</f>
        <v/>
      </c>
      <c r="P83">
        <f>Raw_Data!P83</f>
        <v/>
      </c>
      <c r="Q83">
        <f>YEAR(B83)</f>
        <v/>
      </c>
      <c r="R83">
        <f>TEXT(B83,"mmm")</f>
        <v/>
      </c>
      <c r="S83" s="15">
        <f>IFERROR(N83/L83,0)</f>
        <v/>
      </c>
    </row>
    <row r="84">
      <c r="A84">
        <f>Raw_Data!A84</f>
        <v/>
      </c>
      <c r="B84" s="11">
        <f>Raw_Data!B84</f>
        <v/>
      </c>
      <c r="C84">
        <f>Raw_Data!C84</f>
        <v/>
      </c>
      <c r="D84">
        <f>Raw_Data!D84</f>
        <v/>
      </c>
      <c r="E84">
        <f>Raw_Data!E84</f>
        <v/>
      </c>
      <c r="F84">
        <f>Raw_Data!F84</f>
        <v/>
      </c>
      <c r="G84">
        <f>Raw_Data!G84</f>
        <v/>
      </c>
      <c r="H84">
        <f>Raw_Data!H84</f>
        <v/>
      </c>
      <c r="I84">
        <f>Raw_Data!I84</f>
        <v/>
      </c>
      <c r="J84" s="12">
        <f>Raw_Data!J84</f>
        <v/>
      </c>
      <c r="K84" s="13">
        <f>Raw_Data!K84</f>
        <v/>
      </c>
      <c r="L84" s="12">
        <f>Raw_Data!L84</f>
        <v/>
      </c>
      <c r="M84" s="12">
        <f>Raw_Data!M84</f>
        <v/>
      </c>
      <c r="N84" s="12">
        <f>Raw_Data!N84</f>
        <v/>
      </c>
      <c r="O84">
        <f>Raw_Data!O84</f>
        <v/>
      </c>
      <c r="P84">
        <f>Raw_Data!P84</f>
        <v/>
      </c>
      <c r="Q84">
        <f>YEAR(B84)</f>
        <v/>
      </c>
      <c r="R84">
        <f>TEXT(B84,"mmm")</f>
        <v/>
      </c>
      <c r="S84" s="15">
        <f>IFERROR(N84/L84,0)</f>
        <v/>
      </c>
    </row>
    <row r="85">
      <c r="A85">
        <f>Raw_Data!A85</f>
        <v/>
      </c>
      <c r="B85" s="11">
        <f>Raw_Data!B85</f>
        <v/>
      </c>
      <c r="C85">
        <f>Raw_Data!C85</f>
        <v/>
      </c>
      <c r="D85">
        <f>Raw_Data!D85</f>
        <v/>
      </c>
      <c r="E85">
        <f>Raw_Data!E85</f>
        <v/>
      </c>
      <c r="F85">
        <f>Raw_Data!F85</f>
        <v/>
      </c>
      <c r="G85">
        <f>Raw_Data!G85</f>
        <v/>
      </c>
      <c r="H85">
        <f>Raw_Data!H85</f>
        <v/>
      </c>
      <c r="I85">
        <f>Raw_Data!I85</f>
        <v/>
      </c>
      <c r="J85" s="12">
        <f>Raw_Data!J85</f>
        <v/>
      </c>
      <c r="K85" s="13">
        <f>Raw_Data!K85</f>
        <v/>
      </c>
      <c r="L85" s="12">
        <f>Raw_Data!L85</f>
        <v/>
      </c>
      <c r="M85" s="12">
        <f>Raw_Data!M85</f>
        <v/>
      </c>
      <c r="N85" s="12">
        <f>Raw_Data!N85</f>
        <v/>
      </c>
      <c r="O85">
        <f>Raw_Data!O85</f>
        <v/>
      </c>
      <c r="P85">
        <f>Raw_Data!P85</f>
        <v/>
      </c>
      <c r="Q85">
        <f>YEAR(B85)</f>
        <v/>
      </c>
      <c r="R85">
        <f>TEXT(B85,"mmm")</f>
        <v/>
      </c>
      <c r="S85" s="15">
        <f>IFERROR(N85/L85,0)</f>
        <v/>
      </c>
    </row>
    <row r="86">
      <c r="A86">
        <f>Raw_Data!A86</f>
        <v/>
      </c>
      <c r="B86" s="11">
        <f>Raw_Data!B86</f>
        <v/>
      </c>
      <c r="C86">
        <f>Raw_Data!C86</f>
        <v/>
      </c>
      <c r="D86">
        <f>Raw_Data!D86</f>
        <v/>
      </c>
      <c r="E86">
        <f>Raw_Data!E86</f>
        <v/>
      </c>
      <c r="F86">
        <f>Raw_Data!F86</f>
        <v/>
      </c>
      <c r="G86">
        <f>Raw_Data!G86</f>
        <v/>
      </c>
      <c r="H86">
        <f>Raw_Data!H86</f>
        <v/>
      </c>
      <c r="I86">
        <f>Raw_Data!I86</f>
        <v/>
      </c>
      <c r="J86" s="12">
        <f>Raw_Data!J86</f>
        <v/>
      </c>
      <c r="K86" s="13">
        <f>Raw_Data!K86</f>
        <v/>
      </c>
      <c r="L86" s="12">
        <f>Raw_Data!L86</f>
        <v/>
      </c>
      <c r="M86" s="12">
        <f>Raw_Data!M86</f>
        <v/>
      </c>
      <c r="N86" s="12">
        <f>Raw_Data!N86</f>
        <v/>
      </c>
      <c r="O86">
        <f>Raw_Data!O86</f>
        <v/>
      </c>
      <c r="P86">
        <f>Raw_Data!P86</f>
        <v/>
      </c>
      <c r="Q86">
        <f>YEAR(B86)</f>
        <v/>
      </c>
      <c r="R86">
        <f>TEXT(B86,"mmm")</f>
        <v/>
      </c>
      <c r="S86" s="15">
        <f>IFERROR(N86/L86,0)</f>
        <v/>
      </c>
    </row>
    <row r="87">
      <c r="A87">
        <f>Raw_Data!A87</f>
        <v/>
      </c>
      <c r="B87" s="11">
        <f>Raw_Data!B87</f>
        <v/>
      </c>
      <c r="C87">
        <f>Raw_Data!C87</f>
        <v/>
      </c>
      <c r="D87">
        <f>Raw_Data!D87</f>
        <v/>
      </c>
      <c r="E87">
        <f>Raw_Data!E87</f>
        <v/>
      </c>
      <c r="F87">
        <f>Raw_Data!F87</f>
        <v/>
      </c>
      <c r="G87">
        <f>Raw_Data!G87</f>
        <v/>
      </c>
      <c r="H87">
        <f>Raw_Data!H87</f>
        <v/>
      </c>
      <c r="I87">
        <f>Raw_Data!I87</f>
        <v/>
      </c>
      <c r="J87" s="12">
        <f>Raw_Data!J87</f>
        <v/>
      </c>
      <c r="K87" s="13">
        <f>Raw_Data!K87</f>
        <v/>
      </c>
      <c r="L87" s="12">
        <f>Raw_Data!L87</f>
        <v/>
      </c>
      <c r="M87" s="12">
        <f>Raw_Data!M87</f>
        <v/>
      </c>
      <c r="N87" s="12">
        <f>Raw_Data!N87</f>
        <v/>
      </c>
      <c r="O87">
        <f>Raw_Data!O87</f>
        <v/>
      </c>
      <c r="P87">
        <f>Raw_Data!P87</f>
        <v/>
      </c>
      <c r="Q87">
        <f>YEAR(B87)</f>
        <v/>
      </c>
      <c r="R87">
        <f>TEXT(B87,"mmm")</f>
        <v/>
      </c>
      <c r="S87" s="15">
        <f>IFERROR(N87/L87,0)</f>
        <v/>
      </c>
    </row>
    <row r="88">
      <c r="A88">
        <f>Raw_Data!A88</f>
        <v/>
      </c>
      <c r="B88" s="11">
        <f>Raw_Data!B88</f>
        <v/>
      </c>
      <c r="C88">
        <f>Raw_Data!C88</f>
        <v/>
      </c>
      <c r="D88">
        <f>Raw_Data!D88</f>
        <v/>
      </c>
      <c r="E88">
        <f>Raw_Data!E88</f>
        <v/>
      </c>
      <c r="F88">
        <f>Raw_Data!F88</f>
        <v/>
      </c>
      <c r="G88">
        <f>Raw_Data!G88</f>
        <v/>
      </c>
      <c r="H88">
        <f>Raw_Data!H88</f>
        <v/>
      </c>
      <c r="I88">
        <f>Raw_Data!I88</f>
        <v/>
      </c>
      <c r="J88" s="12">
        <f>Raw_Data!J88</f>
        <v/>
      </c>
      <c r="K88" s="13">
        <f>Raw_Data!K88</f>
        <v/>
      </c>
      <c r="L88" s="12">
        <f>Raw_Data!L88</f>
        <v/>
      </c>
      <c r="M88" s="12">
        <f>Raw_Data!M88</f>
        <v/>
      </c>
      <c r="N88" s="12">
        <f>Raw_Data!N88</f>
        <v/>
      </c>
      <c r="O88">
        <f>Raw_Data!O88</f>
        <v/>
      </c>
      <c r="P88">
        <f>Raw_Data!P88</f>
        <v/>
      </c>
      <c r="Q88">
        <f>YEAR(B88)</f>
        <v/>
      </c>
      <c r="R88">
        <f>TEXT(B88,"mmm")</f>
        <v/>
      </c>
      <c r="S88" s="15">
        <f>IFERROR(N88/L88,0)</f>
        <v/>
      </c>
    </row>
    <row r="89">
      <c r="A89">
        <f>Raw_Data!A89</f>
        <v/>
      </c>
      <c r="B89" s="11">
        <f>Raw_Data!B89</f>
        <v/>
      </c>
      <c r="C89">
        <f>Raw_Data!C89</f>
        <v/>
      </c>
      <c r="D89">
        <f>Raw_Data!D89</f>
        <v/>
      </c>
      <c r="E89">
        <f>Raw_Data!E89</f>
        <v/>
      </c>
      <c r="F89">
        <f>Raw_Data!F89</f>
        <v/>
      </c>
      <c r="G89">
        <f>Raw_Data!G89</f>
        <v/>
      </c>
      <c r="H89">
        <f>Raw_Data!H89</f>
        <v/>
      </c>
      <c r="I89">
        <f>Raw_Data!I89</f>
        <v/>
      </c>
      <c r="J89" s="12">
        <f>Raw_Data!J89</f>
        <v/>
      </c>
      <c r="K89" s="13">
        <f>Raw_Data!K89</f>
        <v/>
      </c>
      <c r="L89" s="12">
        <f>Raw_Data!L89</f>
        <v/>
      </c>
      <c r="M89" s="12">
        <f>Raw_Data!M89</f>
        <v/>
      </c>
      <c r="N89" s="12">
        <f>Raw_Data!N89</f>
        <v/>
      </c>
      <c r="O89">
        <f>Raw_Data!O89</f>
        <v/>
      </c>
      <c r="P89">
        <f>Raw_Data!P89</f>
        <v/>
      </c>
      <c r="Q89">
        <f>YEAR(B89)</f>
        <v/>
      </c>
      <c r="R89">
        <f>TEXT(B89,"mmm")</f>
        <v/>
      </c>
      <c r="S89" s="15">
        <f>IFERROR(N89/L89,0)</f>
        <v/>
      </c>
    </row>
    <row r="90">
      <c r="A90">
        <f>Raw_Data!A90</f>
        <v/>
      </c>
      <c r="B90" s="11">
        <f>Raw_Data!B90</f>
        <v/>
      </c>
      <c r="C90">
        <f>Raw_Data!C90</f>
        <v/>
      </c>
      <c r="D90">
        <f>Raw_Data!D90</f>
        <v/>
      </c>
      <c r="E90">
        <f>Raw_Data!E90</f>
        <v/>
      </c>
      <c r="F90">
        <f>Raw_Data!F90</f>
        <v/>
      </c>
      <c r="G90">
        <f>Raw_Data!G90</f>
        <v/>
      </c>
      <c r="H90">
        <f>Raw_Data!H90</f>
        <v/>
      </c>
      <c r="I90">
        <f>Raw_Data!I90</f>
        <v/>
      </c>
      <c r="J90" s="12">
        <f>Raw_Data!J90</f>
        <v/>
      </c>
      <c r="K90" s="13">
        <f>Raw_Data!K90</f>
        <v/>
      </c>
      <c r="L90" s="12">
        <f>Raw_Data!L90</f>
        <v/>
      </c>
      <c r="M90" s="12">
        <f>Raw_Data!M90</f>
        <v/>
      </c>
      <c r="N90" s="12">
        <f>Raw_Data!N90</f>
        <v/>
      </c>
      <c r="O90">
        <f>Raw_Data!O90</f>
        <v/>
      </c>
      <c r="P90">
        <f>Raw_Data!P90</f>
        <v/>
      </c>
      <c r="Q90">
        <f>YEAR(B90)</f>
        <v/>
      </c>
      <c r="R90">
        <f>TEXT(B90,"mmm")</f>
        <v/>
      </c>
      <c r="S90" s="15">
        <f>IFERROR(N90/L90,0)</f>
        <v/>
      </c>
    </row>
    <row r="91">
      <c r="A91">
        <f>Raw_Data!A91</f>
        <v/>
      </c>
      <c r="B91" s="11">
        <f>Raw_Data!B91</f>
        <v/>
      </c>
      <c r="C91">
        <f>Raw_Data!C91</f>
        <v/>
      </c>
      <c r="D91">
        <f>Raw_Data!D91</f>
        <v/>
      </c>
      <c r="E91">
        <f>Raw_Data!E91</f>
        <v/>
      </c>
      <c r="F91">
        <f>Raw_Data!F91</f>
        <v/>
      </c>
      <c r="G91">
        <f>Raw_Data!G91</f>
        <v/>
      </c>
      <c r="H91">
        <f>Raw_Data!H91</f>
        <v/>
      </c>
      <c r="I91">
        <f>Raw_Data!I91</f>
        <v/>
      </c>
      <c r="J91" s="12">
        <f>Raw_Data!J91</f>
        <v/>
      </c>
      <c r="K91" s="13">
        <f>Raw_Data!K91</f>
        <v/>
      </c>
      <c r="L91" s="12">
        <f>Raw_Data!L91</f>
        <v/>
      </c>
      <c r="M91" s="12">
        <f>Raw_Data!M91</f>
        <v/>
      </c>
      <c r="N91" s="12">
        <f>Raw_Data!N91</f>
        <v/>
      </c>
      <c r="O91">
        <f>Raw_Data!O91</f>
        <v/>
      </c>
      <c r="P91">
        <f>Raw_Data!P91</f>
        <v/>
      </c>
      <c r="Q91">
        <f>YEAR(B91)</f>
        <v/>
      </c>
      <c r="R91">
        <f>TEXT(B91,"mmm")</f>
        <v/>
      </c>
      <c r="S91" s="15">
        <f>IFERROR(N91/L91,0)</f>
        <v/>
      </c>
    </row>
    <row r="92">
      <c r="A92">
        <f>Raw_Data!A92</f>
        <v/>
      </c>
      <c r="B92" s="11">
        <f>Raw_Data!B92</f>
        <v/>
      </c>
      <c r="C92">
        <f>Raw_Data!C92</f>
        <v/>
      </c>
      <c r="D92">
        <f>Raw_Data!D92</f>
        <v/>
      </c>
      <c r="E92">
        <f>Raw_Data!E92</f>
        <v/>
      </c>
      <c r="F92">
        <f>Raw_Data!F92</f>
        <v/>
      </c>
      <c r="G92">
        <f>Raw_Data!G92</f>
        <v/>
      </c>
      <c r="H92">
        <f>Raw_Data!H92</f>
        <v/>
      </c>
      <c r="I92">
        <f>Raw_Data!I92</f>
        <v/>
      </c>
      <c r="J92" s="12">
        <f>Raw_Data!J92</f>
        <v/>
      </c>
      <c r="K92" s="13">
        <f>Raw_Data!K92</f>
        <v/>
      </c>
      <c r="L92" s="12">
        <f>Raw_Data!L92</f>
        <v/>
      </c>
      <c r="M92" s="12">
        <f>Raw_Data!M92</f>
        <v/>
      </c>
      <c r="N92" s="12">
        <f>Raw_Data!N92</f>
        <v/>
      </c>
      <c r="O92">
        <f>Raw_Data!O92</f>
        <v/>
      </c>
      <c r="P92">
        <f>Raw_Data!P92</f>
        <v/>
      </c>
      <c r="Q92">
        <f>YEAR(B92)</f>
        <v/>
      </c>
      <c r="R92">
        <f>TEXT(B92,"mmm")</f>
        <v/>
      </c>
      <c r="S92" s="15">
        <f>IFERROR(N92/L92,0)</f>
        <v/>
      </c>
    </row>
    <row r="93">
      <c r="A93">
        <f>Raw_Data!A93</f>
        <v/>
      </c>
      <c r="B93" s="11">
        <f>Raw_Data!B93</f>
        <v/>
      </c>
      <c r="C93">
        <f>Raw_Data!C93</f>
        <v/>
      </c>
      <c r="D93">
        <f>Raw_Data!D93</f>
        <v/>
      </c>
      <c r="E93">
        <f>Raw_Data!E93</f>
        <v/>
      </c>
      <c r="F93">
        <f>Raw_Data!F93</f>
        <v/>
      </c>
      <c r="G93">
        <f>Raw_Data!G93</f>
        <v/>
      </c>
      <c r="H93">
        <f>Raw_Data!H93</f>
        <v/>
      </c>
      <c r="I93">
        <f>Raw_Data!I93</f>
        <v/>
      </c>
      <c r="J93" s="12">
        <f>Raw_Data!J93</f>
        <v/>
      </c>
      <c r="K93" s="13">
        <f>Raw_Data!K93</f>
        <v/>
      </c>
      <c r="L93" s="12">
        <f>Raw_Data!L93</f>
        <v/>
      </c>
      <c r="M93" s="12">
        <f>Raw_Data!M93</f>
        <v/>
      </c>
      <c r="N93" s="12">
        <f>Raw_Data!N93</f>
        <v/>
      </c>
      <c r="O93">
        <f>Raw_Data!O93</f>
        <v/>
      </c>
      <c r="P93">
        <f>Raw_Data!P93</f>
        <v/>
      </c>
      <c r="Q93">
        <f>YEAR(B93)</f>
        <v/>
      </c>
      <c r="R93">
        <f>TEXT(B93,"mmm")</f>
        <v/>
      </c>
      <c r="S93" s="15">
        <f>IFERROR(N93/L93,0)</f>
        <v/>
      </c>
    </row>
    <row r="94">
      <c r="A94">
        <f>Raw_Data!A94</f>
        <v/>
      </c>
      <c r="B94" s="11">
        <f>Raw_Data!B94</f>
        <v/>
      </c>
      <c r="C94">
        <f>Raw_Data!C94</f>
        <v/>
      </c>
      <c r="D94">
        <f>Raw_Data!D94</f>
        <v/>
      </c>
      <c r="E94">
        <f>Raw_Data!E94</f>
        <v/>
      </c>
      <c r="F94">
        <f>Raw_Data!F94</f>
        <v/>
      </c>
      <c r="G94">
        <f>Raw_Data!G94</f>
        <v/>
      </c>
      <c r="H94">
        <f>Raw_Data!H94</f>
        <v/>
      </c>
      <c r="I94">
        <f>Raw_Data!I94</f>
        <v/>
      </c>
      <c r="J94" s="12">
        <f>Raw_Data!J94</f>
        <v/>
      </c>
      <c r="K94" s="13">
        <f>Raw_Data!K94</f>
        <v/>
      </c>
      <c r="L94" s="12">
        <f>Raw_Data!L94</f>
        <v/>
      </c>
      <c r="M94" s="12">
        <f>Raw_Data!M94</f>
        <v/>
      </c>
      <c r="N94" s="12">
        <f>Raw_Data!N94</f>
        <v/>
      </c>
      <c r="O94">
        <f>Raw_Data!O94</f>
        <v/>
      </c>
      <c r="P94">
        <f>Raw_Data!P94</f>
        <v/>
      </c>
      <c r="Q94">
        <f>YEAR(B94)</f>
        <v/>
      </c>
      <c r="R94">
        <f>TEXT(B94,"mmm")</f>
        <v/>
      </c>
      <c r="S94" s="15">
        <f>IFERROR(N94/L94,0)</f>
        <v/>
      </c>
    </row>
    <row r="95">
      <c r="A95">
        <f>Raw_Data!A95</f>
        <v/>
      </c>
      <c r="B95" s="11">
        <f>Raw_Data!B95</f>
        <v/>
      </c>
      <c r="C95">
        <f>Raw_Data!C95</f>
        <v/>
      </c>
      <c r="D95">
        <f>Raw_Data!D95</f>
        <v/>
      </c>
      <c r="E95">
        <f>Raw_Data!E95</f>
        <v/>
      </c>
      <c r="F95">
        <f>Raw_Data!F95</f>
        <v/>
      </c>
      <c r="G95">
        <f>Raw_Data!G95</f>
        <v/>
      </c>
      <c r="H95">
        <f>Raw_Data!H95</f>
        <v/>
      </c>
      <c r="I95">
        <f>Raw_Data!I95</f>
        <v/>
      </c>
      <c r="J95" s="12">
        <f>Raw_Data!J95</f>
        <v/>
      </c>
      <c r="K95" s="13">
        <f>Raw_Data!K95</f>
        <v/>
      </c>
      <c r="L95" s="12">
        <f>Raw_Data!L95</f>
        <v/>
      </c>
      <c r="M95" s="12">
        <f>Raw_Data!M95</f>
        <v/>
      </c>
      <c r="N95" s="12">
        <f>Raw_Data!N95</f>
        <v/>
      </c>
      <c r="O95">
        <f>Raw_Data!O95</f>
        <v/>
      </c>
      <c r="P95">
        <f>Raw_Data!P95</f>
        <v/>
      </c>
      <c r="Q95">
        <f>YEAR(B95)</f>
        <v/>
      </c>
      <c r="R95">
        <f>TEXT(B95,"mmm")</f>
        <v/>
      </c>
      <c r="S95" s="15">
        <f>IFERROR(N95/L95,0)</f>
        <v/>
      </c>
    </row>
    <row r="96">
      <c r="A96">
        <f>Raw_Data!A96</f>
        <v/>
      </c>
      <c r="B96" s="11">
        <f>Raw_Data!B96</f>
        <v/>
      </c>
      <c r="C96">
        <f>Raw_Data!C96</f>
        <v/>
      </c>
      <c r="D96">
        <f>Raw_Data!D96</f>
        <v/>
      </c>
      <c r="E96">
        <f>Raw_Data!E96</f>
        <v/>
      </c>
      <c r="F96">
        <f>Raw_Data!F96</f>
        <v/>
      </c>
      <c r="G96">
        <f>Raw_Data!G96</f>
        <v/>
      </c>
      <c r="H96">
        <f>Raw_Data!H96</f>
        <v/>
      </c>
      <c r="I96">
        <f>Raw_Data!I96</f>
        <v/>
      </c>
      <c r="J96" s="12">
        <f>Raw_Data!J96</f>
        <v/>
      </c>
      <c r="K96" s="13">
        <f>Raw_Data!K96</f>
        <v/>
      </c>
      <c r="L96" s="12">
        <f>Raw_Data!L96</f>
        <v/>
      </c>
      <c r="M96" s="12">
        <f>Raw_Data!M96</f>
        <v/>
      </c>
      <c r="N96" s="12">
        <f>Raw_Data!N96</f>
        <v/>
      </c>
      <c r="O96">
        <f>Raw_Data!O96</f>
        <v/>
      </c>
      <c r="P96">
        <f>Raw_Data!P96</f>
        <v/>
      </c>
      <c r="Q96">
        <f>YEAR(B96)</f>
        <v/>
      </c>
      <c r="R96">
        <f>TEXT(B96,"mmm")</f>
        <v/>
      </c>
      <c r="S96" s="15">
        <f>IFERROR(N96/L96,0)</f>
        <v/>
      </c>
    </row>
    <row r="97">
      <c r="A97">
        <f>Raw_Data!A97</f>
        <v/>
      </c>
      <c r="B97" s="11">
        <f>Raw_Data!B97</f>
        <v/>
      </c>
      <c r="C97">
        <f>Raw_Data!C97</f>
        <v/>
      </c>
      <c r="D97">
        <f>Raw_Data!D97</f>
        <v/>
      </c>
      <c r="E97">
        <f>Raw_Data!E97</f>
        <v/>
      </c>
      <c r="F97">
        <f>Raw_Data!F97</f>
        <v/>
      </c>
      <c r="G97">
        <f>Raw_Data!G97</f>
        <v/>
      </c>
      <c r="H97">
        <f>Raw_Data!H97</f>
        <v/>
      </c>
      <c r="I97">
        <f>Raw_Data!I97</f>
        <v/>
      </c>
      <c r="J97" s="12">
        <f>Raw_Data!J97</f>
        <v/>
      </c>
      <c r="K97" s="13">
        <f>Raw_Data!K97</f>
        <v/>
      </c>
      <c r="L97" s="12">
        <f>Raw_Data!L97</f>
        <v/>
      </c>
      <c r="M97" s="12">
        <f>Raw_Data!M97</f>
        <v/>
      </c>
      <c r="N97" s="12">
        <f>Raw_Data!N97</f>
        <v/>
      </c>
      <c r="O97">
        <f>Raw_Data!O97</f>
        <v/>
      </c>
      <c r="P97">
        <f>Raw_Data!P97</f>
        <v/>
      </c>
      <c r="Q97">
        <f>YEAR(B97)</f>
        <v/>
      </c>
      <c r="R97">
        <f>TEXT(B97,"mmm")</f>
        <v/>
      </c>
      <c r="S97" s="15">
        <f>IFERROR(N97/L97,0)</f>
        <v/>
      </c>
    </row>
    <row r="98">
      <c r="A98">
        <f>Raw_Data!A98</f>
        <v/>
      </c>
      <c r="B98" s="11">
        <f>Raw_Data!B98</f>
        <v/>
      </c>
      <c r="C98">
        <f>Raw_Data!C98</f>
        <v/>
      </c>
      <c r="D98">
        <f>Raw_Data!D98</f>
        <v/>
      </c>
      <c r="E98">
        <f>Raw_Data!E98</f>
        <v/>
      </c>
      <c r="F98">
        <f>Raw_Data!F98</f>
        <v/>
      </c>
      <c r="G98">
        <f>Raw_Data!G98</f>
        <v/>
      </c>
      <c r="H98">
        <f>Raw_Data!H98</f>
        <v/>
      </c>
      <c r="I98">
        <f>Raw_Data!I98</f>
        <v/>
      </c>
      <c r="J98" s="12">
        <f>Raw_Data!J98</f>
        <v/>
      </c>
      <c r="K98" s="13">
        <f>Raw_Data!K98</f>
        <v/>
      </c>
      <c r="L98" s="12">
        <f>Raw_Data!L98</f>
        <v/>
      </c>
      <c r="M98" s="12">
        <f>Raw_Data!M98</f>
        <v/>
      </c>
      <c r="N98" s="12">
        <f>Raw_Data!N98</f>
        <v/>
      </c>
      <c r="O98">
        <f>Raw_Data!O98</f>
        <v/>
      </c>
      <c r="P98">
        <f>Raw_Data!P98</f>
        <v/>
      </c>
      <c r="Q98">
        <f>YEAR(B98)</f>
        <v/>
      </c>
      <c r="R98">
        <f>TEXT(B98,"mmm")</f>
        <v/>
      </c>
      <c r="S98" s="15">
        <f>IFERROR(N98/L98,0)</f>
        <v/>
      </c>
    </row>
    <row r="99">
      <c r="A99">
        <f>Raw_Data!A99</f>
        <v/>
      </c>
      <c r="B99" s="11">
        <f>Raw_Data!B99</f>
        <v/>
      </c>
      <c r="C99">
        <f>Raw_Data!C99</f>
        <v/>
      </c>
      <c r="D99">
        <f>Raw_Data!D99</f>
        <v/>
      </c>
      <c r="E99">
        <f>Raw_Data!E99</f>
        <v/>
      </c>
      <c r="F99">
        <f>Raw_Data!F99</f>
        <v/>
      </c>
      <c r="G99">
        <f>Raw_Data!G99</f>
        <v/>
      </c>
      <c r="H99">
        <f>Raw_Data!H99</f>
        <v/>
      </c>
      <c r="I99">
        <f>Raw_Data!I99</f>
        <v/>
      </c>
      <c r="J99" s="12">
        <f>Raw_Data!J99</f>
        <v/>
      </c>
      <c r="K99" s="13">
        <f>Raw_Data!K99</f>
        <v/>
      </c>
      <c r="L99" s="12">
        <f>Raw_Data!L99</f>
        <v/>
      </c>
      <c r="M99" s="12">
        <f>Raw_Data!M99</f>
        <v/>
      </c>
      <c r="N99" s="12">
        <f>Raw_Data!N99</f>
        <v/>
      </c>
      <c r="O99">
        <f>Raw_Data!O99</f>
        <v/>
      </c>
      <c r="P99">
        <f>Raw_Data!P99</f>
        <v/>
      </c>
      <c r="Q99">
        <f>YEAR(B99)</f>
        <v/>
      </c>
      <c r="R99">
        <f>TEXT(B99,"mmm")</f>
        <v/>
      </c>
      <c r="S99" s="15">
        <f>IFERROR(N99/L99,0)</f>
        <v/>
      </c>
    </row>
    <row r="100">
      <c r="A100">
        <f>Raw_Data!A100</f>
        <v/>
      </c>
      <c r="B100" s="11">
        <f>Raw_Data!B100</f>
        <v/>
      </c>
      <c r="C100">
        <f>Raw_Data!C100</f>
        <v/>
      </c>
      <c r="D100">
        <f>Raw_Data!D100</f>
        <v/>
      </c>
      <c r="E100">
        <f>Raw_Data!E100</f>
        <v/>
      </c>
      <c r="F100">
        <f>Raw_Data!F100</f>
        <v/>
      </c>
      <c r="G100">
        <f>Raw_Data!G100</f>
        <v/>
      </c>
      <c r="H100">
        <f>Raw_Data!H100</f>
        <v/>
      </c>
      <c r="I100">
        <f>Raw_Data!I100</f>
        <v/>
      </c>
      <c r="J100" s="12">
        <f>Raw_Data!J100</f>
        <v/>
      </c>
      <c r="K100" s="13">
        <f>Raw_Data!K100</f>
        <v/>
      </c>
      <c r="L100" s="12">
        <f>Raw_Data!L100</f>
        <v/>
      </c>
      <c r="M100" s="12">
        <f>Raw_Data!M100</f>
        <v/>
      </c>
      <c r="N100" s="12">
        <f>Raw_Data!N100</f>
        <v/>
      </c>
      <c r="O100">
        <f>Raw_Data!O100</f>
        <v/>
      </c>
      <c r="P100">
        <f>Raw_Data!P100</f>
        <v/>
      </c>
      <c r="Q100">
        <f>YEAR(B100)</f>
        <v/>
      </c>
      <c r="R100">
        <f>TEXT(B100,"mmm")</f>
        <v/>
      </c>
      <c r="S100" s="15">
        <f>IFERROR(N100/L100,0)</f>
        <v/>
      </c>
    </row>
    <row r="101">
      <c r="A101">
        <f>Raw_Data!A101</f>
        <v/>
      </c>
      <c r="B101" s="11">
        <f>Raw_Data!B101</f>
        <v/>
      </c>
      <c r="C101">
        <f>Raw_Data!C101</f>
        <v/>
      </c>
      <c r="D101">
        <f>Raw_Data!D101</f>
        <v/>
      </c>
      <c r="E101">
        <f>Raw_Data!E101</f>
        <v/>
      </c>
      <c r="F101">
        <f>Raw_Data!F101</f>
        <v/>
      </c>
      <c r="G101">
        <f>Raw_Data!G101</f>
        <v/>
      </c>
      <c r="H101">
        <f>Raw_Data!H101</f>
        <v/>
      </c>
      <c r="I101">
        <f>Raw_Data!I101</f>
        <v/>
      </c>
      <c r="J101" s="12">
        <f>Raw_Data!J101</f>
        <v/>
      </c>
      <c r="K101" s="13">
        <f>Raw_Data!K101</f>
        <v/>
      </c>
      <c r="L101" s="12">
        <f>Raw_Data!L101</f>
        <v/>
      </c>
      <c r="M101" s="12">
        <f>Raw_Data!M101</f>
        <v/>
      </c>
      <c r="N101" s="12">
        <f>Raw_Data!N101</f>
        <v/>
      </c>
      <c r="O101">
        <f>Raw_Data!O101</f>
        <v/>
      </c>
      <c r="P101">
        <f>Raw_Data!P101</f>
        <v/>
      </c>
      <c r="Q101">
        <f>YEAR(B101)</f>
        <v/>
      </c>
      <c r="R101">
        <f>TEXT(B101,"mmm")</f>
        <v/>
      </c>
      <c r="S101" s="15">
        <f>IFERROR(N101/L101,0)</f>
        <v/>
      </c>
    </row>
    <row r="102">
      <c r="A102">
        <f>Raw_Data!A102</f>
        <v/>
      </c>
      <c r="B102" s="11">
        <f>Raw_Data!B102</f>
        <v/>
      </c>
      <c r="C102">
        <f>Raw_Data!C102</f>
        <v/>
      </c>
      <c r="D102">
        <f>Raw_Data!D102</f>
        <v/>
      </c>
      <c r="E102">
        <f>Raw_Data!E102</f>
        <v/>
      </c>
      <c r="F102">
        <f>Raw_Data!F102</f>
        <v/>
      </c>
      <c r="G102">
        <f>Raw_Data!G102</f>
        <v/>
      </c>
      <c r="H102">
        <f>Raw_Data!H102</f>
        <v/>
      </c>
      <c r="I102">
        <f>Raw_Data!I102</f>
        <v/>
      </c>
      <c r="J102" s="12">
        <f>Raw_Data!J102</f>
        <v/>
      </c>
      <c r="K102" s="13">
        <f>Raw_Data!K102</f>
        <v/>
      </c>
      <c r="L102" s="12">
        <f>Raw_Data!L102</f>
        <v/>
      </c>
      <c r="M102" s="12">
        <f>Raw_Data!M102</f>
        <v/>
      </c>
      <c r="N102" s="12">
        <f>Raw_Data!N102</f>
        <v/>
      </c>
      <c r="O102">
        <f>Raw_Data!O102</f>
        <v/>
      </c>
      <c r="P102">
        <f>Raw_Data!P102</f>
        <v/>
      </c>
      <c r="Q102">
        <f>YEAR(B102)</f>
        <v/>
      </c>
      <c r="R102">
        <f>TEXT(B102,"mmm")</f>
        <v/>
      </c>
      <c r="S102" s="15">
        <f>IFERROR(N102/L102,0)</f>
        <v/>
      </c>
    </row>
    <row r="103">
      <c r="A103">
        <f>Raw_Data!A103</f>
        <v/>
      </c>
      <c r="B103" s="11">
        <f>Raw_Data!B103</f>
        <v/>
      </c>
      <c r="C103">
        <f>Raw_Data!C103</f>
        <v/>
      </c>
      <c r="D103">
        <f>Raw_Data!D103</f>
        <v/>
      </c>
      <c r="E103">
        <f>Raw_Data!E103</f>
        <v/>
      </c>
      <c r="F103">
        <f>Raw_Data!F103</f>
        <v/>
      </c>
      <c r="G103">
        <f>Raw_Data!G103</f>
        <v/>
      </c>
      <c r="H103">
        <f>Raw_Data!H103</f>
        <v/>
      </c>
      <c r="I103">
        <f>Raw_Data!I103</f>
        <v/>
      </c>
      <c r="J103" s="12">
        <f>Raw_Data!J103</f>
        <v/>
      </c>
      <c r="K103" s="13">
        <f>Raw_Data!K103</f>
        <v/>
      </c>
      <c r="L103" s="12">
        <f>Raw_Data!L103</f>
        <v/>
      </c>
      <c r="M103" s="12">
        <f>Raw_Data!M103</f>
        <v/>
      </c>
      <c r="N103" s="12">
        <f>Raw_Data!N103</f>
        <v/>
      </c>
      <c r="O103">
        <f>Raw_Data!O103</f>
        <v/>
      </c>
      <c r="P103">
        <f>Raw_Data!P103</f>
        <v/>
      </c>
      <c r="Q103">
        <f>YEAR(B103)</f>
        <v/>
      </c>
      <c r="R103">
        <f>TEXT(B103,"mmm")</f>
        <v/>
      </c>
      <c r="S103" s="15">
        <f>IFERROR(N103/L103,0)</f>
        <v/>
      </c>
    </row>
    <row r="104">
      <c r="A104">
        <f>Raw_Data!A104</f>
        <v/>
      </c>
      <c r="B104" s="11">
        <f>Raw_Data!B104</f>
        <v/>
      </c>
      <c r="C104">
        <f>Raw_Data!C104</f>
        <v/>
      </c>
      <c r="D104">
        <f>Raw_Data!D104</f>
        <v/>
      </c>
      <c r="E104">
        <f>Raw_Data!E104</f>
        <v/>
      </c>
      <c r="F104">
        <f>Raw_Data!F104</f>
        <v/>
      </c>
      <c r="G104">
        <f>Raw_Data!G104</f>
        <v/>
      </c>
      <c r="H104">
        <f>Raw_Data!H104</f>
        <v/>
      </c>
      <c r="I104">
        <f>Raw_Data!I104</f>
        <v/>
      </c>
      <c r="J104" s="12">
        <f>Raw_Data!J104</f>
        <v/>
      </c>
      <c r="K104" s="13">
        <f>Raw_Data!K104</f>
        <v/>
      </c>
      <c r="L104" s="12">
        <f>Raw_Data!L104</f>
        <v/>
      </c>
      <c r="M104" s="12">
        <f>Raw_Data!M104</f>
        <v/>
      </c>
      <c r="N104" s="12">
        <f>Raw_Data!N104</f>
        <v/>
      </c>
      <c r="O104">
        <f>Raw_Data!O104</f>
        <v/>
      </c>
      <c r="P104">
        <f>Raw_Data!P104</f>
        <v/>
      </c>
      <c r="Q104">
        <f>YEAR(B104)</f>
        <v/>
      </c>
      <c r="R104">
        <f>TEXT(B104,"mmm")</f>
        <v/>
      </c>
      <c r="S104" s="15">
        <f>IFERROR(N104/L104,0)</f>
        <v/>
      </c>
    </row>
    <row r="105">
      <c r="A105">
        <f>Raw_Data!A105</f>
        <v/>
      </c>
      <c r="B105" s="11">
        <f>Raw_Data!B105</f>
        <v/>
      </c>
      <c r="C105">
        <f>Raw_Data!C105</f>
        <v/>
      </c>
      <c r="D105">
        <f>Raw_Data!D105</f>
        <v/>
      </c>
      <c r="E105">
        <f>Raw_Data!E105</f>
        <v/>
      </c>
      <c r="F105">
        <f>Raw_Data!F105</f>
        <v/>
      </c>
      <c r="G105">
        <f>Raw_Data!G105</f>
        <v/>
      </c>
      <c r="H105">
        <f>Raw_Data!H105</f>
        <v/>
      </c>
      <c r="I105">
        <f>Raw_Data!I105</f>
        <v/>
      </c>
      <c r="J105" s="12">
        <f>Raw_Data!J105</f>
        <v/>
      </c>
      <c r="K105" s="13">
        <f>Raw_Data!K105</f>
        <v/>
      </c>
      <c r="L105" s="12">
        <f>Raw_Data!L105</f>
        <v/>
      </c>
      <c r="M105" s="12">
        <f>Raw_Data!M105</f>
        <v/>
      </c>
      <c r="N105" s="12">
        <f>Raw_Data!N105</f>
        <v/>
      </c>
      <c r="O105">
        <f>Raw_Data!O105</f>
        <v/>
      </c>
      <c r="P105">
        <f>Raw_Data!P105</f>
        <v/>
      </c>
      <c r="Q105">
        <f>YEAR(B105)</f>
        <v/>
      </c>
      <c r="R105">
        <f>TEXT(B105,"mmm")</f>
        <v/>
      </c>
      <c r="S105" s="15">
        <f>IFERROR(N105/L105,0)</f>
        <v/>
      </c>
    </row>
    <row r="106">
      <c r="A106">
        <f>Raw_Data!A106</f>
        <v/>
      </c>
      <c r="B106" s="11">
        <f>Raw_Data!B106</f>
        <v/>
      </c>
      <c r="C106">
        <f>Raw_Data!C106</f>
        <v/>
      </c>
      <c r="D106">
        <f>Raw_Data!D106</f>
        <v/>
      </c>
      <c r="E106">
        <f>Raw_Data!E106</f>
        <v/>
      </c>
      <c r="F106">
        <f>Raw_Data!F106</f>
        <v/>
      </c>
      <c r="G106">
        <f>Raw_Data!G106</f>
        <v/>
      </c>
      <c r="H106">
        <f>Raw_Data!H106</f>
        <v/>
      </c>
      <c r="I106">
        <f>Raw_Data!I106</f>
        <v/>
      </c>
      <c r="J106" s="12">
        <f>Raw_Data!J106</f>
        <v/>
      </c>
      <c r="K106" s="13">
        <f>Raw_Data!K106</f>
        <v/>
      </c>
      <c r="L106" s="12">
        <f>Raw_Data!L106</f>
        <v/>
      </c>
      <c r="M106" s="12">
        <f>Raw_Data!M106</f>
        <v/>
      </c>
      <c r="N106" s="12">
        <f>Raw_Data!N106</f>
        <v/>
      </c>
      <c r="O106">
        <f>Raw_Data!O106</f>
        <v/>
      </c>
      <c r="P106">
        <f>Raw_Data!P106</f>
        <v/>
      </c>
      <c r="Q106">
        <f>YEAR(B106)</f>
        <v/>
      </c>
      <c r="R106">
        <f>TEXT(B106,"mmm")</f>
        <v/>
      </c>
      <c r="S106" s="15">
        <f>IFERROR(N106/L106,0)</f>
        <v/>
      </c>
    </row>
    <row r="107">
      <c r="A107">
        <f>Raw_Data!A107</f>
        <v/>
      </c>
      <c r="B107" s="11">
        <f>Raw_Data!B107</f>
        <v/>
      </c>
      <c r="C107">
        <f>Raw_Data!C107</f>
        <v/>
      </c>
      <c r="D107">
        <f>Raw_Data!D107</f>
        <v/>
      </c>
      <c r="E107">
        <f>Raw_Data!E107</f>
        <v/>
      </c>
      <c r="F107">
        <f>Raw_Data!F107</f>
        <v/>
      </c>
      <c r="G107">
        <f>Raw_Data!G107</f>
        <v/>
      </c>
      <c r="H107">
        <f>Raw_Data!H107</f>
        <v/>
      </c>
      <c r="I107">
        <f>Raw_Data!I107</f>
        <v/>
      </c>
      <c r="J107" s="12">
        <f>Raw_Data!J107</f>
        <v/>
      </c>
      <c r="K107" s="13">
        <f>Raw_Data!K107</f>
        <v/>
      </c>
      <c r="L107" s="12">
        <f>Raw_Data!L107</f>
        <v/>
      </c>
      <c r="M107" s="12">
        <f>Raw_Data!M107</f>
        <v/>
      </c>
      <c r="N107" s="12">
        <f>Raw_Data!N107</f>
        <v/>
      </c>
      <c r="O107">
        <f>Raw_Data!O107</f>
        <v/>
      </c>
      <c r="P107">
        <f>Raw_Data!P107</f>
        <v/>
      </c>
      <c r="Q107">
        <f>YEAR(B107)</f>
        <v/>
      </c>
      <c r="R107">
        <f>TEXT(B107,"mmm")</f>
        <v/>
      </c>
      <c r="S107" s="15">
        <f>IFERROR(N107/L107,0)</f>
        <v/>
      </c>
    </row>
    <row r="108">
      <c r="A108">
        <f>Raw_Data!A108</f>
        <v/>
      </c>
      <c r="B108" s="11">
        <f>Raw_Data!B108</f>
        <v/>
      </c>
      <c r="C108">
        <f>Raw_Data!C108</f>
        <v/>
      </c>
      <c r="D108">
        <f>Raw_Data!D108</f>
        <v/>
      </c>
      <c r="E108">
        <f>Raw_Data!E108</f>
        <v/>
      </c>
      <c r="F108">
        <f>Raw_Data!F108</f>
        <v/>
      </c>
      <c r="G108">
        <f>Raw_Data!G108</f>
        <v/>
      </c>
      <c r="H108">
        <f>Raw_Data!H108</f>
        <v/>
      </c>
      <c r="I108">
        <f>Raw_Data!I108</f>
        <v/>
      </c>
      <c r="J108" s="12">
        <f>Raw_Data!J108</f>
        <v/>
      </c>
      <c r="K108" s="13">
        <f>Raw_Data!K108</f>
        <v/>
      </c>
      <c r="L108" s="12">
        <f>Raw_Data!L108</f>
        <v/>
      </c>
      <c r="M108" s="12">
        <f>Raw_Data!M108</f>
        <v/>
      </c>
      <c r="N108" s="12">
        <f>Raw_Data!N108</f>
        <v/>
      </c>
      <c r="O108">
        <f>Raw_Data!O108</f>
        <v/>
      </c>
      <c r="P108">
        <f>Raw_Data!P108</f>
        <v/>
      </c>
      <c r="Q108">
        <f>YEAR(B108)</f>
        <v/>
      </c>
      <c r="R108">
        <f>TEXT(B108,"mmm")</f>
        <v/>
      </c>
      <c r="S108" s="15">
        <f>IFERROR(N108/L108,0)</f>
        <v/>
      </c>
    </row>
    <row r="109">
      <c r="A109">
        <f>Raw_Data!A109</f>
        <v/>
      </c>
      <c r="B109" s="11">
        <f>Raw_Data!B109</f>
        <v/>
      </c>
      <c r="C109">
        <f>Raw_Data!C109</f>
        <v/>
      </c>
      <c r="D109">
        <f>Raw_Data!D109</f>
        <v/>
      </c>
      <c r="E109">
        <f>Raw_Data!E109</f>
        <v/>
      </c>
      <c r="F109">
        <f>Raw_Data!F109</f>
        <v/>
      </c>
      <c r="G109">
        <f>Raw_Data!G109</f>
        <v/>
      </c>
      <c r="H109">
        <f>Raw_Data!H109</f>
        <v/>
      </c>
      <c r="I109">
        <f>Raw_Data!I109</f>
        <v/>
      </c>
      <c r="J109" s="12">
        <f>Raw_Data!J109</f>
        <v/>
      </c>
      <c r="K109" s="13">
        <f>Raw_Data!K109</f>
        <v/>
      </c>
      <c r="L109" s="12">
        <f>Raw_Data!L109</f>
        <v/>
      </c>
      <c r="M109" s="12">
        <f>Raw_Data!M109</f>
        <v/>
      </c>
      <c r="N109" s="12">
        <f>Raw_Data!N109</f>
        <v/>
      </c>
      <c r="O109">
        <f>Raw_Data!O109</f>
        <v/>
      </c>
      <c r="P109">
        <f>Raw_Data!P109</f>
        <v/>
      </c>
      <c r="Q109">
        <f>YEAR(B109)</f>
        <v/>
      </c>
      <c r="R109">
        <f>TEXT(B109,"mmm")</f>
        <v/>
      </c>
      <c r="S109" s="15">
        <f>IFERROR(N109/L109,0)</f>
        <v/>
      </c>
    </row>
    <row r="110">
      <c r="A110">
        <f>Raw_Data!A110</f>
        <v/>
      </c>
      <c r="B110" s="11">
        <f>Raw_Data!B110</f>
        <v/>
      </c>
      <c r="C110">
        <f>Raw_Data!C110</f>
        <v/>
      </c>
      <c r="D110">
        <f>Raw_Data!D110</f>
        <v/>
      </c>
      <c r="E110">
        <f>Raw_Data!E110</f>
        <v/>
      </c>
      <c r="F110">
        <f>Raw_Data!F110</f>
        <v/>
      </c>
      <c r="G110">
        <f>Raw_Data!G110</f>
        <v/>
      </c>
      <c r="H110">
        <f>Raw_Data!H110</f>
        <v/>
      </c>
      <c r="I110">
        <f>Raw_Data!I110</f>
        <v/>
      </c>
      <c r="J110" s="12">
        <f>Raw_Data!J110</f>
        <v/>
      </c>
      <c r="K110" s="13">
        <f>Raw_Data!K110</f>
        <v/>
      </c>
      <c r="L110" s="12">
        <f>Raw_Data!L110</f>
        <v/>
      </c>
      <c r="M110" s="12">
        <f>Raw_Data!M110</f>
        <v/>
      </c>
      <c r="N110" s="12">
        <f>Raw_Data!N110</f>
        <v/>
      </c>
      <c r="O110">
        <f>Raw_Data!O110</f>
        <v/>
      </c>
      <c r="P110">
        <f>Raw_Data!P110</f>
        <v/>
      </c>
      <c r="Q110">
        <f>YEAR(B110)</f>
        <v/>
      </c>
      <c r="R110">
        <f>TEXT(B110,"mmm")</f>
        <v/>
      </c>
      <c r="S110" s="15">
        <f>IFERROR(N110/L110,0)</f>
        <v/>
      </c>
    </row>
    <row r="111">
      <c r="A111">
        <f>Raw_Data!A111</f>
        <v/>
      </c>
      <c r="B111" s="11">
        <f>Raw_Data!B111</f>
        <v/>
      </c>
      <c r="C111">
        <f>Raw_Data!C111</f>
        <v/>
      </c>
      <c r="D111">
        <f>Raw_Data!D111</f>
        <v/>
      </c>
      <c r="E111">
        <f>Raw_Data!E111</f>
        <v/>
      </c>
      <c r="F111">
        <f>Raw_Data!F111</f>
        <v/>
      </c>
      <c r="G111">
        <f>Raw_Data!G111</f>
        <v/>
      </c>
      <c r="H111">
        <f>Raw_Data!H111</f>
        <v/>
      </c>
      <c r="I111">
        <f>Raw_Data!I111</f>
        <v/>
      </c>
      <c r="J111" s="12">
        <f>Raw_Data!J111</f>
        <v/>
      </c>
      <c r="K111" s="13">
        <f>Raw_Data!K111</f>
        <v/>
      </c>
      <c r="L111" s="12">
        <f>Raw_Data!L111</f>
        <v/>
      </c>
      <c r="M111" s="12">
        <f>Raw_Data!M111</f>
        <v/>
      </c>
      <c r="N111" s="12">
        <f>Raw_Data!N111</f>
        <v/>
      </c>
      <c r="O111">
        <f>Raw_Data!O111</f>
        <v/>
      </c>
      <c r="P111">
        <f>Raw_Data!P111</f>
        <v/>
      </c>
      <c r="Q111">
        <f>YEAR(B111)</f>
        <v/>
      </c>
      <c r="R111">
        <f>TEXT(B111,"mmm")</f>
        <v/>
      </c>
      <c r="S111" s="15">
        <f>IFERROR(N111/L111,0)</f>
        <v/>
      </c>
    </row>
    <row r="112">
      <c r="A112">
        <f>Raw_Data!A112</f>
        <v/>
      </c>
      <c r="B112" s="11">
        <f>Raw_Data!B112</f>
        <v/>
      </c>
      <c r="C112">
        <f>Raw_Data!C112</f>
        <v/>
      </c>
      <c r="D112">
        <f>Raw_Data!D112</f>
        <v/>
      </c>
      <c r="E112">
        <f>Raw_Data!E112</f>
        <v/>
      </c>
      <c r="F112">
        <f>Raw_Data!F112</f>
        <v/>
      </c>
      <c r="G112">
        <f>Raw_Data!G112</f>
        <v/>
      </c>
      <c r="H112">
        <f>Raw_Data!H112</f>
        <v/>
      </c>
      <c r="I112">
        <f>Raw_Data!I112</f>
        <v/>
      </c>
      <c r="J112" s="12">
        <f>Raw_Data!J112</f>
        <v/>
      </c>
      <c r="K112" s="13">
        <f>Raw_Data!K112</f>
        <v/>
      </c>
      <c r="L112" s="12">
        <f>Raw_Data!L112</f>
        <v/>
      </c>
      <c r="M112" s="12">
        <f>Raw_Data!M112</f>
        <v/>
      </c>
      <c r="N112" s="12">
        <f>Raw_Data!N112</f>
        <v/>
      </c>
      <c r="O112">
        <f>Raw_Data!O112</f>
        <v/>
      </c>
      <c r="P112">
        <f>Raw_Data!P112</f>
        <v/>
      </c>
      <c r="Q112">
        <f>YEAR(B112)</f>
        <v/>
      </c>
      <c r="R112">
        <f>TEXT(B112,"mmm")</f>
        <v/>
      </c>
      <c r="S112" s="15">
        <f>IFERROR(N112/L112,0)</f>
        <v/>
      </c>
    </row>
    <row r="113">
      <c r="A113">
        <f>Raw_Data!A113</f>
        <v/>
      </c>
      <c r="B113" s="11">
        <f>Raw_Data!B113</f>
        <v/>
      </c>
      <c r="C113">
        <f>Raw_Data!C113</f>
        <v/>
      </c>
      <c r="D113">
        <f>Raw_Data!D113</f>
        <v/>
      </c>
      <c r="E113">
        <f>Raw_Data!E113</f>
        <v/>
      </c>
      <c r="F113">
        <f>Raw_Data!F113</f>
        <v/>
      </c>
      <c r="G113">
        <f>Raw_Data!G113</f>
        <v/>
      </c>
      <c r="H113">
        <f>Raw_Data!H113</f>
        <v/>
      </c>
      <c r="I113">
        <f>Raw_Data!I113</f>
        <v/>
      </c>
      <c r="J113" s="12">
        <f>Raw_Data!J113</f>
        <v/>
      </c>
      <c r="K113" s="13">
        <f>Raw_Data!K113</f>
        <v/>
      </c>
      <c r="L113" s="12">
        <f>Raw_Data!L113</f>
        <v/>
      </c>
      <c r="M113" s="12">
        <f>Raw_Data!M113</f>
        <v/>
      </c>
      <c r="N113" s="12">
        <f>Raw_Data!N113</f>
        <v/>
      </c>
      <c r="O113">
        <f>Raw_Data!O113</f>
        <v/>
      </c>
      <c r="P113">
        <f>Raw_Data!P113</f>
        <v/>
      </c>
      <c r="Q113">
        <f>YEAR(B113)</f>
        <v/>
      </c>
      <c r="R113">
        <f>TEXT(B113,"mmm")</f>
        <v/>
      </c>
      <c r="S113" s="15">
        <f>IFERROR(N113/L113,0)</f>
        <v/>
      </c>
    </row>
    <row r="114">
      <c r="A114">
        <f>Raw_Data!A114</f>
        <v/>
      </c>
      <c r="B114" s="11">
        <f>Raw_Data!B114</f>
        <v/>
      </c>
      <c r="C114">
        <f>Raw_Data!C114</f>
        <v/>
      </c>
      <c r="D114">
        <f>Raw_Data!D114</f>
        <v/>
      </c>
      <c r="E114">
        <f>Raw_Data!E114</f>
        <v/>
      </c>
      <c r="F114">
        <f>Raw_Data!F114</f>
        <v/>
      </c>
      <c r="G114">
        <f>Raw_Data!G114</f>
        <v/>
      </c>
      <c r="H114">
        <f>Raw_Data!H114</f>
        <v/>
      </c>
      <c r="I114">
        <f>Raw_Data!I114</f>
        <v/>
      </c>
      <c r="J114" s="12">
        <f>Raw_Data!J114</f>
        <v/>
      </c>
      <c r="K114" s="13">
        <f>Raw_Data!K114</f>
        <v/>
      </c>
      <c r="L114" s="12">
        <f>Raw_Data!L114</f>
        <v/>
      </c>
      <c r="M114" s="12">
        <f>Raw_Data!M114</f>
        <v/>
      </c>
      <c r="N114" s="12">
        <f>Raw_Data!N114</f>
        <v/>
      </c>
      <c r="O114">
        <f>Raw_Data!O114</f>
        <v/>
      </c>
      <c r="P114">
        <f>Raw_Data!P114</f>
        <v/>
      </c>
      <c r="Q114">
        <f>YEAR(B114)</f>
        <v/>
      </c>
      <c r="R114">
        <f>TEXT(B114,"mmm")</f>
        <v/>
      </c>
      <c r="S114" s="15">
        <f>IFERROR(N114/L114,0)</f>
        <v/>
      </c>
    </row>
    <row r="115">
      <c r="A115">
        <f>Raw_Data!A115</f>
        <v/>
      </c>
      <c r="B115" s="11">
        <f>Raw_Data!B115</f>
        <v/>
      </c>
      <c r="C115">
        <f>Raw_Data!C115</f>
        <v/>
      </c>
      <c r="D115">
        <f>Raw_Data!D115</f>
        <v/>
      </c>
      <c r="E115">
        <f>Raw_Data!E115</f>
        <v/>
      </c>
      <c r="F115">
        <f>Raw_Data!F115</f>
        <v/>
      </c>
      <c r="G115">
        <f>Raw_Data!G115</f>
        <v/>
      </c>
      <c r="H115">
        <f>Raw_Data!H115</f>
        <v/>
      </c>
      <c r="I115">
        <f>Raw_Data!I115</f>
        <v/>
      </c>
      <c r="J115" s="12">
        <f>Raw_Data!J115</f>
        <v/>
      </c>
      <c r="K115" s="13">
        <f>Raw_Data!K115</f>
        <v/>
      </c>
      <c r="L115" s="12">
        <f>Raw_Data!L115</f>
        <v/>
      </c>
      <c r="M115" s="12">
        <f>Raw_Data!M115</f>
        <v/>
      </c>
      <c r="N115" s="12">
        <f>Raw_Data!N115</f>
        <v/>
      </c>
      <c r="O115">
        <f>Raw_Data!O115</f>
        <v/>
      </c>
      <c r="P115">
        <f>Raw_Data!P115</f>
        <v/>
      </c>
      <c r="Q115">
        <f>YEAR(B115)</f>
        <v/>
      </c>
      <c r="R115">
        <f>TEXT(B115,"mmm")</f>
        <v/>
      </c>
      <c r="S115" s="15">
        <f>IFERROR(N115/L115,0)</f>
        <v/>
      </c>
    </row>
    <row r="116">
      <c r="A116">
        <f>Raw_Data!A116</f>
        <v/>
      </c>
      <c r="B116" s="11">
        <f>Raw_Data!B116</f>
        <v/>
      </c>
      <c r="C116">
        <f>Raw_Data!C116</f>
        <v/>
      </c>
      <c r="D116">
        <f>Raw_Data!D116</f>
        <v/>
      </c>
      <c r="E116">
        <f>Raw_Data!E116</f>
        <v/>
      </c>
      <c r="F116">
        <f>Raw_Data!F116</f>
        <v/>
      </c>
      <c r="G116">
        <f>Raw_Data!G116</f>
        <v/>
      </c>
      <c r="H116">
        <f>Raw_Data!H116</f>
        <v/>
      </c>
      <c r="I116">
        <f>Raw_Data!I116</f>
        <v/>
      </c>
      <c r="J116" s="12">
        <f>Raw_Data!J116</f>
        <v/>
      </c>
      <c r="K116" s="13">
        <f>Raw_Data!K116</f>
        <v/>
      </c>
      <c r="L116" s="12">
        <f>Raw_Data!L116</f>
        <v/>
      </c>
      <c r="M116" s="12">
        <f>Raw_Data!M116</f>
        <v/>
      </c>
      <c r="N116" s="12">
        <f>Raw_Data!N116</f>
        <v/>
      </c>
      <c r="O116">
        <f>Raw_Data!O116</f>
        <v/>
      </c>
      <c r="P116">
        <f>Raw_Data!P116</f>
        <v/>
      </c>
      <c r="Q116">
        <f>YEAR(B116)</f>
        <v/>
      </c>
      <c r="R116">
        <f>TEXT(B116,"mmm")</f>
        <v/>
      </c>
      <c r="S116" s="15">
        <f>IFERROR(N116/L116,0)</f>
        <v/>
      </c>
    </row>
    <row r="117">
      <c r="A117">
        <f>Raw_Data!A117</f>
        <v/>
      </c>
      <c r="B117" s="11">
        <f>Raw_Data!B117</f>
        <v/>
      </c>
      <c r="C117">
        <f>Raw_Data!C117</f>
        <v/>
      </c>
      <c r="D117">
        <f>Raw_Data!D117</f>
        <v/>
      </c>
      <c r="E117">
        <f>Raw_Data!E117</f>
        <v/>
      </c>
      <c r="F117">
        <f>Raw_Data!F117</f>
        <v/>
      </c>
      <c r="G117">
        <f>Raw_Data!G117</f>
        <v/>
      </c>
      <c r="H117">
        <f>Raw_Data!H117</f>
        <v/>
      </c>
      <c r="I117">
        <f>Raw_Data!I117</f>
        <v/>
      </c>
      <c r="J117" s="12">
        <f>Raw_Data!J117</f>
        <v/>
      </c>
      <c r="K117" s="13">
        <f>Raw_Data!K117</f>
        <v/>
      </c>
      <c r="L117" s="12">
        <f>Raw_Data!L117</f>
        <v/>
      </c>
      <c r="M117" s="12">
        <f>Raw_Data!M117</f>
        <v/>
      </c>
      <c r="N117" s="12">
        <f>Raw_Data!N117</f>
        <v/>
      </c>
      <c r="O117">
        <f>Raw_Data!O117</f>
        <v/>
      </c>
      <c r="P117">
        <f>Raw_Data!P117</f>
        <v/>
      </c>
      <c r="Q117">
        <f>YEAR(B117)</f>
        <v/>
      </c>
      <c r="R117">
        <f>TEXT(B117,"mmm")</f>
        <v/>
      </c>
      <c r="S117" s="15">
        <f>IFERROR(N117/L117,0)</f>
        <v/>
      </c>
    </row>
    <row r="118">
      <c r="A118">
        <f>Raw_Data!A118</f>
        <v/>
      </c>
      <c r="B118" s="11">
        <f>Raw_Data!B118</f>
        <v/>
      </c>
      <c r="C118">
        <f>Raw_Data!C118</f>
        <v/>
      </c>
      <c r="D118">
        <f>Raw_Data!D118</f>
        <v/>
      </c>
      <c r="E118">
        <f>Raw_Data!E118</f>
        <v/>
      </c>
      <c r="F118">
        <f>Raw_Data!F118</f>
        <v/>
      </c>
      <c r="G118">
        <f>Raw_Data!G118</f>
        <v/>
      </c>
      <c r="H118">
        <f>Raw_Data!H118</f>
        <v/>
      </c>
      <c r="I118">
        <f>Raw_Data!I118</f>
        <v/>
      </c>
      <c r="J118" s="12">
        <f>Raw_Data!J118</f>
        <v/>
      </c>
      <c r="K118" s="13">
        <f>Raw_Data!K118</f>
        <v/>
      </c>
      <c r="L118" s="12">
        <f>Raw_Data!L118</f>
        <v/>
      </c>
      <c r="M118" s="12">
        <f>Raw_Data!M118</f>
        <v/>
      </c>
      <c r="N118" s="12">
        <f>Raw_Data!N118</f>
        <v/>
      </c>
      <c r="O118">
        <f>Raw_Data!O118</f>
        <v/>
      </c>
      <c r="P118">
        <f>Raw_Data!P118</f>
        <v/>
      </c>
      <c r="Q118">
        <f>YEAR(B118)</f>
        <v/>
      </c>
      <c r="R118">
        <f>TEXT(B118,"mmm")</f>
        <v/>
      </c>
      <c r="S118" s="15">
        <f>IFERROR(N118/L118,0)</f>
        <v/>
      </c>
    </row>
    <row r="119">
      <c r="A119">
        <f>Raw_Data!A119</f>
        <v/>
      </c>
      <c r="B119" s="11">
        <f>Raw_Data!B119</f>
        <v/>
      </c>
      <c r="C119">
        <f>Raw_Data!C119</f>
        <v/>
      </c>
      <c r="D119">
        <f>Raw_Data!D119</f>
        <v/>
      </c>
      <c r="E119">
        <f>Raw_Data!E119</f>
        <v/>
      </c>
      <c r="F119">
        <f>Raw_Data!F119</f>
        <v/>
      </c>
      <c r="G119">
        <f>Raw_Data!G119</f>
        <v/>
      </c>
      <c r="H119">
        <f>Raw_Data!H119</f>
        <v/>
      </c>
      <c r="I119">
        <f>Raw_Data!I119</f>
        <v/>
      </c>
      <c r="J119" s="12">
        <f>Raw_Data!J119</f>
        <v/>
      </c>
      <c r="K119" s="13">
        <f>Raw_Data!K119</f>
        <v/>
      </c>
      <c r="L119" s="12">
        <f>Raw_Data!L119</f>
        <v/>
      </c>
      <c r="M119" s="12">
        <f>Raw_Data!M119</f>
        <v/>
      </c>
      <c r="N119" s="12">
        <f>Raw_Data!N119</f>
        <v/>
      </c>
      <c r="O119">
        <f>Raw_Data!O119</f>
        <v/>
      </c>
      <c r="P119">
        <f>Raw_Data!P119</f>
        <v/>
      </c>
      <c r="Q119">
        <f>YEAR(B119)</f>
        <v/>
      </c>
      <c r="R119">
        <f>TEXT(B119,"mmm")</f>
        <v/>
      </c>
      <c r="S119" s="15">
        <f>IFERROR(N119/L119,0)</f>
        <v/>
      </c>
    </row>
    <row r="120">
      <c r="A120">
        <f>Raw_Data!A120</f>
        <v/>
      </c>
      <c r="B120" s="11">
        <f>Raw_Data!B120</f>
        <v/>
      </c>
      <c r="C120">
        <f>Raw_Data!C120</f>
        <v/>
      </c>
      <c r="D120">
        <f>Raw_Data!D120</f>
        <v/>
      </c>
      <c r="E120">
        <f>Raw_Data!E120</f>
        <v/>
      </c>
      <c r="F120">
        <f>Raw_Data!F120</f>
        <v/>
      </c>
      <c r="G120">
        <f>Raw_Data!G120</f>
        <v/>
      </c>
      <c r="H120">
        <f>Raw_Data!H120</f>
        <v/>
      </c>
      <c r="I120">
        <f>Raw_Data!I120</f>
        <v/>
      </c>
      <c r="J120" s="12">
        <f>Raw_Data!J120</f>
        <v/>
      </c>
      <c r="K120" s="13">
        <f>Raw_Data!K120</f>
        <v/>
      </c>
      <c r="L120" s="12">
        <f>Raw_Data!L120</f>
        <v/>
      </c>
      <c r="M120" s="12">
        <f>Raw_Data!M120</f>
        <v/>
      </c>
      <c r="N120" s="12">
        <f>Raw_Data!N120</f>
        <v/>
      </c>
      <c r="O120">
        <f>Raw_Data!O120</f>
        <v/>
      </c>
      <c r="P120">
        <f>Raw_Data!P120</f>
        <v/>
      </c>
      <c r="Q120">
        <f>YEAR(B120)</f>
        <v/>
      </c>
      <c r="R120">
        <f>TEXT(B120,"mmm")</f>
        <v/>
      </c>
      <c r="S120" s="15">
        <f>IFERROR(N120/L120,0)</f>
        <v/>
      </c>
    </row>
    <row r="121">
      <c r="A121">
        <f>Raw_Data!A121</f>
        <v/>
      </c>
      <c r="B121" s="11">
        <f>Raw_Data!B121</f>
        <v/>
      </c>
      <c r="C121">
        <f>Raw_Data!C121</f>
        <v/>
      </c>
      <c r="D121">
        <f>Raw_Data!D121</f>
        <v/>
      </c>
      <c r="E121">
        <f>Raw_Data!E121</f>
        <v/>
      </c>
      <c r="F121">
        <f>Raw_Data!F121</f>
        <v/>
      </c>
      <c r="G121">
        <f>Raw_Data!G121</f>
        <v/>
      </c>
      <c r="H121">
        <f>Raw_Data!H121</f>
        <v/>
      </c>
      <c r="I121">
        <f>Raw_Data!I121</f>
        <v/>
      </c>
      <c r="J121" s="12">
        <f>Raw_Data!J121</f>
        <v/>
      </c>
      <c r="K121" s="13">
        <f>Raw_Data!K121</f>
        <v/>
      </c>
      <c r="L121" s="12">
        <f>Raw_Data!L121</f>
        <v/>
      </c>
      <c r="M121" s="12">
        <f>Raw_Data!M121</f>
        <v/>
      </c>
      <c r="N121" s="12">
        <f>Raw_Data!N121</f>
        <v/>
      </c>
      <c r="O121">
        <f>Raw_Data!O121</f>
        <v/>
      </c>
      <c r="P121">
        <f>Raw_Data!P121</f>
        <v/>
      </c>
      <c r="Q121">
        <f>YEAR(B121)</f>
        <v/>
      </c>
      <c r="R121">
        <f>TEXT(B121,"mmm")</f>
        <v/>
      </c>
      <c r="S121" s="15">
        <f>IFERROR(N121/L121,0)</f>
        <v/>
      </c>
    </row>
    <row r="122">
      <c r="A122">
        <f>Raw_Data!A122</f>
        <v/>
      </c>
      <c r="B122" s="11">
        <f>Raw_Data!B122</f>
        <v/>
      </c>
      <c r="C122">
        <f>Raw_Data!C122</f>
        <v/>
      </c>
      <c r="D122">
        <f>Raw_Data!D122</f>
        <v/>
      </c>
      <c r="E122">
        <f>Raw_Data!E122</f>
        <v/>
      </c>
      <c r="F122">
        <f>Raw_Data!F122</f>
        <v/>
      </c>
      <c r="G122">
        <f>Raw_Data!G122</f>
        <v/>
      </c>
      <c r="H122">
        <f>Raw_Data!H122</f>
        <v/>
      </c>
      <c r="I122">
        <f>Raw_Data!I122</f>
        <v/>
      </c>
      <c r="J122" s="12">
        <f>Raw_Data!J122</f>
        <v/>
      </c>
      <c r="K122" s="13">
        <f>Raw_Data!K122</f>
        <v/>
      </c>
      <c r="L122" s="12">
        <f>Raw_Data!L122</f>
        <v/>
      </c>
      <c r="M122" s="12">
        <f>Raw_Data!M122</f>
        <v/>
      </c>
      <c r="N122" s="12">
        <f>Raw_Data!N122</f>
        <v/>
      </c>
      <c r="O122">
        <f>Raw_Data!O122</f>
        <v/>
      </c>
      <c r="P122">
        <f>Raw_Data!P122</f>
        <v/>
      </c>
      <c r="Q122">
        <f>YEAR(B122)</f>
        <v/>
      </c>
      <c r="R122">
        <f>TEXT(B122,"mmm")</f>
        <v/>
      </c>
      <c r="S122" s="15">
        <f>IFERROR(N122/L122,0)</f>
        <v/>
      </c>
    </row>
    <row r="123">
      <c r="A123">
        <f>Raw_Data!A123</f>
        <v/>
      </c>
      <c r="B123" s="11">
        <f>Raw_Data!B123</f>
        <v/>
      </c>
      <c r="C123">
        <f>Raw_Data!C123</f>
        <v/>
      </c>
      <c r="D123">
        <f>Raw_Data!D123</f>
        <v/>
      </c>
      <c r="E123">
        <f>Raw_Data!E123</f>
        <v/>
      </c>
      <c r="F123">
        <f>Raw_Data!F123</f>
        <v/>
      </c>
      <c r="G123">
        <f>Raw_Data!G123</f>
        <v/>
      </c>
      <c r="H123">
        <f>Raw_Data!H123</f>
        <v/>
      </c>
      <c r="I123">
        <f>Raw_Data!I123</f>
        <v/>
      </c>
      <c r="J123" s="12">
        <f>Raw_Data!J123</f>
        <v/>
      </c>
      <c r="K123" s="13">
        <f>Raw_Data!K123</f>
        <v/>
      </c>
      <c r="L123" s="12">
        <f>Raw_Data!L123</f>
        <v/>
      </c>
      <c r="M123" s="12">
        <f>Raw_Data!M123</f>
        <v/>
      </c>
      <c r="N123" s="12">
        <f>Raw_Data!N123</f>
        <v/>
      </c>
      <c r="O123">
        <f>Raw_Data!O123</f>
        <v/>
      </c>
      <c r="P123">
        <f>Raw_Data!P123</f>
        <v/>
      </c>
      <c r="Q123">
        <f>YEAR(B123)</f>
        <v/>
      </c>
      <c r="R123">
        <f>TEXT(B123,"mmm")</f>
        <v/>
      </c>
      <c r="S123" s="15">
        <f>IFERROR(N123/L123,0)</f>
        <v/>
      </c>
    </row>
    <row r="124">
      <c r="A124">
        <f>Raw_Data!A124</f>
        <v/>
      </c>
      <c r="B124" s="11">
        <f>Raw_Data!B124</f>
        <v/>
      </c>
      <c r="C124">
        <f>Raw_Data!C124</f>
        <v/>
      </c>
      <c r="D124">
        <f>Raw_Data!D124</f>
        <v/>
      </c>
      <c r="E124">
        <f>Raw_Data!E124</f>
        <v/>
      </c>
      <c r="F124">
        <f>Raw_Data!F124</f>
        <v/>
      </c>
      <c r="G124">
        <f>Raw_Data!G124</f>
        <v/>
      </c>
      <c r="H124">
        <f>Raw_Data!H124</f>
        <v/>
      </c>
      <c r="I124">
        <f>Raw_Data!I124</f>
        <v/>
      </c>
      <c r="J124" s="12">
        <f>Raw_Data!J124</f>
        <v/>
      </c>
      <c r="K124" s="13">
        <f>Raw_Data!K124</f>
        <v/>
      </c>
      <c r="L124" s="12">
        <f>Raw_Data!L124</f>
        <v/>
      </c>
      <c r="M124" s="12">
        <f>Raw_Data!M124</f>
        <v/>
      </c>
      <c r="N124" s="12">
        <f>Raw_Data!N124</f>
        <v/>
      </c>
      <c r="O124">
        <f>Raw_Data!O124</f>
        <v/>
      </c>
      <c r="P124">
        <f>Raw_Data!P124</f>
        <v/>
      </c>
      <c r="Q124">
        <f>YEAR(B124)</f>
        <v/>
      </c>
      <c r="R124">
        <f>TEXT(B124,"mmm")</f>
        <v/>
      </c>
      <c r="S124" s="15">
        <f>IFERROR(N124/L124,0)</f>
        <v/>
      </c>
    </row>
    <row r="125">
      <c r="A125">
        <f>Raw_Data!A125</f>
        <v/>
      </c>
      <c r="B125" s="11">
        <f>Raw_Data!B125</f>
        <v/>
      </c>
      <c r="C125">
        <f>Raw_Data!C125</f>
        <v/>
      </c>
      <c r="D125">
        <f>Raw_Data!D125</f>
        <v/>
      </c>
      <c r="E125">
        <f>Raw_Data!E125</f>
        <v/>
      </c>
      <c r="F125">
        <f>Raw_Data!F125</f>
        <v/>
      </c>
      <c r="G125">
        <f>Raw_Data!G125</f>
        <v/>
      </c>
      <c r="H125">
        <f>Raw_Data!H125</f>
        <v/>
      </c>
      <c r="I125">
        <f>Raw_Data!I125</f>
        <v/>
      </c>
      <c r="J125" s="12">
        <f>Raw_Data!J125</f>
        <v/>
      </c>
      <c r="K125" s="13">
        <f>Raw_Data!K125</f>
        <v/>
      </c>
      <c r="L125" s="12">
        <f>Raw_Data!L125</f>
        <v/>
      </c>
      <c r="M125" s="12">
        <f>Raw_Data!M125</f>
        <v/>
      </c>
      <c r="N125" s="12">
        <f>Raw_Data!N125</f>
        <v/>
      </c>
      <c r="O125">
        <f>Raw_Data!O125</f>
        <v/>
      </c>
      <c r="P125">
        <f>Raw_Data!P125</f>
        <v/>
      </c>
      <c r="Q125">
        <f>YEAR(B125)</f>
        <v/>
      </c>
      <c r="R125">
        <f>TEXT(B125,"mmm")</f>
        <v/>
      </c>
      <c r="S125" s="15">
        <f>IFERROR(N125/L125,0)</f>
        <v/>
      </c>
    </row>
    <row r="126">
      <c r="A126">
        <f>Raw_Data!A126</f>
        <v/>
      </c>
      <c r="B126" s="11">
        <f>Raw_Data!B126</f>
        <v/>
      </c>
      <c r="C126">
        <f>Raw_Data!C126</f>
        <v/>
      </c>
      <c r="D126">
        <f>Raw_Data!D126</f>
        <v/>
      </c>
      <c r="E126">
        <f>Raw_Data!E126</f>
        <v/>
      </c>
      <c r="F126">
        <f>Raw_Data!F126</f>
        <v/>
      </c>
      <c r="G126">
        <f>Raw_Data!G126</f>
        <v/>
      </c>
      <c r="H126">
        <f>Raw_Data!H126</f>
        <v/>
      </c>
      <c r="I126">
        <f>Raw_Data!I126</f>
        <v/>
      </c>
      <c r="J126" s="12">
        <f>Raw_Data!J126</f>
        <v/>
      </c>
      <c r="K126" s="13">
        <f>Raw_Data!K126</f>
        <v/>
      </c>
      <c r="L126" s="12">
        <f>Raw_Data!L126</f>
        <v/>
      </c>
      <c r="M126" s="12">
        <f>Raw_Data!M126</f>
        <v/>
      </c>
      <c r="N126" s="12">
        <f>Raw_Data!N126</f>
        <v/>
      </c>
      <c r="O126">
        <f>Raw_Data!O126</f>
        <v/>
      </c>
      <c r="P126">
        <f>Raw_Data!P126</f>
        <v/>
      </c>
      <c r="Q126">
        <f>YEAR(B126)</f>
        <v/>
      </c>
      <c r="R126">
        <f>TEXT(B126,"mmm")</f>
        <v/>
      </c>
      <c r="S126" s="15">
        <f>IFERROR(N126/L126,0)</f>
        <v/>
      </c>
    </row>
    <row r="127">
      <c r="A127">
        <f>Raw_Data!A127</f>
        <v/>
      </c>
      <c r="B127" s="11">
        <f>Raw_Data!B127</f>
        <v/>
      </c>
      <c r="C127">
        <f>Raw_Data!C127</f>
        <v/>
      </c>
      <c r="D127">
        <f>Raw_Data!D127</f>
        <v/>
      </c>
      <c r="E127">
        <f>Raw_Data!E127</f>
        <v/>
      </c>
      <c r="F127">
        <f>Raw_Data!F127</f>
        <v/>
      </c>
      <c r="G127">
        <f>Raw_Data!G127</f>
        <v/>
      </c>
      <c r="H127">
        <f>Raw_Data!H127</f>
        <v/>
      </c>
      <c r="I127">
        <f>Raw_Data!I127</f>
        <v/>
      </c>
      <c r="J127" s="12">
        <f>Raw_Data!J127</f>
        <v/>
      </c>
      <c r="K127" s="13">
        <f>Raw_Data!K127</f>
        <v/>
      </c>
      <c r="L127" s="12">
        <f>Raw_Data!L127</f>
        <v/>
      </c>
      <c r="M127" s="12">
        <f>Raw_Data!M127</f>
        <v/>
      </c>
      <c r="N127" s="12">
        <f>Raw_Data!N127</f>
        <v/>
      </c>
      <c r="O127">
        <f>Raw_Data!O127</f>
        <v/>
      </c>
      <c r="P127">
        <f>Raw_Data!P127</f>
        <v/>
      </c>
      <c r="Q127">
        <f>YEAR(B127)</f>
        <v/>
      </c>
      <c r="R127">
        <f>TEXT(B127,"mmm")</f>
        <v/>
      </c>
      <c r="S127" s="15">
        <f>IFERROR(N127/L127,0)</f>
        <v/>
      </c>
    </row>
    <row r="128">
      <c r="A128">
        <f>Raw_Data!A128</f>
        <v/>
      </c>
      <c r="B128" s="11">
        <f>Raw_Data!B128</f>
        <v/>
      </c>
      <c r="C128">
        <f>Raw_Data!C128</f>
        <v/>
      </c>
      <c r="D128">
        <f>Raw_Data!D128</f>
        <v/>
      </c>
      <c r="E128">
        <f>Raw_Data!E128</f>
        <v/>
      </c>
      <c r="F128">
        <f>Raw_Data!F128</f>
        <v/>
      </c>
      <c r="G128">
        <f>Raw_Data!G128</f>
        <v/>
      </c>
      <c r="H128">
        <f>Raw_Data!H128</f>
        <v/>
      </c>
      <c r="I128">
        <f>Raw_Data!I128</f>
        <v/>
      </c>
      <c r="J128" s="12">
        <f>Raw_Data!J128</f>
        <v/>
      </c>
      <c r="K128" s="13">
        <f>Raw_Data!K128</f>
        <v/>
      </c>
      <c r="L128" s="12">
        <f>Raw_Data!L128</f>
        <v/>
      </c>
      <c r="M128" s="12">
        <f>Raw_Data!M128</f>
        <v/>
      </c>
      <c r="N128" s="12">
        <f>Raw_Data!N128</f>
        <v/>
      </c>
      <c r="O128">
        <f>Raw_Data!O128</f>
        <v/>
      </c>
      <c r="P128">
        <f>Raw_Data!P128</f>
        <v/>
      </c>
      <c r="Q128">
        <f>YEAR(B128)</f>
        <v/>
      </c>
      <c r="R128">
        <f>TEXT(B128,"mmm")</f>
        <v/>
      </c>
      <c r="S128" s="15">
        <f>IFERROR(N128/L128,0)</f>
        <v/>
      </c>
    </row>
    <row r="129">
      <c r="A129">
        <f>Raw_Data!A129</f>
        <v/>
      </c>
      <c r="B129" s="11">
        <f>Raw_Data!B129</f>
        <v/>
      </c>
      <c r="C129">
        <f>Raw_Data!C129</f>
        <v/>
      </c>
      <c r="D129">
        <f>Raw_Data!D129</f>
        <v/>
      </c>
      <c r="E129">
        <f>Raw_Data!E129</f>
        <v/>
      </c>
      <c r="F129">
        <f>Raw_Data!F129</f>
        <v/>
      </c>
      <c r="G129">
        <f>Raw_Data!G129</f>
        <v/>
      </c>
      <c r="H129">
        <f>Raw_Data!H129</f>
        <v/>
      </c>
      <c r="I129">
        <f>Raw_Data!I129</f>
        <v/>
      </c>
      <c r="J129" s="12">
        <f>Raw_Data!J129</f>
        <v/>
      </c>
      <c r="K129" s="13">
        <f>Raw_Data!K129</f>
        <v/>
      </c>
      <c r="L129" s="12">
        <f>Raw_Data!L129</f>
        <v/>
      </c>
      <c r="M129" s="12">
        <f>Raw_Data!M129</f>
        <v/>
      </c>
      <c r="N129" s="12">
        <f>Raw_Data!N129</f>
        <v/>
      </c>
      <c r="O129">
        <f>Raw_Data!O129</f>
        <v/>
      </c>
      <c r="P129">
        <f>Raw_Data!P129</f>
        <v/>
      </c>
      <c r="Q129">
        <f>YEAR(B129)</f>
        <v/>
      </c>
      <c r="R129">
        <f>TEXT(B129,"mmm")</f>
        <v/>
      </c>
      <c r="S129" s="15">
        <f>IFERROR(N129/L129,0)</f>
        <v/>
      </c>
    </row>
    <row r="130">
      <c r="A130">
        <f>Raw_Data!A130</f>
        <v/>
      </c>
      <c r="B130" s="11">
        <f>Raw_Data!B130</f>
        <v/>
      </c>
      <c r="C130">
        <f>Raw_Data!C130</f>
        <v/>
      </c>
      <c r="D130">
        <f>Raw_Data!D130</f>
        <v/>
      </c>
      <c r="E130">
        <f>Raw_Data!E130</f>
        <v/>
      </c>
      <c r="F130">
        <f>Raw_Data!F130</f>
        <v/>
      </c>
      <c r="G130">
        <f>Raw_Data!G130</f>
        <v/>
      </c>
      <c r="H130">
        <f>Raw_Data!H130</f>
        <v/>
      </c>
      <c r="I130">
        <f>Raw_Data!I130</f>
        <v/>
      </c>
      <c r="J130" s="12">
        <f>Raw_Data!J130</f>
        <v/>
      </c>
      <c r="K130" s="13">
        <f>Raw_Data!K130</f>
        <v/>
      </c>
      <c r="L130" s="12">
        <f>Raw_Data!L130</f>
        <v/>
      </c>
      <c r="M130" s="12">
        <f>Raw_Data!M130</f>
        <v/>
      </c>
      <c r="N130" s="12">
        <f>Raw_Data!N130</f>
        <v/>
      </c>
      <c r="O130">
        <f>Raw_Data!O130</f>
        <v/>
      </c>
      <c r="P130">
        <f>Raw_Data!P130</f>
        <v/>
      </c>
      <c r="Q130">
        <f>YEAR(B130)</f>
        <v/>
      </c>
      <c r="R130">
        <f>TEXT(B130,"mmm")</f>
        <v/>
      </c>
      <c r="S130" s="15">
        <f>IFERROR(N130/L130,0)</f>
        <v/>
      </c>
    </row>
    <row r="131">
      <c r="A131">
        <f>Raw_Data!A131</f>
        <v/>
      </c>
      <c r="B131" s="11">
        <f>Raw_Data!B131</f>
        <v/>
      </c>
      <c r="C131">
        <f>Raw_Data!C131</f>
        <v/>
      </c>
      <c r="D131">
        <f>Raw_Data!D131</f>
        <v/>
      </c>
      <c r="E131">
        <f>Raw_Data!E131</f>
        <v/>
      </c>
      <c r="F131">
        <f>Raw_Data!F131</f>
        <v/>
      </c>
      <c r="G131">
        <f>Raw_Data!G131</f>
        <v/>
      </c>
      <c r="H131">
        <f>Raw_Data!H131</f>
        <v/>
      </c>
      <c r="I131">
        <f>Raw_Data!I131</f>
        <v/>
      </c>
      <c r="J131" s="12">
        <f>Raw_Data!J131</f>
        <v/>
      </c>
      <c r="K131" s="13">
        <f>Raw_Data!K131</f>
        <v/>
      </c>
      <c r="L131" s="12">
        <f>Raw_Data!L131</f>
        <v/>
      </c>
      <c r="M131" s="12">
        <f>Raw_Data!M131</f>
        <v/>
      </c>
      <c r="N131" s="12">
        <f>Raw_Data!N131</f>
        <v/>
      </c>
      <c r="O131">
        <f>Raw_Data!O131</f>
        <v/>
      </c>
      <c r="P131">
        <f>Raw_Data!P131</f>
        <v/>
      </c>
      <c r="Q131">
        <f>YEAR(B131)</f>
        <v/>
      </c>
      <c r="R131">
        <f>TEXT(B131,"mmm")</f>
        <v/>
      </c>
      <c r="S131" s="15">
        <f>IFERROR(N131/L131,0)</f>
        <v/>
      </c>
    </row>
    <row r="132">
      <c r="A132">
        <f>Raw_Data!A132</f>
        <v/>
      </c>
      <c r="B132" s="11">
        <f>Raw_Data!B132</f>
        <v/>
      </c>
      <c r="C132">
        <f>Raw_Data!C132</f>
        <v/>
      </c>
      <c r="D132">
        <f>Raw_Data!D132</f>
        <v/>
      </c>
      <c r="E132">
        <f>Raw_Data!E132</f>
        <v/>
      </c>
      <c r="F132">
        <f>Raw_Data!F132</f>
        <v/>
      </c>
      <c r="G132">
        <f>Raw_Data!G132</f>
        <v/>
      </c>
      <c r="H132">
        <f>Raw_Data!H132</f>
        <v/>
      </c>
      <c r="I132">
        <f>Raw_Data!I132</f>
        <v/>
      </c>
      <c r="J132" s="12">
        <f>Raw_Data!J132</f>
        <v/>
      </c>
      <c r="K132" s="13">
        <f>Raw_Data!K132</f>
        <v/>
      </c>
      <c r="L132" s="12">
        <f>Raw_Data!L132</f>
        <v/>
      </c>
      <c r="M132" s="12">
        <f>Raw_Data!M132</f>
        <v/>
      </c>
      <c r="N132" s="12">
        <f>Raw_Data!N132</f>
        <v/>
      </c>
      <c r="O132">
        <f>Raw_Data!O132</f>
        <v/>
      </c>
      <c r="P132">
        <f>Raw_Data!P132</f>
        <v/>
      </c>
      <c r="Q132">
        <f>YEAR(B132)</f>
        <v/>
      </c>
      <c r="R132">
        <f>TEXT(B132,"mmm")</f>
        <v/>
      </c>
      <c r="S132" s="15">
        <f>IFERROR(N132/L132,0)</f>
        <v/>
      </c>
    </row>
    <row r="133">
      <c r="A133">
        <f>Raw_Data!A133</f>
        <v/>
      </c>
      <c r="B133" s="11">
        <f>Raw_Data!B133</f>
        <v/>
      </c>
      <c r="C133">
        <f>Raw_Data!C133</f>
        <v/>
      </c>
      <c r="D133">
        <f>Raw_Data!D133</f>
        <v/>
      </c>
      <c r="E133">
        <f>Raw_Data!E133</f>
        <v/>
      </c>
      <c r="F133">
        <f>Raw_Data!F133</f>
        <v/>
      </c>
      <c r="G133">
        <f>Raw_Data!G133</f>
        <v/>
      </c>
      <c r="H133">
        <f>Raw_Data!H133</f>
        <v/>
      </c>
      <c r="I133">
        <f>Raw_Data!I133</f>
        <v/>
      </c>
      <c r="J133" s="12">
        <f>Raw_Data!J133</f>
        <v/>
      </c>
      <c r="K133" s="13">
        <f>Raw_Data!K133</f>
        <v/>
      </c>
      <c r="L133" s="12">
        <f>Raw_Data!L133</f>
        <v/>
      </c>
      <c r="M133" s="12">
        <f>Raw_Data!M133</f>
        <v/>
      </c>
      <c r="N133" s="12">
        <f>Raw_Data!N133</f>
        <v/>
      </c>
      <c r="O133">
        <f>Raw_Data!O133</f>
        <v/>
      </c>
      <c r="P133">
        <f>Raw_Data!P133</f>
        <v/>
      </c>
      <c r="Q133">
        <f>YEAR(B133)</f>
        <v/>
      </c>
      <c r="R133">
        <f>TEXT(B133,"mmm")</f>
        <v/>
      </c>
      <c r="S133" s="15">
        <f>IFERROR(N133/L133,0)</f>
        <v/>
      </c>
    </row>
    <row r="134">
      <c r="A134">
        <f>Raw_Data!A134</f>
        <v/>
      </c>
      <c r="B134" s="11">
        <f>Raw_Data!B134</f>
        <v/>
      </c>
      <c r="C134">
        <f>Raw_Data!C134</f>
        <v/>
      </c>
      <c r="D134">
        <f>Raw_Data!D134</f>
        <v/>
      </c>
      <c r="E134">
        <f>Raw_Data!E134</f>
        <v/>
      </c>
      <c r="F134">
        <f>Raw_Data!F134</f>
        <v/>
      </c>
      <c r="G134">
        <f>Raw_Data!G134</f>
        <v/>
      </c>
      <c r="H134">
        <f>Raw_Data!H134</f>
        <v/>
      </c>
      <c r="I134">
        <f>Raw_Data!I134</f>
        <v/>
      </c>
      <c r="J134" s="12">
        <f>Raw_Data!J134</f>
        <v/>
      </c>
      <c r="K134" s="13">
        <f>Raw_Data!K134</f>
        <v/>
      </c>
      <c r="L134" s="12">
        <f>Raw_Data!L134</f>
        <v/>
      </c>
      <c r="M134" s="12">
        <f>Raw_Data!M134</f>
        <v/>
      </c>
      <c r="N134" s="12">
        <f>Raw_Data!N134</f>
        <v/>
      </c>
      <c r="O134">
        <f>Raw_Data!O134</f>
        <v/>
      </c>
      <c r="P134">
        <f>Raw_Data!P134</f>
        <v/>
      </c>
      <c r="Q134">
        <f>YEAR(B134)</f>
        <v/>
      </c>
      <c r="R134">
        <f>TEXT(B134,"mmm")</f>
        <v/>
      </c>
      <c r="S134" s="15">
        <f>IFERROR(N134/L134,0)</f>
        <v/>
      </c>
    </row>
    <row r="135">
      <c r="A135">
        <f>Raw_Data!A135</f>
        <v/>
      </c>
      <c r="B135" s="11">
        <f>Raw_Data!B135</f>
        <v/>
      </c>
      <c r="C135">
        <f>Raw_Data!C135</f>
        <v/>
      </c>
      <c r="D135">
        <f>Raw_Data!D135</f>
        <v/>
      </c>
      <c r="E135">
        <f>Raw_Data!E135</f>
        <v/>
      </c>
      <c r="F135">
        <f>Raw_Data!F135</f>
        <v/>
      </c>
      <c r="G135">
        <f>Raw_Data!G135</f>
        <v/>
      </c>
      <c r="H135">
        <f>Raw_Data!H135</f>
        <v/>
      </c>
      <c r="I135">
        <f>Raw_Data!I135</f>
        <v/>
      </c>
      <c r="J135" s="12">
        <f>Raw_Data!J135</f>
        <v/>
      </c>
      <c r="K135" s="13">
        <f>Raw_Data!K135</f>
        <v/>
      </c>
      <c r="L135" s="12">
        <f>Raw_Data!L135</f>
        <v/>
      </c>
      <c r="M135" s="12">
        <f>Raw_Data!M135</f>
        <v/>
      </c>
      <c r="N135" s="12">
        <f>Raw_Data!N135</f>
        <v/>
      </c>
      <c r="O135">
        <f>Raw_Data!O135</f>
        <v/>
      </c>
      <c r="P135">
        <f>Raw_Data!P135</f>
        <v/>
      </c>
      <c r="Q135">
        <f>YEAR(B135)</f>
        <v/>
      </c>
      <c r="R135">
        <f>TEXT(B135,"mmm")</f>
        <v/>
      </c>
      <c r="S135" s="15">
        <f>IFERROR(N135/L135,0)</f>
        <v/>
      </c>
    </row>
    <row r="136">
      <c r="A136">
        <f>Raw_Data!A136</f>
        <v/>
      </c>
      <c r="B136" s="11">
        <f>Raw_Data!B136</f>
        <v/>
      </c>
      <c r="C136">
        <f>Raw_Data!C136</f>
        <v/>
      </c>
      <c r="D136">
        <f>Raw_Data!D136</f>
        <v/>
      </c>
      <c r="E136">
        <f>Raw_Data!E136</f>
        <v/>
      </c>
      <c r="F136">
        <f>Raw_Data!F136</f>
        <v/>
      </c>
      <c r="G136">
        <f>Raw_Data!G136</f>
        <v/>
      </c>
      <c r="H136">
        <f>Raw_Data!H136</f>
        <v/>
      </c>
      <c r="I136">
        <f>Raw_Data!I136</f>
        <v/>
      </c>
      <c r="J136" s="12">
        <f>Raw_Data!J136</f>
        <v/>
      </c>
      <c r="K136" s="13">
        <f>Raw_Data!K136</f>
        <v/>
      </c>
      <c r="L136" s="12">
        <f>Raw_Data!L136</f>
        <v/>
      </c>
      <c r="M136" s="12">
        <f>Raw_Data!M136</f>
        <v/>
      </c>
      <c r="N136" s="12">
        <f>Raw_Data!N136</f>
        <v/>
      </c>
      <c r="O136">
        <f>Raw_Data!O136</f>
        <v/>
      </c>
      <c r="P136">
        <f>Raw_Data!P136</f>
        <v/>
      </c>
      <c r="Q136">
        <f>YEAR(B136)</f>
        <v/>
      </c>
      <c r="R136">
        <f>TEXT(B136,"mmm")</f>
        <v/>
      </c>
      <c r="S136" s="15">
        <f>IFERROR(N136/L136,0)</f>
        <v/>
      </c>
    </row>
    <row r="137">
      <c r="A137">
        <f>Raw_Data!A137</f>
        <v/>
      </c>
      <c r="B137" s="11">
        <f>Raw_Data!B137</f>
        <v/>
      </c>
      <c r="C137">
        <f>Raw_Data!C137</f>
        <v/>
      </c>
      <c r="D137">
        <f>Raw_Data!D137</f>
        <v/>
      </c>
      <c r="E137">
        <f>Raw_Data!E137</f>
        <v/>
      </c>
      <c r="F137">
        <f>Raw_Data!F137</f>
        <v/>
      </c>
      <c r="G137">
        <f>Raw_Data!G137</f>
        <v/>
      </c>
      <c r="H137">
        <f>Raw_Data!H137</f>
        <v/>
      </c>
      <c r="I137">
        <f>Raw_Data!I137</f>
        <v/>
      </c>
      <c r="J137" s="12">
        <f>Raw_Data!J137</f>
        <v/>
      </c>
      <c r="K137" s="13">
        <f>Raw_Data!K137</f>
        <v/>
      </c>
      <c r="L137" s="12">
        <f>Raw_Data!L137</f>
        <v/>
      </c>
      <c r="M137" s="12">
        <f>Raw_Data!M137</f>
        <v/>
      </c>
      <c r="N137" s="12">
        <f>Raw_Data!N137</f>
        <v/>
      </c>
      <c r="O137">
        <f>Raw_Data!O137</f>
        <v/>
      </c>
      <c r="P137">
        <f>Raw_Data!P137</f>
        <v/>
      </c>
      <c r="Q137">
        <f>YEAR(B137)</f>
        <v/>
      </c>
      <c r="R137">
        <f>TEXT(B137,"mmm")</f>
        <v/>
      </c>
      <c r="S137" s="15">
        <f>IFERROR(N137/L137,0)</f>
        <v/>
      </c>
    </row>
    <row r="138">
      <c r="A138">
        <f>Raw_Data!A138</f>
        <v/>
      </c>
      <c r="B138" s="11">
        <f>Raw_Data!B138</f>
        <v/>
      </c>
      <c r="C138">
        <f>Raw_Data!C138</f>
        <v/>
      </c>
      <c r="D138">
        <f>Raw_Data!D138</f>
        <v/>
      </c>
      <c r="E138">
        <f>Raw_Data!E138</f>
        <v/>
      </c>
      <c r="F138">
        <f>Raw_Data!F138</f>
        <v/>
      </c>
      <c r="G138">
        <f>Raw_Data!G138</f>
        <v/>
      </c>
      <c r="H138">
        <f>Raw_Data!H138</f>
        <v/>
      </c>
      <c r="I138">
        <f>Raw_Data!I138</f>
        <v/>
      </c>
      <c r="J138" s="12">
        <f>Raw_Data!J138</f>
        <v/>
      </c>
      <c r="K138" s="13">
        <f>Raw_Data!K138</f>
        <v/>
      </c>
      <c r="L138" s="12">
        <f>Raw_Data!L138</f>
        <v/>
      </c>
      <c r="M138" s="12">
        <f>Raw_Data!M138</f>
        <v/>
      </c>
      <c r="N138" s="12">
        <f>Raw_Data!N138</f>
        <v/>
      </c>
      <c r="O138">
        <f>Raw_Data!O138</f>
        <v/>
      </c>
      <c r="P138">
        <f>Raw_Data!P138</f>
        <v/>
      </c>
      <c r="Q138">
        <f>YEAR(B138)</f>
        <v/>
      </c>
      <c r="R138">
        <f>TEXT(B138,"mmm")</f>
        <v/>
      </c>
      <c r="S138" s="15">
        <f>IFERROR(N138/L138,0)</f>
        <v/>
      </c>
    </row>
    <row r="139">
      <c r="A139">
        <f>Raw_Data!A139</f>
        <v/>
      </c>
      <c r="B139" s="11">
        <f>Raw_Data!B139</f>
        <v/>
      </c>
      <c r="C139">
        <f>Raw_Data!C139</f>
        <v/>
      </c>
      <c r="D139">
        <f>Raw_Data!D139</f>
        <v/>
      </c>
      <c r="E139">
        <f>Raw_Data!E139</f>
        <v/>
      </c>
      <c r="F139">
        <f>Raw_Data!F139</f>
        <v/>
      </c>
      <c r="G139">
        <f>Raw_Data!G139</f>
        <v/>
      </c>
      <c r="H139">
        <f>Raw_Data!H139</f>
        <v/>
      </c>
      <c r="I139">
        <f>Raw_Data!I139</f>
        <v/>
      </c>
      <c r="J139" s="12">
        <f>Raw_Data!J139</f>
        <v/>
      </c>
      <c r="K139" s="13">
        <f>Raw_Data!K139</f>
        <v/>
      </c>
      <c r="L139" s="12">
        <f>Raw_Data!L139</f>
        <v/>
      </c>
      <c r="M139" s="12">
        <f>Raw_Data!M139</f>
        <v/>
      </c>
      <c r="N139" s="12">
        <f>Raw_Data!N139</f>
        <v/>
      </c>
      <c r="O139">
        <f>Raw_Data!O139</f>
        <v/>
      </c>
      <c r="P139">
        <f>Raw_Data!P139</f>
        <v/>
      </c>
      <c r="Q139">
        <f>YEAR(B139)</f>
        <v/>
      </c>
      <c r="R139">
        <f>TEXT(B139,"mmm")</f>
        <v/>
      </c>
      <c r="S139" s="15">
        <f>IFERROR(N139/L139,0)</f>
        <v/>
      </c>
    </row>
    <row r="140">
      <c r="A140">
        <f>Raw_Data!A140</f>
        <v/>
      </c>
      <c r="B140" s="11">
        <f>Raw_Data!B140</f>
        <v/>
      </c>
      <c r="C140">
        <f>Raw_Data!C140</f>
        <v/>
      </c>
      <c r="D140">
        <f>Raw_Data!D140</f>
        <v/>
      </c>
      <c r="E140">
        <f>Raw_Data!E140</f>
        <v/>
      </c>
      <c r="F140">
        <f>Raw_Data!F140</f>
        <v/>
      </c>
      <c r="G140">
        <f>Raw_Data!G140</f>
        <v/>
      </c>
      <c r="H140">
        <f>Raw_Data!H140</f>
        <v/>
      </c>
      <c r="I140">
        <f>Raw_Data!I140</f>
        <v/>
      </c>
      <c r="J140" s="12">
        <f>Raw_Data!J140</f>
        <v/>
      </c>
      <c r="K140" s="13">
        <f>Raw_Data!K140</f>
        <v/>
      </c>
      <c r="L140" s="12">
        <f>Raw_Data!L140</f>
        <v/>
      </c>
      <c r="M140" s="12">
        <f>Raw_Data!M140</f>
        <v/>
      </c>
      <c r="N140" s="12">
        <f>Raw_Data!N140</f>
        <v/>
      </c>
      <c r="O140">
        <f>Raw_Data!O140</f>
        <v/>
      </c>
      <c r="P140">
        <f>Raw_Data!P140</f>
        <v/>
      </c>
      <c r="Q140">
        <f>YEAR(B140)</f>
        <v/>
      </c>
      <c r="R140">
        <f>TEXT(B140,"mmm")</f>
        <v/>
      </c>
      <c r="S140" s="15">
        <f>IFERROR(N140/L140,0)</f>
        <v/>
      </c>
    </row>
    <row r="141">
      <c r="A141">
        <f>Raw_Data!A141</f>
        <v/>
      </c>
      <c r="B141" s="11">
        <f>Raw_Data!B141</f>
        <v/>
      </c>
      <c r="C141">
        <f>Raw_Data!C141</f>
        <v/>
      </c>
      <c r="D141">
        <f>Raw_Data!D141</f>
        <v/>
      </c>
      <c r="E141">
        <f>Raw_Data!E141</f>
        <v/>
      </c>
      <c r="F141">
        <f>Raw_Data!F141</f>
        <v/>
      </c>
      <c r="G141">
        <f>Raw_Data!G141</f>
        <v/>
      </c>
      <c r="H141">
        <f>Raw_Data!H141</f>
        <v/>
      </c>
      <c r="I141">
        <f>Raw_Data!I141</f>
        <v/>
      </c>
      <c r="J141" s="12">
        <f>Raw_Data!J141</f>
        <v/>
      </c>
      <c r="K141" s="13">
        <f>Raw_Data!K141</f>
        <v/>
      </c>
      <c r="L141" s="12">
        <f>Raw_Data!L141</f>
        <v/>
      </c>
      <c r="M141" s="12">
        <f>Raw_Data!M141</f>
        <v/>
      </c>
      <c r="N141" s="12">
        <f>Raw_Data!N141</f>
        <v/>
      </c>
      <c r="O141">
        <f>Raw_Data!O141</f>
        <v/>
      </c>
      <c r="P141">
        <f>Raw_Data!P141</f>
        <v/>
      </c>
      <c r="Q141">
        <f>YEAR(B141)</f>
        <v/>
      </c>
      <c r="R141">
        <f>TEXT(B141,"mmm")</f>
        <v/>
      </c>
      <c r="S141" s="15">
        <f>IFERROR(N141/L141,0)</f>
        <v/>
      </c>
    </row>
    <row r="142">
      <c r="A142">
        <f>Raw_Data!A142</f>
        <v/>
      </c>
      <c r="B142" s="11">
        <f>Raw_Data!B142</f>
        <v/>
      </c>
      <c r="C142">
        <f>Raw_Data!C142</f>
        <v/>
      </c>
      <c r="D142">
        <f>Raw_Data!D142</f>
        <v/>
      </c>
      <c r="E142">
        <f>Raw_Data!E142</f>
        <v/>
      </c>
      <c r="F142">
        <f>Raw_Data!F142</f>
        <v/>
      </c>
      <c r="G142">
        <f>Raw_Data!G142</f>
        <v/>
      </c>
      <c r="H142">
        <f>Raw_Data!H142</f>
        <v/>
      </c>
      <c r="I142">
        <f>Raw_Data!I142</f>
        <v/>
      </c>
      <c r="J142" s="12">
        <f>Raw_Data!J142</f>
        <v/>
      </c>
      <c r="K142" s="13">
        <f>Raw_Data!K142</f>
        <v/>
      </c>
      <c r="L142" s="12">
        <f>Raw_Data!L142</f>
        <v/>
      </c>
      <c r="M142" s="12">
        <f>Raw_Data!M142</f>
        <v/>
      </c>
      <c r="N142" s="12">
        <f>Raw_Data!N142</f>
        <v/>
      </c>
      <c r="O142">
        <f>Raw_Data!O142</f>
        <v/>
      </c>
      <c r="P142">
        <f>Raw_Data!P142</f>
        <v/>
      </c>
      <c r="Q142">
        <f>YEAR(B142)</f>
        <v/>
      </c>
      <c r="R142">
        <f>TEXT(B142,"mmm")</f>
        <v/>
      </c>
      <c r="S142" s="15">
        <f>IFERROR(N142/L142,0)</f>
        <v/>
      </c>
    </row>
    <row r="143">
      <c r="A143">
        <f>Raw_Data!A143</f>
        <v/>
      </c>
      <c r="B143" s="11">
        <f>Raw_Data!B143</f>
        <v/>
      </c>
      <c r="C143">
        <f>Raw_Data!C143</f>
        <v/>
      </c>
      <c r="D143">
        <f>Raw_Data!D143</f>
        <v/>
      </c>
      <c r="E143">
        <f>Raw_Data!E143</f>
        <v/>
      </c>
      <c r="F143">
        <f>Raw_Data!F143</f>
        <v/>
      </c>
      <c r="G143">
        <f>Raw_Data!G143</f>
        <v/>
      </c>
      <c r="H143">
        <f>Raw_Data!H143</f>
        <v/>
      </c>
      <c r="I143">
        <f>Raw_Data!I143</f>
        <v/>
      </c>
      <c r="J143" s="12">
        <f>Raw_Data!J143</f>
        <v/>
      </c>
      <c r="K143" s="13">
        <f>Raw_Data!K143</f>
        <v/>
      </c>
      <c r="L143" s="12">
        <f>Raw_Data!L143</f>
        <v/>
      </c>
      <c r="M143" s="12">
        <f>Raw_Data!M143</f>
        <v/>
      </c>
      <c r="N143" s="12">
        <f>Raw_Data!N143</f>
        <v/>
      </c>
      <c r="O143">
        <f>Raw_Data!O143</f>
        <v/>
      </c>
      <c r="P143">
        <f>Raw_Data!P143</f>
        <v/>
      </c>
      <c r="Q143">
        <f>YEAR(B143)</f>
        <v/>
      </c>
      <c r="R143">
        <f>TEXT(B143,"mmm")</f>
        <v/>
      </c>
      <c r="S143" s="15">
        <f>IFERROR(N143/L143,0)</f>
        <v/>
      </c>
    </row>
    <row r="144">
      <c r="A144">
        <f>Raw_Data!A144</f>
        <v/>
      </c>
      <c r="B144" s="11">
        <f>Raw_Data!B144</f>
        <v/>
      </c>
      <c r="C144">
        <f>Raw_Data!C144</f>
        <v/>
      </c>
      <c r="D144">
        <f>Raw_Data!D144</f>
        <v/>
      </c>
      <c r="E144">
        <f>Raw_Data!E144</f>
        <v/>
      </c>
      <c r="F144">
        <f>Raw_Data!F144</f>
        <v/>
      </c>
      <c r="G144">
        <f>Raw_Data!G144</f>
        <v/>
      </c>
      <c r="H144">
        <f>Raw_Data!H144</f>
        <v/>
      </c>
      <c r="I144">
        <f>Raw_Data!I144</f>
        <v/>
      </c>
      <c r="J144" s="12">
        <f>Raw_Data!J144</f>
        <v/>
      </c>
      <c r="K144" s="13">
        <f>Raw_Data!K144</f>
        <v/>
      </c>
      <c r="L144" s="12">
        <f>Raw_Data!L144</f>
        <v/>
      </c>
      <c r="M144" s="12">
        <f>Raw_Data!M144</f>
        <v/>
      </c>
      <c r="N144" s="12">
        <f>Raw_Data!N144</f>
        <v/>
      </c>
      <c r="O144">
        <f>Raw_Data!O144</f>
        <v/>
      </c>
      <c r="P144">
        <f>Raw_Data!P144</f>
        <v/>
      </c>
      <c r="Q144">
        <f>YEAR(B144)</f>
        <v/>
      </c>
      <c r="R144">
        <f>TEXT(B144,"mmm")</f>
        <v/>
      </c>
      <c r="S144" s="15">
        <f>IFERROR(N144/L144,0)</f>
        <v/>
      </c>
    </row>
    <row r="145">
      <c r="A145">
        <f>Raw_Data!A145</f>
        <v/>
      </c>
      <c r="B145" s="11">
        <f>Raw_Data!B145</f>
        <v/>
      </c>
      <c r="C145">
        <f>Raw_Data!C145</f>
        <v/>
      </c>
      <c r="D145">
        <f>Raw_Data!D145</f>
        <v/>
      </c>
      <c r="E145">
        <f>Raw_Data!E145</f>
        <v/>
      </c>
      <c r="F145">
        <f>Raw_Data!F145</f>
        <v/>
      </c>
      <c r="G145">
        <f>Raw_Data!G145</f>
        <v/>
      </c>
      <c r="H145">
        <f>Raw_Data!H145</f>
        <v/>
      </c>
      <c r="I145">
        <f>Raw_Data!I145</f>
        <v/>
      </c>
      <c r="J145" s="12">
        <f>Raw_Data!J145</f>
        <v/>
      </c>
      <c r="K145" s="13">
        <f>Raw_Data!K145</f>
        <v/>
      </c>
      <c r="L145" s="12">
        <f>Raw_Data!L145</f>
        <v/>
      </c>
      <c r="M145" s="12">
        <f>Raw_Data!M145</f>
        <v/>
      </c>
      <c r="N145" s="12">
        <f>Raw_Data!N145</f>
        <v/>
      </c>
      <c r="O145">
        <f>Raw_Data!O145</f>
        <v/>
      </c>
      <c r="P145">
        <f>Raw_Data!P145</f>
        <v/>
      </c>
      <c r="Q145">
        <f>YEAR(B145)</f>
        <v/>
      </c>
      <c r="R145">
        <f>TEXT(B145,"mmm")</f>
        <v/>
      </c>
      <c r="S145" s="15">
        <f>IFERROR(N145/L145,0)</f>
        <v/>
      </c>
    </row>
    <row r="146">
      <c r="A146">
        <f>Raw_Data!A146</f>
        <v/>
      </c>
      <c r="B146" s="11">
        <f>Raw_Data!B146</f>
        <v/>
      </c>
      <c r="C146">
        <f>Raw_Data!C146</f>
        <v/>
      </c>
      <c r="D146">
        <f>Raw_Data!D146</f>
        <v/>
      </c>
      <c r="E146">
        <f>Raw_Data!E146</f>
        <v/>
      </c>
      <c r="F146">
        <f>Raw_Data!F146</f>
        <v/>
      </c>
      <c r="G146">
        <f>Raw_Data!G146</f>
        <v/>
      </c>
      <c r="H146">
        <f>Raw_Data!H146</f>
        <v/>
      </c>
      <c r="I146">
        <f>Raw_Data!I146</f>
        <v/>
      </c>
      <c r="J146" s="12">
        <f>Raw_Data!J146</f>
        <v/>
      </c>
      <c r="K146" s="13">
        <f>Raw_Data!K146</f>
        <v/>
      </c>
      <c r="L146" s="12">
        <f>Raw_Data!L146</f>
        <v/>
      </c>
      <c r="M146" s="12">
        <f>Raw_Data!M146</f>
        <v/>
      </c>
      <c r="N146" s="12">
        <f>Raw_Data!N146</f>
        <v/>
      </c>
      <c r="O146">
        <f>Raw_Data!O146</f>
        <v/>
      </c>
      <c r="P146">
        <f>Raw_Data!P146</f>
        <v/>
      </c>
      <c r="Q146">
        <f>YEAR(B146)</f>
        <v/>
      </c>
      <c r="R146">
        <f>TEXT(B146,"mmm")</f>
        <v/>
      </c>
      <c r="S146" s="15">
        <f>IFERROR(N146/L146,0)</f>
        <v/>
      </c>
    </row>
    <row r="147">
      <c r="A147">
        <f>Raw_Data!A147</f>
        <v/>
      </c>
      <c r="B147" s="11">
        <f>Raw_Data!B147</f>
        <v/>
      </c>
      <c r="C147">
        <f>Raw_Data!C147</f>
        <v/>
      </c>
      <c r="D147">
        <f>Raw_Data!D147</f>
        <v/>
      </c>
      <c r="E147">
        <f>Raw_Data!E147</f>
        <v/>
      </c>
      <c r="F147">
        <f>Raw_Data!F147</f>
        <v/>
      </c>
      <c r="G147">
        <f>Raw_Data!G147</f>
        <v/>
      </c>
      <c r="H147">
        <f>Raw_Data!H147</f>
        <v/>
      </c>
      <c r="I147">
        <f>Raw_Data!I147</f>
        <v/>
      </c>
      <c r="J147" s="12">
        <f>Raw_Data!J147</f>
        <v/>
      </c>
      <c r="K147" s="13">
        <f>Raw_Data!K147</f>
        <v/>
      </c>
      <c r="L147" s="12">
        <f>Raw_Data!L147</f>
        <v/>
      </c>
      <c r="M147" s="12">
        <f>Raw_Data!M147</f>
        <v/>
      </c>
      <c r="N147" s="12">
        <f>Raw_Data!N147</f>
        <v/>
      </c>
      <c r="O147">
        <f>Raw_Data!O147</f>
        <v/>
      </c>
      <c r="P147">
        <f>Raw_Data!P147</f>
        <v/>
      </c>
      <c r="Q147">
        <f>YEAR(B147)</f>
        <v/>
      </c>
      <c r="R147">
        <f>TEXT(B147,"mmm")</f>
        <v/>
      </c>
      <c r="S147" s="15">
        <f>IFERROR(N147/L147,0)</f>
        <v/>
      </c>
    </row>
    <row r="148">
      <c r="A148">
        <f>Raw_Data!A148</f>
        <v/>
      </c>
      <c r="B148" s="11">
        <f>Raw_Data!B148</f>
        <v/>
      </c>
      <c r="C148">
        <f>Raw_Data!C148</f>
        <v/>
      </c>
      <c r="D148">
        <f>Raw_Data!D148</f>
        <v/>
      </c>
      <c r="E148">
        <f>Raw_Data!E148</f>
        <v/>
      </c>
      <c r="F148">
        <f>Raw_Data!F148</f>
        <v/>
      </c>
      <c r="G148">
        <f>Raw_Data!G148</f>
        <v/>
      </c>
      <c r="H148">
        <f>Raw_Data!H148</f>
        <v/>
      </c>
      <c r="I148">
        <f>Raw_Data!I148</f>
        <v/>
      </c>
      <c r="J148" s="12">
        <f>Raw_Data!J148</f>
        <v/>
      </c>
      <c r="K148" s="13">
        <f>Raw_Data!K148</f>
        <v/>
      </c>
      <c r="L148" s="12">
        <f>Raw_Data!L148</f>
        <v/>
      </c>
      <c r="M148" s="12">
        <f>Raw_Data!M148</f>
        <v/>
      </c>
      <c r="N148" s="12">
        <f>Raw_Data!N148</f>
        <v/>
      </c>
      <c r="O148">
        <f>Raw_Data!O148</f>
        <v/>
      </c>
      <c r="P148">
        <f>Raw_Data!P148</f>
        <v/>
      </c>
      <c r="Q148">
        <f>YEAR(B148)</f>
        <v/>
      </c>
      <c r="R148">
        <f>TEXT(B148,"mmm")</f>
        <v/>
      </c>
      <c r="S148" s="15">
        <f>IFERROR(N148/L148,0)</f>
        <v/>
      </c>
    </row>
    <row r="149">
      <c r="A149">
        <f>Raw_Data!A149</f>
        <v/>
      </c>
      <c r="B149" s="11">
        <f>Raw_Data!B149</f>
        <v/>
      </c>
      <c r="C149">
        <f>Raw_Data!C149</f>
        <v/>
      </c>
      <c r="D149">
        <f>Raw_Data!D149</f>
        <v/>
      </c>
      <c r="E149">
        <f>Raw_Data!E149</f>
        <v/>
      </c>
      <c r="F149">
        <f>Raw_Data!F149</f>
        <v/>
      </c>
      <c r="G149">
        <f>Raw_Data!G149</f>
        <v/>
      </c>
      <c r="H149">
        <f>Raw_Data!H149</f>
        <v/>
      </c>
      <c r="I149">
        <f>Raw_Data!I149</f>
        <v/>
      </c>
      <c r="J149" s="12">
        <f>Raw_Data!J149</f>
        <v/>
      </c>
      <c r="K149" s="13">
        <f>Raw_Data!K149</f>
        <v/>
      </c>
      <c r="L149" s="12">
        <f>Raw_Data!L149</f>
        <v/>
      </c>
      <c r="M149" s="12">
        <f>Raw_Data!M149</f>
        <v/>
      </c>
      <c r="N149" s="12">
        <f>Raw_Data!N149</f>
        <v/>
      </c>
      <c r="O149">
        <f>Raw_Data!O149</f>
        <v/>
      </c>
      <c r="P149">
        <f>Raw_Data!P149</f>
        <v/>
      </c>
      <c r="Q149">
        <f>YEAR(B149)</f>
        <v/>
      </c>
      <c r="R149">
        <f>TEXT(B149,"mmm")</f>
        <v/>
      </c>
      <c r="S149" s="15">
        <f>IFERROR(N149/L149,0)</f>
        <v/>
      </c>
    </row>
    <row r="150">
      <c r="A150">
        <f>Raw_Data!A150</f>
        <v/>
      </c>
      <c r="B150" s="11">
        <f>Raw_Data!B150</f>
        <v/>
      </c>
      <c r="C150">
        <f>Raw_Data!C150</f>
        <v/>
      </c>
      <c r="D150">
        <f>Raw_Data!D150</f>
        <v/>
      </c>
      <c r="E150">
        <f>Raw_Data!E150</f>
        <v/>
      </c>
      <c r="F150">
        <f>Raw_Data!F150</f>
        <v/>
      </c>
      <c r="G150">
        <f>Raw_Data!G150</f>
        <v/>
      </c>
      <c r="H150">
        <f>Raw_Data!H150</f>
        <v/>
      </c>
      <c r="I150">
        <f>Raw_Data!I150</f>
        <v/>
      </c>
      <c r="J150" s="12">
        <f>Raw_Data!J150</f>
        <v/>
      </c>
      <c r="K150" s="13">
        <f>Raw_Data!K150</f>
        <v/>
      </c>
      <c r="L150" s="12">
        <f>Raw_Data!L150</f>
        <v/>
      </c>
      <c r="M150" s="12">
        <f>Raw_Data!M150</f>
        <v/>
      </c>
      <c r="N150" s="12">
        <f>Raw_Data!N150</f>
        <v/>
      </c>
      <c r="O150">
        <f>Raw_Data!O150</f>
        <v/>
      </c>
      <c r="P150">
        <f>Raw_Data!P150</f>
        <v/>
      </c>
      <c r="Q150">
        <f>YEAR(B150)</f>
        <v/>
      </c>
      <c r="R150">
        <f>TEXT(B150,"mmm")</f>
        <v/>
      </c>
      <c r="S150" s="15">
        <f>IFERROR(N150/L150,0)</f>
        <v/>
      </c>
    </row>
    <row r="151">
      <c r="A151">
        <f>Raw_Data!A151</f>
        <v/>
      </c>
      <c r="B151" s="11">
        <f>Raw_Data!B151</f>
        <v/>
      </c>
      <c r="C151">
        <f>Raw_Data!C151</f>
        <v/>
      </c>
      <c r="D151">
        <f>Raw_Data!D151</f>
        <v/>
      </c>
      <c r="E151">
        <f>Raw_Data!E151</f>
        <v/>
      </c>
      <c r="F151">
        <f>Raw_Data!F151</f>
        <v/>
      </c>
      <c r="G151">
        <f>Raw_Data!G151</f>
        <v/>
      </c>
      <c r="H151">
        <f>Raw_Data!H151</f>
        <v/>
      </c>
      <c r="I151">
        <f>Raw_Data!I151</f>
        <v/>
      </c>
      <c r="J151" s="12">
        <f>Raw_Data!J151</f>
        <v/>
      </c>
      <c r="K151" s="13">
        <f>Raw_Data!K151</f>
        <v/>
      </c>
      <c r="L151" s="12">
        <f>Raw_Data!L151</f>
        <v/>
      </c>
      <c r="M151" s="12">
        <f>Raw_Data!M151</f>
        <v/>
      </c>
      <c r="N151" s="12">
        <f>Raw_Data!N151</f>
        <v/>
      </c>
      <c r="O151">
        <f>Raw_Data!O151</f>
        <v/>
      </c>
      <c r="P151">
        <f>Raw_Data!P151</f>
        <v/>
      </c>
      <c r="Q151">
        <f>YEAR(B151)</f>
        <v/>
      </c>
      <c r="R151">
        <f>TEXT(B151,"mmm")</f>
        <v/>
      </c>
      <c r="S151" s="15">
        <f>IFERROR(N151/L151,0)</f>
        <v/>
      </c>
    </row>
    <row r="152">
      <c r="A152">
        <f>Raw_Data!A152</f>
        <v/>
      </c>
      <c r="B152" s="11">
        <f>Raw_Data!B152</f>
        <v/>
      </c>
      <c r="C152">
        <f>Raw_Data!C152</f>
        <v/>
      </c>
      <c r="D152">
        <f>Raw_Data!D152</f>
        <v/>
      </c>
      <c r="E152">
        <f>Raw_Data!E152</f>
        <v/>
      </c>
      <c r="F152">
        <f>Raw_Data!F152</f>
        <v/>
      </c>
      <c r="G152">
        <f>Raw_Data!G152</f>
        <v/>
      </c>
      <c r="H152">
        <f>Raw_Data!H152</f>
        <v/>
      </c>
      <c r="I152">
        <f>Raw_Data!I152</f>
        <v/>
      </c>
      <c r="J152" s="12">
        <f>Raw_Data!J152</f>
        <v/>
      </c>
      <c r="K152" s="13">
        <f>Raw_Data!K152</f>
        <v/>
      </c>
      <c r="L152" s="12">
        <f>Raw_Data!L152</f>
        <v/>
      </c>
      <c r="M152" s="12">
        <f>Raw_Data!M152</f>
        <v/>
      </c>
      <c r="N152" s="12">
        <f>Raw_Data!N152</f>
        <v/>
      </c>
      <c r="O152">
        <f>Raw_Data!O152</f>
        <v/>
      </c>
      <c r="P152">
        <f>Raw_Data!P152</f>
        <v/>
      </c>
      <c r="Q152">
        <f>YEAR(B152)</f>
        <v/>
      </c>
      <c r="R152">
        <f>TEXT(B152,"mmm")</f>
        <v/>
      </c>
      <c r="S152" s="15">
        <f>IFERROR(N152/L152,0)</f>
        <v/>
      </c>
    </row>
    <row r="153">
      <c r="A153">
        <f>Raw_Data!A153</f>
        <v/>
      </c>
      <c r="B153" s="11">
        <f>Raw_Data!B153</f>
        <v/>
      </c>
      <c r="C153">
        <f>Raw_Data!C153</f>
        <v/>
      </c>
      <c r="D153">
        <f>Raw_Data!D153</f>
        <v/>
      </c>
      <c r="E153">
        <f>Raw_Data!E153</f>
        <v/>
      </c>
      <c r="F153">
        <f>Raw_Data!F153</f>
        <v/>
      </c>
      <c r="G153">
        <f>Raw_Data!G153</f>
        <v/>
      </c>
      <c r="H153">
        <f>Raw_Data!H153</f>
        <v/>
      </c>
      <c r="I153">
        <f>Raw_Data!I153</f>
        <v/>
      </c>
      <c r="J153" s="12">
        <f>Raw_Data!J153</f>
        <v/>
      </c>
      <c r="K153" s="13">
        <f>Raw_Data!K153</f>
        <v/>
      </c>
      <c r="L153" s="12">
        <f>Raw_Data!L153</f>
        <v/>
      </c>
      <c r="M153" s="12">
        <f>Raw_Data!M153</f>
        <v/>
      </c>
      <c r="N153" s="12">
        <f>Raw_Data!N153</f>
        <v/>
      </c>
      <c r="O153">
        <f>Raw_Data!O153</f>
        <v/>
      </c>
      <c r="P153">
        <f>Raw_Data!P153</f>
        <v/>
      </c>
      <c r="Q153">
        <f>YEAR(B153)</f>
        <v/>
      </c>
      <c r="R153">
        <f>TEXT(B153,"mmm")</f>
        <v/>
      </c>
      <c r="S153" s="15">
        <f>IFERROR(N153/L153,0)</f>
        <v/>
      </c>
    </row>
    <row r="154">
      <c r="A154">
        <f>Raw_Data!A154</f>
        <v/>
      </c>
      <c r="B154" s="11">
        <f>Raw_Data!B154</f>
        <v/>
      </c>
      <c r="C154">
        <f>Raw_Data!C154</f>
        <v/>
      </c>
      <c r="D154">
        <f>Raw_Data!D154</f>
        <v/>
      </c>
      <c r="E154">
        <f>Raw_Data!E154</f>
        <v/>
      </c>
      <c r="F154">
        <f>Raw_Data!F154</f>
        <v/>
      </c>
      <c r="G154">
        <f>Raw_Data!G154</f>
        <v/>
      </c>
      <c r="H154">
        <f>Raw_Data!H154</f>
        <v/>
      </c>
      <c r="I154">
        <f>Raw_Data!I154</f>
        <v/>
      </c>
      <c r="J154" s="12">
        <f>Raw_Data!J154</f>
        <v/>
      </c>
      <c r="K154" s="13">
        <f>Raw_Data!K154</f>
        <v/>
      </c>
      <c r="L154" s="12">
        <f>Raw_Data!L154</f>
        <v/>
      </c>
      <c r="M154" s="12">
        <f>Raw_Data!M154</f>
        <v/>
      </c>
      <c r="N154" s="12">
        <f>Raw_Data!N154</f>
        <v/>
      </c>
      <c r="O154">
        <f>Raw_Data!O154</f>
        <v/>
      </c>
      <c r="P154">
        <f>Raw_Data!P154</f>
        <v/>
      </c>
      <c r="Q154">
        <f>YEAR(B154)</f>
        <v/>
      </c>
      <c r="R154">
        <f>TEXT(B154,"mmm")</f>
        <v/>
      </c>
      <c r="S154" s="15">
        <f>IFERROR(N154/L154,0)</f>
        <v/>
      </c>
    </row>
    <row r="155">
      <c r="A155">
        <f>Raw_Data!A155</f>
        <v/>
      </c>
      <c r="B155" s="11">
        <f>Raw_Data!B155</f>
        <v/>
      </c>
      <c r="C155">
        <f>Raw_Data!C155</f>
        <v/>
      </c>
      <c r="D155">
        <f>Raw_Data!D155</f>
        <v/>
      </c>
      <c r="E155">
        <f>Raw_Data!E155</f>
        <v/>
      </c>
      <c r="F155">
        <f>Raw_Data!F155</f>
        <v/>
      </c>
      <c r="G155">
        <f>Raw_Data!G155</f>
        <v/>
      </c>
      <c r="H155">
        <f>Raw_Data!H155</f>
        <v/>
      </c>
      <c r="I155">
        <f>Raw_Data!I155</f>
        <v/>
      </c>
      <c r="J155" s="12">
        <f>Raw_Data!J155</f>
        <v/>
      </c>
      <c r="K155" s="13">
        <f>Raw_Data!K155</f>
        <v/>
      </c>
      <c r="L155" s="12">
        <f>Raw_Data!L155</f>
        <v/>
      </c>
      <c r="M155" s="12">
        <f>Raw_Data!M155</f>
        <v/>
      </c>
      <c r="N155" s="12">
        <f>Raw_Data!N155</f>
        <v/>
      </c>
      <c r="O155">
        <f>Raw_Data!O155</f>
        <v/>
      </c>
      <c r="P155">
        <f>Raw_Data!P155</f>
        <v/>
      </c>
      <c r="Q155">
        <f>YEAR(B155)</f>
        <v/>
      </c>
      <c r="R155">
        <f>TEXT(B155,"mmm")</f>
        <v/>
      </c>
      <c r="S155" s="15">
        <f>IFERROR(N155/L155,0)</f>
        <v/>
      </c>
    </row>
    <row r="156">
      <c r="A156">
        <f>Raw_Data!A156</f>
        <v/>
      </c>
      <c r="B156" s="11">
        <f>Raw_Data!B156</f>
        <v/>
      </c>
      <c r="C156">
        <f>Raw_Data!C156</f>
        <v/>
      </c>
      <c r="D156">
        <f>Raw_Data!D156</f>
        <v/>
      </c>
      <c r="E156">
        <f>Raw_Data!E156</f>
        <v/>
      </c>
      <c r="F156">
        <f>Raw_Data!F156</f>
        <v/>
      </c>
      <c r="G156">
        <f>Raw_Data!G156</f>
        <v/>
      </c>
      <c r="H156">
        <f>Raw_Data!H156</f>
        <v/>
      </c>
      <c r="I156">
        <f>Raw_Data!I156</f>
        <v/>
      </c>
      <c r="J156" s="12">
        <f>Raw_Data!J156</f>
        <v/>
      </c>
      <c r="K156" s="13">
        <f>Raw_Data!K156</f>
        <v/>
      </c>
      <c r="L156" s="12">
        <f>Raw_Data!L156</f>
        <v/>
      </c>
      <c r="M156" s="12">
        <f>Raw_Data!M156</f>
        <v/>
      </c>
      <c r="N156" s="12">
        <f>Raw_Data!N156</f>
        <v/>
      </c>
      <c r="O156">
        <f>Raw_Data!O156</f>
        <v/>
      </c>
      <c r="P156">
        <f>Raw_Data!P156</f>
        <v/>
      </c>
      <c r="Q156">
        <f>YEAR(B156)</f>
        <v/>
      </c>
      <c r="R156">
        <f>TEXT(B156,"mmm")</f>
        <v/>
      </c>
      <c r="S156" s="15">
        <f>IFERROR(N156/L156,0)</f>
        <v/>
      </c>
    </row>
    <row r="157">
      <c r="A157">
        <f>Raw_Data!A157</f>
        <v/>
      </c>
      <c r="B157" s="11">
        <f>Raw_Data!B157</f>
        <v/>
      </c>
      <c r="C157">
        <f>Raw_Data!C157</f>
        <v/>
      </c>
      <c r="D157">
        <f>Raw_Data!D157</f>
        <v/>
      </c>
      <c r="E157">
        <f>Raw_Data!E157</f>
        <v/>
      </c>
      <c r="F157">
        <f>Raw_Data!F157</f>
        <v/>
      </c>
      <c r="G157">
        <f>Raw_Data!G157</f>
        <v/>
      </c>
      <c r="H157">
        <f>Raw_Data!H157</f>
        <v/>
      </c>
      <c r="I157">
        <f>Raw_Data!I157</f>
        <v/>
      </c>
      <c r="J157" s="12">
        <f>Raw_Data!J157</f>
        <v/>
      </c>
      <c r="K157" s="13">
        <f>Raw_Data!K157</f>
        <v/>
      </c>
      <c r="L157" s="12">
        <f>Raw_Data!L157</f>
        <v/>
      </c>
      <c r="M157" s="12">
        <f>Raw_Data!M157</f>
        <v/>
      </c>
      <c r="N157" s="12">
        <f>Raw_Data!N157</f>
        <v/>
      </c>
      <c r="O157">
        <f>Raw_Data!O157</f>
        <v/>
      </c>
      <c r="P157">
        <f>Raw_Data!P157</f>
        <v/>
      </c>
      <c r="Q157">
        <f>YEAR(B157)</f>
        <v/>
      </c>
      <c r="R157">
        <f>TEXT(B157,"mmm")</f>
        <v/>
      </c>
      <c r="S157" s="15">
        <f>IFERROR(N157/L157,0)</f>
        <v/>
      </c>
    </row>
    <row r="158">
      <c r="A158">
        <f>Raw_Data!A158</f>
        <v/>
      </c>
      <c r="B158" s="11">
        <f>Raw_Data!B158</f>
        <v/>
      </c>
      <c r="C158">
        <f>Raw_Data!C158</f>
        <v/>
      </c>
      <c r="D158">
        <f>Raw_Data!D158</f>
        <v/>
      </c>
      <c r="E158">
        <f>Raw_Data!E158</f>
        <v/>
      </c>
      <c r="F158">
        <f>Raw_Data!F158</f>
        <v/>
      </c>
      <c r="G158">
        <f>Raw_Data!G158</f>
        <v/>
      </c>
      <c r="H158">
        <f>Raw_Data!H158</f>
        <v/>
      </c>
      <c r="I158">
        <f>Raw_Data!I158</f>
        <v/>
      </c>
      <c r="J158" s="12">
        <f>Raw_Data!J158</f>
        <v/>
      </c>
      <c r="K158" s="13">
        <f>Raw_Data!K158</f>
        <v/>
      </c>
      <c r="L158" s="12">
        <f>Raw_Data!L158</f>
        <v/>
      </c>
      <c r="M158" s="12">
        <f>Raw_Data!M158</f>
        <v/>
      </c>
      <c r="N158" s="12">
        <f>Raw_Data!N158</f>
        <v/>
      </c>
      <c r="O158">
        <f>Raw_Data!O158</f>
        <v/>
      </c>
      <c r="P158">
        <f>Raw_Data!P158</f>
        <v/>
      </c>
      <c r="Q158">
        <f>YEAR(B158)</f>
        <v/>
      </c>
      <c r="R158">
        <f>TEXT(B158,"mmm")</f>
        <v/>
      </c>
      <c r="S158" s="15">
        <f>IFERROR(N158/L158,0)</f>
        <v/>
      </c>
    </row>
    <row r="159">
      <c r="A159">
        <f>Raw_Data!A159</f>
        <v/>
      </c>
      <c r="B159" s="11">
        <f>Raw_Data!B159</f>
        <v/>
      </c>
      <c r="C159">
        <f>Raw_Data!C159</f>
        <v/>
      </c>
      <c r="D159">
        <f>Raw_Data!D159</f>
        <v/>
      </c>
      <c r="E159">
        <f>Raw_Data!E159</f>
        <v/>
      </c>
      <c r="F159">
        <f>Raw_Data!F159</f>
        <v/>
      </c>
      <c r="G159">
        <f>Raw_Data!G159</f>
        <v/>
      </c>
      <c r="H159">
        <f>Raw_Data!H159</f>
        <v/>
      </c>
      <c r="I159">
        <f>Raw_Data!I159</f>
        <v/>
      </c>
      <c r="J159" s="12">
        <f>Raw_Data!J159</f>
        <v/>
      </c>
      <c r="K159" s="13">
        <f>Raw_Data!K159</f>
        <v/>
      </c>
      <c r="L159" s="12">
        <f>Raw_Data!L159</f>
        <v/>
      </c>
      <c r="M159" s="12">
        <f>Raw_Data!M159</f>
        <v/>
      </c>
      <c r="N159" s="12">
        <f>Raw_Data!N159</f>
        <v/>
      </c>
      <c r="O159">
        <f>Raw_Data!O159</f>
        <v/>
      </c>
      <c r="P159">
        <f>Raw_Data!P159</f>
        <v/>
      </c>
      <c r="Q159">
        <f>YEAR(B159)</f>
        <v/>
      </c>
      <c r="R159">
        <f>TEXT(B159,"mmm")</f>
        <v/>
      </c>
      <c r="S159" s="15">
        <f>IFERROR(N159/L159,0)</f>
        <v/>
      </c>
    </row>
    <row r="160">
      <c r="A160">
        <f>Raw_Data!A160</f>
        <v/>
      </c>
      <c r="B160" s="11">
        <f>Raw_Data!B160</f>
        <v/>
      </c>
      <c r="C160">
        <f>Raw_Data!C160</f>
        <v/>
      </c>
      <c r="D160">
        <f>Raw_Data!D160</f>
        <v/>
      </c>
      <c r="E160">
        <f>Raw_Data!E160</f>
        <v/>
      </c>
      <c r="F160">
        <f>Raw_Data!F160</f>
        <v/>
      </c>
      <c r="G160">
        <f>Raw_Data!G160</f>
        <v/>
      </c>
      <c r="H160">
        <f>Raw_Data!H160</f>
        <v/>
      </c>
      <c r="I160">
        <f>Raw_Data!I160</f>
        <v/>
      </c>
      <c r="J160" s="12">
        <f>Raw_Data!J160</f>
        <v/>
      </c>
      <c r="K160" s="13">
        <f>Raw_Data!K160</f>
        <v/>
      </c>
      <c r="L160" s="12">
        <f>Raw_Data!L160</f>
        <v/>
      </c>
      <c r="M160" s="12">
        <f>Raw_Data!M160</f>
        <v/>
      </c>
      <c r="N160" s="12">
        <f>Raw_Data!N160</f>
        <v/>
      </c>
      <c r="O160">
        <f>Raw_Data!O160</f>
        <v/>
      </c>
      <c r="P160">
        <f>Raw_Data!P160</f>
        <v/>
      </c>
      <c r="Q160">
        <f>YEAR(B160)</f>
        <v/>
      </c>
      <c r="R160">
        <f>TEXT(B160,"mmm")</f>
        <v/>
      </c>
      <c r="S160" s="15">
        <f>IFERROR(N160/L160,0)</f>
        <v/>
      </c>
    </row>
    <row r="161">
      <c r="A161">
        <f>Raw_Data!A161</f>
        <v/>
      </c>
      <c r="B161" s="11">
        <f>Raw_Data!B161</f>
        <v/>
      </c>
      <c r="C161">
        <f>Raw_Data!C161</f>
        <v/>
      </c>
      <c r="D161">
        <f>Raw_Data!D161</f>
        <v/>
      </c>
      <c r="E161">
        <f>Raw_Data!E161</f>
        <v/>
      </c>
      <c r="F161">
        <f>Raw_Data!F161</f>
        <v/>
      </c>
      <c r="G161">
        <f>Raw_Data!G161</f>
        <v/>
      </c>
      <c r="H161">
        <f>Raw_Data!H161</f>
        <v/>
      </c>
      <c r="I161">
        <f>Raw_Data!I161</f>
        <v/>
      </c>
      <c r="J161" s="12">
        <f>Raw_Data!J161</f>
        <v/>
      </c>
      <c r="K161" s="13">
        <f>Raw_Data!K161</f>
        <v/>
      </c>
      <c r="L161" s="12">
        <f>Raw_Data!L161</f>
        <v/>
      </c>
      <c r="M161" s="12">
        <f>Raw_Data!M161</f>
        <v/>
      </c>
      <c r="N161" s="12">
        <f>Raw_Data!N161</f>
        <v/>
      </c>
      <c r="O161">
        <f>Raw_Data!O161</f>
        <v/>
      </c>
      <c r="P161">
        <f>Raw_Data!P161</f>
        <v/>
      </c>
      <c r="Q161">
        <f>YEAR(B161)</f>
        <v/>
      </c>
      <c r="R161">
        <f>TEXT(B161,"mmm")</f>
        <v/>
      </c>
      <c r="S161" s="15">
        <f>IFERROR(N161/L161,0)</f>
        <v/>
      </c>
    </row>
    <row r="162">
      <c r="A162">
        <f>Raw_Data!A162</f>
        <v/>
      </c>
      <c r="B162" s="11">
        <f>Raw_Data!B162</f>
        <v/>
      </c>
      <c r="C162">
        <f>Raw_Data!C162</f>
        <v/>
      </c>
      <c r="D162">
        <f>Raw_Data!D162</f>
        <v/>
      </c>
      <c r="E162">
        <f>Raw_Data!E162</f>
        <v/>
      </c>
      <c r="F162">
        <f>Raw_Data!F162</f>
        <v/>
      </c>
      <c r="G162">
        <f>Raw_Data!G162</f>
        <v/>
      </c>
      <c r="H162">
        <f>Raw_Data!H162</f>
        <v/>
      </c>
      <c r="I162">
        <f>Raw_Data!I162</f>
        <v/>
      </c>
      <c r="J162" s="12">
        <f>Raw_Data!J162</f>
        <v/>
      </c>
      <c r="K162" s="13">
        <f>Raw_Data!K162</f>
        <v/>
      </c>
      <c r="L162" s="12">
        <f>Raw_Data!L162</f>
        <v/>
      </c>
      <c r="M162" s="12">
        <f>Raw_Data!M162</f>
        <v/>
      </c>
      <c r="N162" s="12">
        <f>Raw_Data!N162</f>
        <v/>
      </c>
      <c r="O162">
        <f>Raw_Data!O162</f>
        <v/>
      </c>
      <c r="P162">
        <f>Raw_Data!P162</f>
        <v/>
      </c>
      <c r="Q162">
        <f>YEAR(B162)</f>
        <v/>
      </c>
      <c r="R162">
        <f>TEXT(B162,"mmm")</f>
        <v/>
      </c>
      <c r="S162" s="15">
        <f>IFERROR(N162/L162,0)</f>
        <v/>
      </c>
    </row>
    <row r="163">
      <c r="A163">
        <f>Raw_Data!A163</f>
        <v/>
      </c>
      <c r="B163" s="11">
        <f>Raw_Data!B163</f>
        <v/>
      </c>
      <c r="C163">
        <f>Raw_Data!C163</f>
        <v/>
      </c>
      <c r="D163">
        <f>Raw_Data!D163</f>
        <v/>
      </c>
      <c r="E163">
        <f>Raw_Data!E163</f>
        <v/>
      </c>
      <c r="F163">
        <f>Raw_Data!F163</f>
        <v/>
      </c>
      <c r="G163">
        <f>Raw_Data!G163</f>
        <v/>
      </c>
      <c r="H163">
        <f>Raw_Data!H163</f>
        <v/>
      </c>
      <c r="I163">
        <f>Raw_Data!I163</f>
        <v/>
      </c>
      <c r="J163" s="12">
        <f>Raw_Data!J163</f>
        <v/>
      </c>
      <c r="K163" s="13">
        <f>Raw_Data!K163</f>
        <v/>
      </c>
      <c r="L163" s="12">
        <f>Raw_Data!L163</f>
        <v/>
      </c>
      <c r="M163" s="12">
        <f>Raw_Data!M163</f>
        <v/>
      </c>
      <c r="N163" s="12">
        <f>Raw_Data!N163</f>
        <v/>
      </c>
      <c r="O163">
        <f>Raw_Data!O163</f>
        <v/>
      </c>
      <c r="P163">
        <f>Raw_Data!P163</f>
        <v/>
      </c>
      <c r="Q163">
        <f>YEAR(B163)</f>
        <v/>
      </c>
      <c r="R163">
        <f>TEXT(B163,"mmm")</f>
        <v/>
      </c>
      <c r="S163" s="15">
        <f>IFERROR(N163/L163,0)</f>
        <v/>
      </c>
    </row>
    <row r="164">
      <c r="A164">
        <f>Raw_Data!A164</f>
        <v/>
      </c>
      <c r="B164" s="11">
        <f>Raw_Data!B164</f>
        <v/>
      </c>
      <c r="C164">
        <f>Raw_Data!C164</f>
        <v/>
      </c>
      <c r="D164">
        <f>Raw_Data!D164</f>
        <v/>
      </c>
      <c r="E164">
        <f>Raw_Data!E164</f>
        <v/>
      </c>
      <c r="F164">
        <f>Raw_Data!F164</f>
        <v/>
      </c>
      <c r="G164">
        <f>Raw_Data!G164</f>
        <v/>
      </c>
      <c r="H164">
        <f>Raw_Data!H164</f>
        <v/>
      </c>
      <c r="I164">
        <f>Raw_Data!I164</f>
        <v/>
      </c>
      <c r="J164" s="12">
        <f>Raw_Data!J164</f>
        <v/>
      </c>
      <c r="K164" s="13">
        <f>Raw_Data!K164</f>
        <v/>
      </c>
      <c r="L164" s="12">
        <f>Raw_Data!L164</f>
        <v/>
      </c>
      <c r="M164" s="12">
        <f>Raw_Data!M164</f>
        <v/>
      </c>
      <c r="N164" s="12">
        <f>Raw_Data!N164</f>
        <v/>
      </c>
      <c r="O164">
        <f>Raw_Data!O164</f>
        <v/>
      </c>
      <c r="P164">
        <f>Raw_Data!P164</f>
        <v/>
      </c>
      <c r="Q164">
        <f>YEAR(B164)</f>
        <v/>
      </c>
      <c r="R164">
        <f>TEXT(B164,"mmm")</f>
        <v/>
      </c>
      <c r="S164" s="15">
        <f>IFERROR(N164/L164,0)</f>
        <v/>
      </c>
    </row>
    <row r="165">
      <c r="A165">
        <f>Raw_Data!A165</f>
        <v/>
      </c>
      <c r="B165" s="11">
        <f>Raw_Data!B165</f>
        <v/>
      </c>
      <c r="C165">
        <f>Raw_Data!C165</f>
        <v/>
      </c>
      <c r="D165">
        <f>Raw_Data!D165</f>
        <v/>
      </c>
      <c r="E165">
        <f>Raw_Data!E165</f>
        <v/>
      </c>
      <c r="F165">
        <f>Raw_Data!F165</f>
        <v/>
      </c>
      <c r="G165">
        <f>Raw_Data!G165</f>
        <v/>
      </c>
      <c r="H165">
        <f>Raw_Data!H165</f>
        <v/>
      </c>
      <c r="I165">
        <f>Raw_Data!I165</f>
        <v/>
      </c>
      <c r="J165" s="12">
        <f>Raw_Data!J165</f>
        <v/>
      </c>
      <c r="K165" s="13">
        <f>Raw_Data!K165</f>
        <v/>
      </c>
      <c r="L165" s="12">
        <f>Raw_Data!L165</f>
        <v/>
      </c>
      <c r="M165" s="12">
        <f>Raw_Data!M165</f>
        <v/>
      </c>
      <c r="N165" s="12">
        <f>Raw_Data!N165</f>
        <v/>
      </c>
      <c r="O165">
        <f>Raw_Data!O165</f>
        <v/>
      </c>
      <c r="P165">
        <f>Raw_Data!P165</f>
        <v/>
      </c>
      <c r="Q165">
        <f>YEAR(B165)</f>
        <v/>
      </c>
      <c r="R165">
        <f>TEXT(B165,"mmm")</f>
        <v/>
      </c>
      <c r="S165" s="15">
        <f>IFERROR(N165/L165,0)</f>
        <v/>
      </c>
    </row>
    <row r="166">
      <c r="A166">
        <f>Raw_Data!A166</f>
        <v/>
      </c>
      <c r="B166" s="11">
        <f>Raw_Data!B166</f>
        <v/>
      </c>
      <c r="C166">
        <f>Raw_Data!C166</f>
        <v/>
      </c>
      <c r="D166">
        <f>Raw_Data!D166</f>
        <v/>
      </c>
      <c r="E166">
        <f>Raw_Data!E166</f>
        <v/>
      </c>
      <c r="F166">
        <f>Raw_Data!F166</f>
        <v/>
      </c>
      <c r="G166">
        <f>Raw_Data!G166</f>
        <v/>
      </c>
      <c r="H166">
        <f>Raw_Data!H166</f>
        <v/>
      </c>
      <c r="I166">
        <f>Raw_Data!I166</f>
        <v/>
      </c>
      <c r="J166" s="12">
        <f>Raw_Data!J166</f>
        <v/>
      </c>
      <c r="K166" s="13">
        <f>Raw_Data!K166</f>
        <v/>
      </c>
      <c r="L166" s="12">
        <f>Raw_Data!L166</f>
        <v/>
      </c>
      <c r="M166" s="12">
        <f>Raw_Data!M166</f>
        <v/>
      </c>
      <c r="N166" s="12">
        <f>Raw_Data!N166</f>
        <v/>
      </c>
      <c r="O166">
        <f>Raw_Data!O166</f>
        <v/>
      </c>
      <c r="P166">
        <f>Raw_Data!P166</f>
        <v/>
      </c>
      <c r="Q166">
        <f>YEAR(B166)</f>
        <v/>
      </c>
      <c r="R166">
        <f>TEXT(B166,"mmm")</f>
        <v/>
      </c>
      <c r="S166" s="15">
        <f>IFERROR(N166/L166,0)</f>
        <v/>
      </c>
    </row>
    <row r="167">
      <c r="A167">
        <f>Raw_Data!A167</f>
        <v/>
      </c>
      <c r="B167" s="11">
        <f>Raw_Data!B167</f>
        <v/>
      </c>
      <c r="C167">
        <f>Raw_Data!C167</f>
        <v/>
      </c>
      <c r="D167">
        <f>Raw_Data!D167</f>
        <v/>
      </c>
      <c r="E167">
        <f>Raw_Data!E167</f>
        <v/>
      </c>
      <c r="F167">
        <f>Raw_Data!F167</f>
        <v/>
      </c>
      <c r="G167">
        <f>Raw_Data!G167</f>
        <v/>
      </c>
      <c r="H167">
        <f>Raw_Data!H167</f>
        <v/>
      </c>
      <c r="I167">
        <f>Raw_Data!I167</f>
        <v/>
      </c>
      <c r="J167" s="12">
        <f>Raw_Data!J167</f>
        <v/>
      </c>
      <c r="K167" s="13">
        <f>Raw_Data!K167</f>
        <v/>
      </c>
      <c r="L167" s="12">
        <f>Raw_Data!L167</f>
        <v/>
      </c>
      <c r="M167" s="12">
        <f>Raw_Data!M167</f>
        <v/>
      </c>
      <c r="N167" s="12">
        <f>Raw_Data!N167</f>
        <v/>
      </c>
      <c r="O167">
        <f>Raw_Data!O167</f>
        <v/>
      </c>
      <c r="P167">
        <f>Raw_Data!P167</f>
        <v/>
      </c>
      <c r="Q167">
        <f>YEAR(B167)</f>
        <v/>
      </c>
      <c r="R167">
        <f>TEXT(B167,"mmm")</f>
        <v/>
      </c>
      <c r="S167" s="15">
        <f>IFERROR(N167/L167,0)</f>
        <v/>
      </c>
    </row>
    <row r="168">
      <c r="A168">
        <f>Raw_Data!A168</f>
        <v/>
      </c>
      <c r="B168" s="11">
        <f>Raw_Data!B168</f>
        <v/>
      </c>
      <c r="C168">
        <f>Raw_Data!C168</f>
        <v/>
      </c>
      <c r="D168">
        <f>Raw_Data!D168</f>
        <v/>
      </c>
      <c r="E168">
        <f>Raw_Data!E168</f>
        <v/>
      </c>
      <c r="F168">
        <f>Raw_Data!F168</f>
        <v/>
      </c>
      <c r="G168">
        <f>Raw_Data!G168</f>
        <v/>
      </c>
      <c r="H168">
        <f>Raw_Data!H168</f>
        <v/>
      </c>
      <c r="I168">
        <f>Raw_Data!I168</f>
        <v/>
      </c>
      <c r="J168" s="12">
        <f>Raw_Data!J168</f>
        <v/>
      </c>
      <c r="K168" s="13">
        <f>Raw_Data!K168</f>
        <v/>
      </c>
      <c r="L168" s="12">
        <f>Raw_Data!L168</f>
        <v/>
      </c>
      <c r="M168" s="12">
        <f>Raw_Data!M168</f>
        <v/>
      </c>
      <c r="N168" s="12">
        <f>Raw_Data!N168</f>
        <v/>
      </c>
      <c r="O168">
        <f>Raw_Data!O168</f>
        <v/>
      </c>
      <c r="P168">
        <f>Raw_Data!P168</f>
        <v/>
      </c>
      <c r="Q168">
        <f>YEAR(B168)</f>
        <v/>
      </c>
      <c r="R168">
        <f>TEXT(B168,"mmm")</f>
        <v/>
      </c>
      <c r="S168" s="15">
        <f>IFERROR(N168/L168,0)</f>
        <v/>
      </c>
    </row>
    <row r="169">
      <c r="A169">
        <f>Raw_Data!A169</f>
        <v/>
      </c>
      <c r="B169" s="11">
        <f>Raw_Data!B169</f>
        <v/>
      </c>
      <c r="C169">
        <f>Raw_Data!C169</f>
        <v/>
      </c>
      <c r="D169">
        <f>Raw_Data!D169</f>
        <v/>
      </c>
      <c r="E169">
        <f>Raw_Data!E169</f>
        <v/>
      </c>
      <c r="F169">
        <f>Raw_Data!F169</f>
        <v/>
      </c>
      <c r="G169">
        <f>Raw_Data!G169</f>
        <v/>
      </c>
      <c r="H169">
        <f>Raw_Data!H169</f>
        <v/>
      </c>
      <c r="I169">
        <f>Raw_Data!I169</f>
        <v/>
      </c>
      <c r="J169" s="12">
        <f>Raw_Data!J169</f>
        <v/>
      </c>
      <c r="K169" s="13">
        <f>Raw_Data!K169</f>
        <v/>
      </c>
      <c r="L169" s="12">
        <f>Raw_Data!L169</f>
        <v/>
      </c>
      <c r="M169" s="12">
        <f>Raw_Data!M169</f>
        <v/>
      </c>
      <c r="N169" s="12">
        <f>Raw_Data!N169</f>
        <v/>
      </c>
      <c r="O169">
        <f>Raw_Data!O169</f>
        <v/>
      </c>
      <c r="P169">
        <f>Raw_Data!P169</f>
        <v/>
      </c>
      <c r="Q169">
        <f>YEAR(B169)</f>
        <v/>
      </c>
      <c r="R169">
        <f>TEXT(B169,"mmm")</f>
        <v/>
      </c>
      <c r="S169" s="15">
        <f>IFERROR(N169/L169,0)</f>
        <v/>
      </c>
    </row>
    <row r="170">
      <c r="A170">
        <f>Raw_Data!A170</f>
        <v/>
      </c>
      <c r="B170" s="11">
        <f>Raw_Data!B170</f>
        <v/>
      </c>
      <c r="C170">
        <f>Raw_Data!C170</f>
        <v/>
      </c>
      <c r="D170">
        <f>Raw_Data!D170</f>
        <v/>
      </c>
      <c r="E170">
        <f>Raw_Data!E170</f>
        <v/>
      </c>
      <c r="F170">
        <f>Raw_Data!F170</f>
        <v/>
      </c>
      <c r="G170">
        <f>Raw_Data!G170</f>
        <v/>
      </c>
      <c r="H170">
        <f>Raw_Data!H170</f>
        <v/>
      </c>
      <c r="I170">
        <f>Raw_Data!I170</f>
        <v/>
      </c>
      <c r="J170" s="12">
        <f>Raw_Data!J170</f>
        <v/>
      </c>
      <c r="K170" s="13">
        <f>Raw_Data!K170</f>
        <v/>
      </c>
      <c r="L170" s="12">
        <f>Raw_Data!L170</f>
        <v/>
      </c>
      <c r="M170" s="12">
        <f>Raw_Data!M170</f>
        <v/>
      </c>
      <c r="N170" s="12">
        <f>Raw_Data!N170</f>
        <v/>
      </c>
      <c r="O170">
        <f>Raw_Data!O170</f>
        <v/>
      </c>
      <c r="P170">
        <f>Raw_Data!P170</f>
        <v/>
      </c>
      <c r="Q170">
        <f>YEAR(B170)</f>
        <v/>
      </c>
      <c r="R170">
        <f>TEXT(B170,"mmm")</f>
        <v/>
      </c>
      <c r="S170" s="15">
        <f>IFERROR(N170/L170,0)</f>
        <v/>
      </c>
    </row>
    <row r="171">
      <c r="A171">
        <f>Raw_Data!A171</f>
        <v/>
      </c>
      <c r="B171" s="11">
        <f>Raw_Data!B171</f>
        <v/>
      </c>
      <c r="C171">
        <f>Raw_Data!C171</f>
        <v/>
      </c>
      <c r="D171">
        <f>Raw_Data!D171</f>
        <v/>
      </c>
      <c r="E171">
        <f>Raw_Data!E171</f>
        <v/>
      </c>
      <c r="F171">
        <f>Raw_Data!F171</f>
        <v/>
      </c>
      <c r="G171">
        <f>Raw_Data!G171</f>
        <v/>
      </c>
      <c r="H171">
        <f>Raw_Data!H171</f>
        <v/>
      </c>
      <c r="I171">
        <f>Raw_Data!I171</f>
        <v/>
      </c>
      <c r="J171" s="12">
        <f>Raw_Data!J171</f>
        <v/>
      </c>
      <c r="K171" s="13">
        <f>Raw_Data!K171</f>
        <v/>
      </c>
      <c r="L171" s="12">
        <f>Raw_Data!L171</f>
        <v/>
      </c>
      <c r="M171" s="12">
        <f>Raw_Data!M171</f>
        <v/>
      </c>
      <c r="N171" s="12">
        <f>Raw_Data!N171</f>
        <v/>
      </c>
      <c r="O171">
        <f>Raw_Data!O171</f>
        <v/>
      </c>
      <c r="P171">
        <f>Raw_Data!P171</f>
        <v/>
      </c>
      <c r="Q171">
        <f>YEAR(B171)</f>
        <v/>
      </c>
      <c r="R171">
        <f>TEXT(B171,"mmm")</f>
        <v/>
      </c>
      <c r="S171" s="15">
        <f>IFERROR(N171/L171,0)</f>
        <v/>
      </c>
    </row>
    <row r="172">
      <c r="A172">
        <f>Raw_Data!A172</f>
        <v/>
      </c>
      <c r="B172" s="11">
        <f>Raw_Data!B172</f>
        <v/>
      </c>
      <c r="C172">
        <f>Raw_Data!C172</f>
        <v/>
      </c>
      <c r="D172">
        <f>Raw_Data!D172</f>
        <v/>
      </c>
      <c r="E172">
        <f>Raw_Data!E172</f>
        <v/>
      </c>
      <c r="F172">
        <f>Raw_Data!F172</f>
        <v/>
      </c>
      <c r="G172">
        <f>Raw_Data!G172</f>
        <v/>
      </c>
      <c r="H172">
        <f>Raw_Data!H172</f>
        <v/>
      </c>
      <c r="I172">
        <f>Raw_Data!I172</f>
        <v/>
      </c>
      <c r="J172" s="12">
        <f>Raw_Data!J172</f>
        <v/>
      </c>
      <c r="K172" s="13">
        <f>Raw_Data!K172</f>
        <v/>
      </c>
      <c r="L172" s="12">
        <f>Raw_Data!L172</f>
        <v/>
      </c>
      <c r="M172" s="12">
        <f>Raw_Data!M172</f>
        <v/>
      </c>
      <c r="N172" s="12">
        <f>Raw_Data!N172</f>
        <v/>
      </c>
      <c r="O172">
        <f>Raw_Data!O172</f>
        <v/>
      </c>
      <c r="P172">
        <f>Raw_Data!P172</f>
        <v/>
      </c>
      <c r="Q172">
        <f>YEAR(B172)</f>
        <v/>
      </c>
      <c r="R172">
        <f>TEXT(B172,"mmm")</f>
        <v/>
      </c>
      <c r="S172" s="15">
        <f>IFERROR(N172/L172,0)</f>
        <v/>
      </c>
    </row>
    <row r="173">
      <c r="A173">
        <f>Raw_Data!A173</f>
        <v/>
      </c>
      <c r="B173" s="11">
        <f>Raw_Data!B173</f>
        <v/>
      </c>
      <c r="C173">
        <f>Raw_Data!C173</f>
        <v/>
      </c>
      <c r="D173">
        <f>Raw_Data!D173</f>
        <v/>
      </c>
      <c r="E173">
        <f>Raw_Data!E173</f>
        <v/>
      </c>
      <c r="F173">
        <f>Raw_Data!F173</f>
        <v/>
      </c>
      <c r="G173">
        <f>Raw_Data!G173</f>
        <v/>
      </c>
      <c r="H173">
        <f>Raw_Data!H173</f>
        <v/>
      </c>
      <c r="I173">
        <f>Raw_Data!I173</f>
        <v/>
      </c>
      <c r="J173" s="12">
        <f>Raw_Data!J173</f>
        <v/>
      </c>
      <c r="K173" s="13">
        <f>Raw_Data!K173</f>
        <v/>
      </c>
      <c r="L173" s="12">
        <f>Raw_Data!L173</f>
        <v/>
      </c>
      <c r="M173" s="12">
        <f>Raw_Data!M173</f>
        <v/>
      </c>
      <c r="N173" s="12">
        <f>Raw_Data!N173</f>
        <v/>
      </c>
      <c r="O173">
        <f>Raw_Data!O173</f>
        <v/>
      </c>
      <c r="P173">
        <f>Raw_Data!P173</f>
        <v/>
      </c>
      <c r="Q173">
        <f>YEAR(B173)</f>
        <v/>
      </c>
      <c r="R173">
        <f>TEXT(B173,"mmm")</f>
        <v/>
      </c>
      <c r="S173" s="15">
        <f>IFERROR(N173/L173,0)</f>
        <v/>
      </c>
    </row>
    <row r="174">
      <c r="A174">
        <f>Raw_Data!A174</f>
        <v/>
      </c>
      <c r="B174" s="11">
        <f>Raw_Data!B174</f>
        <v/>
      </c>
      <c r="C174">
        <f>Raw_Data!C174</f>
        <v/>
      </c>
      <c r="D174">
        <f>Raw_Data!D174</f>
        <v/>
      </c>
      <c r="E174">
        <f>Raw_Data!E174</f>
        <v/>
      </c>
      <c r="F174">
        <f>Raw_Data!F174</f>
        <v/>
      </c>
      <c r="G174">
        <f>Raw_Data!G174</f>
        <v/>
      </c>
      <c r="H174">
        <f>Raw_Data!H174</f>
        <v/>
      </c>
      <c r="I174">
        <f>Raw_Data!I174</f>
        <v/>
      </c>
      <c r="J174" s="12">
        <f>Raw_Data!J174</f>
        <v/>
      </c>
      <c r="K174" s="13">
        <f>Raw_Data!K174</f>
        <v/>
      </c>
      <c r="L174" s="12">
        <f>Raw_Data!L174</f>
        <v/>
      </c>
      <c r="M174" s="12">
        <f>Raw_Data!M174</f>
        <v/>
      </c>
      <c r="N174" s="12">
        <f>Raw_Data!N174</f>
        <v/>
      </c>
      <c r="O174">
        <f>Raw_Data!O174</f>
        <v/>
      </c>
      <c r="P174">
        <f>Raw_Data!P174</f>
        <v/>
      </c>
      <c r="Q174">
        <f>YEAR(B174)</f>
        <v/>
      </c>
      <c r="R174">
        <f>TEXT(B174,"mmm")</f>
        <v/>
      </c>
      <c r="S174" s="15">
        <f>IFERROR(N174/L174,0)</f>
        <v/>
      </c>
    </row>
    <row r="175">
      <c r="A175">
        <f>Raw_Data!A175</f>
        <v/>
      </c>
      <c r="B175" s="11">
        <f>Raw_Data!B175</f>
        <v/>
      </c>
      <c r="C175">
        <f>Raw_Data!C175</f>
        <v/>
      </c>
      <c r="D175">
        <f>Raw_Data!D175</f>
        <v/>
      </c>
      <c r="E175">
        <f>Raw_Data!E175</f>
        <v/>
      </c>
      <c r="F175">
        <f>Raw_Data!F175</f>
        <v/>
      </c>
      <c r="G175">
        <f>Raw_Data!G175</f>
        <v/>
      </c>
      <c r="H175">
        <f>Raw_Data!H175</f>
        <v/>
      </c>
      <c r="I175">
        <f>Raw_Data!I175</f>
        <v/>
      </c>
      <c r="J175" s="12">
        <f>Raw_Data!J175</f>
        <v/>
      </c>
      <c r="K175" s="13">
        <f>Raw_Data!K175</f>
        <v/>
      </c>
      <c r="L175" s="12">
        <f>Raw_Data!L175</f>
        <v/>
      </c>
      <c r="M175" s="12">
        <f>Raw_Data!M175</f>
        <v/>
      </c>
      <c r="N175" s="12">
        <f>Raw_Data!N175</f>
        <v/>
      </c>
      <c r="O175">
        <f>Raw_Data!O175</f>
        <v/>
      </c>
      <c r="P175">
        <f>Raw_Data!P175</f>
        <v/>
      </c>
      <c r="Q175">
        <f>YEAR(B175)</f>
        <v/>
      </c>
      <c r="R175">
        <f>TEXT(B175,"mmm")</f>
        <v/>
      </c>
      <c r="S175" s="15">
        <f>IFERROR(N175/L175,0)</f>
        <v/>
      </c>
    </row>
    <row r="176">
      <c r="A176">
        <f>Raw_Data!A176</f>
        <v/>
      </c>
      <c r="B176" s="11">
        <f>Raw_Data!B176</f>
        <v/>
      </c>
      <c r="C176">
        <f>Raw_Data!C176</f>
        <v/>
      </c>
      <c r="D176">
        <f>Raw_Data!D176</f>
        <v/>
      </c>
      <c r="E176">
        <f>Raw_Data!E176</f>
        <v/>
      </c>
      <c r="F176">
        <f>Raw_Data!F176</f>
        <v/>
      </c>
      <c r="G176">
        <f>Raw_Data!G176</f>
        <v/>
      </c>
      <c r="H176">
        <f>Raw_Data!H176</f>
        <v/>
      </c>
      <c r="I176">
        <f>Raw_Data!I176</f>
        <v/>
      </c>
      <c r="J176" s="12">
        <f>Raw_Data!J176</f>
        <v/>
      </c>
      <c r="K176" s="13">
        <f>Raw_Data!K176</f>
        <v/>
      </c>
      <c r="L176" s="12">
        <f>Raw_Data!L176</f>
        <v/>
      </c>
      <c r="M176" s="12">
        <f>Raw_Data!M176</f>
        <v/>
      </c>
      <c r="N176" s="12">
        <f>Raw_Data!N176</f>
        <v/>
      </c>
      <c r="O176">
        <f>Raw_Data!O176</f>
        <v/>
      </c>
      <c r="P176">
        <f>Raw_Data!P176</f>
        <v/>
      </c>
      <c r="Q176">
        <f>YEAR(B176)</f>
        <v/>
      </c>
      <c r="R176">
        <f>TEXT(B176,"mmm")</f>
        <v/>
      </c>
      <c r="S176" s="15">
        <f>IFERROR(N176/L176,0)</f>
        <v/>
      </c>
    </row>
    <row r="177">
      <c r="A177">
        <f>Raw_Data!A177</f>
        <v/>
      </c>
      <c r="B177" s="11">
        <f>Raw_Data!B177</f>
        <v/>
      </c>
      <c r="C177">
        <f>Raw_Data!C177</f>
        <v/>
      </c>
      <c r="D177">
        <f>Raw_Data!D177</f>
        <v/>
      </c>
      <c r="E177">
        <f>Raw_Data!E177</f>
        <v/>
      </c>
      <c r="F177">
        <f>Raw_Data!F177</f>
        <v/>
      </c>
      <c r="G177">
        <f>Raw_Data!G177</f>
        <v/>
      </c>
      <c r="H177">
        <f>Raw_Data!H177</f>
        <v/>
      </c>
      <c r="I177">
        <f>Raw_Data!I177</f>
        <v/>
      </c>
      <c r="J177" s="12">
        <f>Raw_Data!J177</f>
        <v/>
      </c>
      <c r="K177" s="13">
        <f>Raw_Data!K177</f>
        <v/>
      </c>
      <c r="L177" s="12">
        <f>Raw_Data!L177</f>
        <v/>
      </c>
      <c r="M177" s="12">
        <f>Raw_Data!M177</f>
        <v/>
      </c>
      <c r="N177" s="12">
        <f>Raw_Data!N177</f>
        <v/>
      </c>
      <c r="O177">
        <f>Raw_Data!O177</f>
        <v/>
      </c>
      <c r="P177">
        <f>Raw_Data!P177</f>
        <v/>
      </c>
      <c r="Q177">
        <f>YEAR(B177)</f>
        <v/>
      </c>
      <c r="R177">
        <f>TEXT(B177,"mmm")</f>
        <v/>
      </c>
      <c r="S177" s="15">
        <f>IFERROR(N177/L177,0)</f>
        <v/>
      </c>
    </row>
    <row r="178">
      <c r="A178">
        <f>Raw_Data!A178</f>
        <v/>
      </c>
      <c r="B178" s="11">
        <f>Raw_Data!B178</f>
        <v/>
      </c>
      <c r="C178">
        <f>Raw_Data!C178</f>
        <v/>
      </c>
      <c r="D178">
        <f>Raw_Data!D178</f>
        <v/>
      </c>
      <c r="E178">
        <f>Raw_Data!E178</f>
        <v/>
      </c>
      <c r="F178">
        <f>Raw_Data!F178</f>
        <v/>
      </c>
      <c r="G178">
        <f>Raw_Data!G178</f>
        <v/>
      </c>
      <c r="H178">
        <f>Raw_Data!H178</f>
        <v/>
      </c>
      <c r="I178">
        <f>Raw_Data!I178</f>
        <v/>
      </c>
      <c r="J178" s="12">
        <f>Raw_Data!J178</f>
        <v/>
      </c>
      <c r="K178" s="13">
        <f>Raw_Data!K178</f>
        <v/>
      </c>
      <c r="L178" s="12">
        <f>Raw_Data!L178</f>
        <v/>
      </c>
      <c r="M178" s="12">
        <f>Raw_Data!M178</f>
        <v/>
      </c>
      <c r="N178" s="12">
        <f>Raw_Data!N178</f>
        <v/>
      </c>
      <c r="O178">
        <f>Raw_Data!O178</f>
        <v/>
      </c>
      <c r="P178">
        <f>Raw_Data!P178</f>
        <v/>
      </c>
      <c r="Q178">
        <f>YEAR(B178)</f>
        <v/>
      </c>
      <c r="R178">
        <f>TEXT(B178,"mmm")</f>
        <v/>
      </c>
      <c r="S178" s="15">
        <f>IFERROR(N178/L178,0)</f>
        <v/>
      </c>
    </row>
    <row r="179">
      <c r="A179">
        <f>Raw_Data!A179</f>
        <v/>
      </c>
      <c r="B179" s="11">
        <f>Raw_Data!B179</f>
        <v/>
      </c>
      <c r="C179">
        <f>Raw_Data!C179</f>
        <v/>
      </c>
      <c r="D179">
        <f>Raw_Data!D179</f>
        <v/>
      </c>
      <c r="E179">
        <f>Raw_Data!E179</f>
        <v/>
      </c>
      <c r="F179">
        <f>Raw_Data!F179</f>
        <v/>
      </c>
      <c r="G179">
        <f>Raw_Data!G179</f>
        <v/>
      </c>
      <c r="H179">
        <f>Raw_Data!H179</f>
        <v/>
      </c>
      <c r="I179">
        <f>Raw_Data!I179</f>
        <v/>
      </c>
      <c r="J179" s="12">
        <f>Raw_Data!J179</f>
        <v/>
      </c>
      <c r="K179" s="13">
        <f>Raw_Data!K179</f>
        <v/>
      </c>
      <c r="L179" s="12">
        <f>Raw_Data!L179</f>
        <v/>
      </c>
      <c r="M179" s="12">
        <f>Raw_Data!M179</f>
        <v/>
      </c>
      <c r="N179" s="12">
        <f>Raw_Data!N179</f>
        <v/>
      </c>
      <c r="O179">
        <f>Raw_Data!O179</f>
        <v/>
      </c>
      <c r="P179">
        <f>Raw_Data!P179</f>
        <v/>
      </c>
      <c r="Q179">
        <f>YEAR(B179)</f>
        <v/>
      </c>
      <c r="R179">
        <f>TEXT(B179,"mmm")</f>
        <v/>
      </c>
      <c r="S179" s="15">
        <f>IFERROR(N179/L179,0)</f>
        <v/>
      </c>
    </row>
    <row r="180">
      <c r="A180">
        <f>Raw_Data!A180</f>
        <v/>
      </c>
      <c r="B180" s="11">
        <f>Raw_Data!B180</f>
        <v/>
      </c>
      <c r="C180">
        <f>Raw_Data!C180</f>
        <v/>
      </c>
      <c r="D180">
        <f>Raw_Data!D180</f>
        <v/>
      </c>
      <c r="E180">
        <f>Raw_Data!E180</f>
        <v/>
      </c>
      <c r="F180">
        <f>Raw_Data!F180</f>
        <v/>
      </c>
      <c r="G180">
        <f>Raw_Data!G180</f>
        <v/>
      </c>
      <c r="H180">
        <f>Raw_Data!H180</f>
        <v/>
      </c>
      <c r="I180">
        <f>Raw_Data!I180</f>
        <v/>
      </c>
      <c r="J180" s="12">
        <f>Raw_Data!J180</f>
        <v/>
      </c>
      <c r="K180" s="13">
        <f>Raw_Data!K180</f>
        <v/>
      </c>
      <c r="L180" s="12">
        <f>Raw_Data!L180</f>
        <v/>
      </c>
      <c r="M180" s="12">
        <f>Raw_Data!M180</f>
        <v/>
      </c>
      <c r="N180" s="12">
        <f>Raw_Data!N180</f>
        <v/>
      </c>
      <c r="O180">
        <f>Raw_Data!O180</f>
        <v/>
      </c>
      <c r="P180">
        <f>Raw_Data!P180</f>
        <v/>
      </c>
      <c r="Q180">
        <f>YEAR(B180)</f>
        <v/>
      </c>
      <c r="R180">
        <f>TEXT(B180,"mmm")</f>
        <v/>
      </c>
      <c r="S180" s="15">
        <f>IFERROR(N180/L180,0)</f>
        <v/>
      </c>
    </row>
    <row r="181">
      <c r="A181">
        <f>Raw_Data!A181</f>
        <v/>
      </c>
      <c r="B181" s="11">
        <f>Raw_Data!B181</f>
        <v/>
      </c>
      <c r="C181">
        <f>Raw_Data!C181</f>
        <v/>
      </c>
      <c r="D181">
        <f>Raw_Data!D181</f>
        <v/>
      </c>
      <c r="E181">
        <f>Raw_Data!E181</f>
        <v/>
      </c>
      <c r="F181">
        <f>Raw_Data!F181</f>
        <v/>
      </c>
      <c r="G181">
        <f>Raw_Data!G181</f>
        <v/>
      </c>
      <c r="H181">
        <f>Raw_Data!H181</f>
        <v/>
      </c>
      <c r="I181">
        <f>Raw_Data!I181</f>
        <v/>
      </c>
      <c r="J181" s="12">
        <f>Raw_Data!J181</f>
        <v/>
      </c>
      <c r="K181" s="13">
        <f>Raw_Data!K181</f>
        <v/>
      </c>
      <c r="L181" s="12">
        <f>Raw_Data!L181</f>
        <v/>
      </c>
      <c r="M181" s="12">
        <f>Raw_Data!M181</f>
        <v/>
      </c>
      <c r="N181" s="12">
        <f>Raw_Data!N181</f>
        <v/>
      </c>
      <c r="O181">
        <f>Raw_Data!O181</f>
        <v/>
      </c>
      <c r="P181">
        <f>Raw_Data!P181</f>
        <v/>
      </c>
      <c r="Q181">
        <f>YEAR(B181)</f>
        <v/>
      </c>
      <c r="R181">
        <f>TEXT(B181,"mmm")</f>
        <v/>
      </c>
      <c r="S181" s="15">
        <f>IFERROR(N181/L181,0)</f>
        <v/>
      </c>
    </row>
    <row r="182">
      <c r="A182">
        <f>Raw_Data!A182</f>
        <v/>
      </c>
      <c r="B182" s="11">
        <f>Raw_Data!B182</f>
        <v/>
      </c>
      <c r="C182">
        <f>Raw_Data!C182</f>
        <v/>
      </c>
      <c r="D182">
        <f>Raw_Data!D182</f>
        <v/>
      </c>
      <c r="E182">
        <f>Raw_Data!E182</f>
        <v/>
      </c>
      <c r="F182">
        <f>Raw_Data!F182</f>
        <v/>
      </c>
      <c r="G182">
        <f>Raw_Data!G182</f>
        <v/>
      </c>
      <c r="H182">
        <f>Raw_Data!H182</f>
        <v/>
      </c>
      <c r="I182">
        <f>Raw_Data!I182</f>
        <v/>
      </c>
      <c r="J182" s="12">
        <f>Raw_Data!J182</f>
        <v/>
      </c>
      <c r="K182" s="13">
        <f>Raw_Data!K182</f>
        <v/>
      </c>
      <c r="L182" s="12">
        <f>Raw_Data!L182</f>
        <v/>
      </c>
      <c r="M182" s="12">
        <f>Raw_Data!M182</f>
        <v/>
      </c>
      <c r="N182" s="12">
        <f>Raw_Data!N182</f>
        <v/>
      </c>
      <c r="O182">
        <f>Raw_Data!O182</f>
        <v/>
      </c>
      <c r="P182">
        <f>Raw_Data!P182</f>
        <v/>
      </c>
      <c r="Q182">
        <f>YEAR(B182)</f>
        <v/>
      </c>
      <c r="R182">
        <f>TEXT(B182,"mmm")</f>
        <v/>
      </c>
      <c r="S182" s="15">
        <f>IFERROR(N182/L182,0)</f>
        <v/>
      </c>
    </row>
    <row r="183">
      <c r="A183">
        <f>Raw_Data!A183</f>
        <v/>
      </c>
      <c r="B183" s="11">
        <f>Raw_Data!B183</f>
        <v/>
      </c>
      <c r="C183">
        <f>Raw_Data!C183</f>
        <v/>
      </c>
      <c r="D183">
        <f>Raw_Data!D183</f>
        <v/>
      </c>
      <c r="E183">
        <f>Raw_Data!E183</f>
        <v/>
      </c>
      <c r="F183">
        <f>Raw_Data!F183</f>
        <v/>
      </c>
      <c r="G183">
        <f>Raw_Data!G183</f>
        <v/>
      </c>
      <c r="H183">
        <f>Raw_Data!H183</f>
        <v/>
      </c>
      <c r="I183">
        <f>Raw_Data!I183</f>
        <v/>
      </c>
      <c r="J183" s="12">
        <f>Raw_Data!J183</f>
        <v/>
      </c>
      <c r="K183" s="13">
        <f>Raw_Data!K183</f>
        <v/>
      </c>
      <c r="L183" s="12">
        <f>Raw_Data!L183</f>
        <v/>
      </c>
      <c r="M183" s="12">
        <f>Raw_Data!M183</f>
        <v/>
      </c>
      <c r="N183" s="12">
        <f>Raw_Data!N183</f>
        <v/>
      </c>
      <c r="O183">
        <f>Raw_Data!O183</f>
        <v/>
      </c>
      <c r="P183">
        <f>Raw_Data!P183</f>
        <v/>
      </c>
      <c r="Q183">
        <f>YEAR(B183)</f>
        <v/>
      </c>
      <c r="R183">
        <f>TEXT(B183,"mmm")</f>
        <v/>
      </c>
      <c r="S183" s="15">
        <f>IFERROR(N183/L183,0)</f>
        <v/>
      </c>
    </row>
    <row r="184">
      <c r="A184">
        <f>Raw_Data!A184</f>
        <v/>
      </c>
      <c r="B184" s="11">
        <f>Raw_Data!B184</f>
        <v/>
      </c>
      <c r="C184">
        <f>Raw_Data!C184</f>
        <v/>
      </c>
      <c r="D184">
        <f>Raw_Data!D184</f>
        <v/>
      </c>
      <c r="E184">
        <f>Raw_Data!E184</f>
        <v/>
      </c>
      <c r="F184">
        <f>Raw_Data!F184</f>
        <v/>
      </c>
      <c r="G184">
        <f>Raw_Data!G184</f>
        <v/>
      </c>
      <c r="H184">
        <f>Raw_Data!H184</f>
        <v/>
      </c>
      <c r="I184">
        <f>Raw_Data!I184</f>
        <v/>
      </c>
      <c r="J184" s="12">
        <f>Raw_Data!J184</f>
        <v/>
      </c>
      <c r="K184" s="13">
        <f>Raw_Data!K184</f>
        <v/>
      </c>
      <c r="L184" s="12">
        <f>Raw_Data!L184</f>
        <v/>
      </c>
      <c r="M184" s="12">
        <f>Raw_Data!M184</f>
        <v/>
      </c>
      <c r="N184" s="12">
        <f>Raw_Data!N184</f>
        <v/>
      </c>
      <c r="O184">
        <f>Raw_Data!O184</f>
        <v/>
      </c>
      <c r="P184">
        <f>Raw_Data!P184</f>
        <v/>
      </c>
      <c r="Q184">
        <f>YEAR(B184)</f>
        <v/>
      </c>
      <c r="R184">
        <f>TEXT(B184,"mmm")</f>
        <v/>
      </c>
      <c r="S184" s="15">
        <f>IFERROR(N184/L184,0)</f>
        <v/>
      </c>
    </row>
    <row r="185">
      <c r="A185">
        <f>Raw_Data!A185</f>
        <v/>
      </c>
      <c r="B185" s="11">
        <f>Raw_Data!B185</f>
        <v/>
      </c>
      <c r="C185">
        <f>Raw_Data!C185</f>
        <v/>
      </c>
      <c r="D185">
        <f>Raw_Data!D185</f>
        <v/>
      </c>
      <c r="E185">
        <f>Raw_Data!E185</f>
        <v/>
      </c>
      <c r="F185">
        <f>Raw_Data!F185</f>
        <v/>
      </c>
      <c r="G185">
        <f>Raw_Data!G185</f>
        <v/>
      </c>
      <c r="H185">
        <f>Raw_Data!H185</f>
        <v/>
      </c>
      <c r="I185">
        <f>Raw_Data!I185</f>
        <v/>
      </c>
      <c r="J185" s="12">
        <f>Raw_Data!J185</f>
        <v/>
      </c>
      <c r="K185" s="13">
        <f>Raw_Data!K185</f>
        <v/>
      </c>
      <c r="L185" s="12">
        <f>Raw_Data!L185</f>
        <v/>
      </c>
      <c r="M185" s="12">
        <f>Raw_Data!M185</f>
        <v/>
      </c>
      <c r="N185" s="12">
        <f>Raw_Data!N185</f>
        <v/>
      </c>
      <c r="O185">
        <f>Raw_Data!O185</f>
        <v/>
      </c>
      <c r="P185">
        <f>Raw_Data!P185</f>
        <v/>
      </c>
      <c r="Q185">
        <f>YEAR(B185)</f>
        <v/>
      </c>
      <c r="R185">
        <f>TEXT(B185,"mmm")</f>
        <v/>
      </c>
      <c r="S185" s="15">
        <f>IFERROR(N185/L185,0)</f>
        <v/>
      </c>
    </row>
    <row r="186">
      <c r="A186">
        <f>Raw_Data!A186</f>
        <v/>
      </c>
      <c r="B186" s="11">
        <f>Raw_Data!B186</f>
        <v/>
      </c>
      <c r="C186">
        <f>Raw_Data!C186</f>
        <v/>
      </c>
      <c r="D186">
        <f>Raw_Data!D186</f>
        <v/>
      </c>
      <c r="E186">
        <f>Raw_Data!E186</f>
        <v/>
      </c>
      <c r="F186">
        <f>Raw_Data!F186</f>
        <v/>
      </c>
      <c r="G186">
        <f>Raw_Data!G186</f>
        <v/>
      </c>
      <c r="H186">
        <f>Raw_Data!H186</f>
        <v/>
      </c>
      <c r="I186">
        <f>Raw_Data!I186</f>
        <v/>
      </c>
      <c r="J186" s="12">
        <f>Raw_Data!J186</f>
        <v/>
      </c>
      <c r="K186" s="13">
        <f>Raw_Data!K186</f>
        <v/>
      </c>
      <c r="L186" s="12">
        <f>Raw_Data!L186</f>
        <v/>
      </c>
      <c r="M186" s="12">
        <f>Raw_Data!M186</f>
        <v/>
      </c>
      <c r="N186" s="12">
        <f>Raw_Data!N186</f>
        <v/>
      </c>
      <c r="O186">
        <f>Raw_Data!O186</f>
        <v/>
      </c>
      <c r="P186">
        <f>Raw_Data!P186</f>
        <v/>
      </c>
      <c r="Q186">
        <f>YEAR(B186)</f>
        <v/>
      </c>
      <c r="R186">
        <f>TEXT(B186,"mmm")</f>
        <v/>
      </c>
      <c r="S186" s="15">
        <f>IFERROR(N186/L186,0)</f>
        <v/>
      </c>
    </row>
    <row r="187">
      <c r="A187">
        <f>Raw_Data!A187</f>
        <v/>
      </c>
      <c r="B187" s="11">
        <f>Raw_Data!B187</f>
        <v/>
      </c>
      <c r="C187">
        <f>Raw_Data!C187</f>
        <v/>
      </c>
      <c r="D187">
        <f>Raw_Data!D187</f>
        <v/>
      </c>
      <c r="E187">
        <f>Raw_Data!E187</f>
        <v/>
      </c>
      <c r="F187">
        <f>Raw_Data!F187</f>
        <v/>
      </c>
      <c r="G187">
        <f>Raw_Data!G187</f>
        <v/>
      </c>
      <c r="H187">
        <f>Raw_Data!H187</f>
        <v/>
      </c>
      <c r="I187">
        <f>Raw_Data!I187</f>
        <v/>
      </c>
      <c r="J187" s="12">
        <f>Raw_Data!J187</f>
        <v/>
      </c>
      <c r="K187" s="13">
        <f>Raw_Data!K187</f>
        <v/>
      </c>
      <c r="L187" s="12">
        <f>Raw_Data!L187</f>
        <v/>
      </c>
      <c r="M187" s="12">
        <f>Raw_Data!M187</f>
        <v/>
      </c>
      <c r="N187" s="12">
        <f>Raw_Data!N187</f>
        <v/>
      </c>
      <c r="O187">
        <f>Raw_Data!O187</f>
        <v/>
      </c>
      <c r="P187">
        <f>Raw_Data!P187</f>
        <v/>
      </c>
      <c r="Q187">
        <f>YEAR(B187)</f>
        <v/>
      </c>
      <c r="R187">
        <f>TEXT(B187,"mmm")</f>
        <v/>
      </c>
      <c r="S187" s="15">
        <f>IFERROR(N187/L187,0)</f>
        <v/>
      </c>
    </row>
    <row r="188">
      <c r="A188">
        <f>Raw_Data!A188</f>
        <v/>
      </c>
      <c r="B188" s="11">
        <f>Raw_Data!B188</f>
        <v/>
      </c>
      <c r="C188">
        <f>Raw_Data!C188</f>
        <v/>
      </c>
      <c r="D188">
        <f>Raw_Data!D188</f>
        <v/>
      </c>
      <c r="E188">
        <f>Raw_Data!E188</f>
        <v/>
      </c>
      <c r="F188">
        <f>Raw_Data!F188</f>
        <v/>
      </c>
      <c r="G188">
        <f>Raw_Data!G188</f>
        <v/>
      </c>
      <c r="H188">
        <f>Raw_Data!H188</f>
        <v/>
      </c>
      <c r="I188">
        <f>Raw_Data!I188</f>
        <v/>
      </c>
      <c r="J188" s="12">
        <f>Raw_Data!J188</f>
        <v/>
      </c>
      <c r="K188" s="13">
        <f>Raw_Data!K188</f>
        <v/>
      </c>
      <c r="L188" s="12">
        <f>Raw_Data!L188</f>
        <v/>
      </c>
      <c r="M188" s="12">
        <f>Raw_Data!M188</f>
        <v/>
      </c>
      <c r="N188" s="12">
        <f>Raw_Data!N188</f>
        <v/>
      </c>
      <c r="O188">
        <f>Raw_Data!O188</f>
        <v/>
      </c>
      <c r="P188">
        <f>Raw_Data!P188</f>
        <v/>
      </c>
      <c r="Q188">
        <f>YEAR(B188)</f>
        <v/>
      </c>
      <c r="R188">
        <f>TEXT(B188,"mmm")</f>
        <v/>
      </c>
      <c r="S188" s="15">
        <f>IFERROR(N188/L188,0)</f>
        <v/>
      </c>
    </row>
    <row r="189">
      <c r="A189">
        <f>Raw_Data!A189</f>
        <v/>
      </c>
      <c r="B189" s="11">
        <f>Raw_Data!B189</f>
        <v/>
      </c>
      <c r="C189">
        <f>Raw_Data!C189</f>
        <v/>
      </c>
      <c r="D189">
        <f>Raw_Data!D189</f>
        <v/>
      </c>
      <c r="E189">
        <f>Raw_Data!E189</f>
        <v/>
      </c>
      <c r="F189">
        <f>Raw_Data!F189</f>
        <v/>
      </c>
      <c r="G189">
        <f>Raw_Data!G189</f>
        <v/>
      </c>
      <c r="H189">
        <f>Raw_Data!H189</f>
        <v/>
      </c>
      <c r="I189">
        <f>Raw_Data!I189</f>
        <v/>
      </c>
      <c r="J189" s="12">
        <f>Raw_Data!J189</f>
        <v/>
      </c>
      <c r="K189" s="13">
        <f>Raw_Data!K189</f>
        <v/>
      </c>
      <c r="L189" s="12">
        <f>Raw_Data!L189</f>
        <v/>
      </c>
      <c r="M189" s="12">
        <f>Raw_Data!M189</f>
        <v/>
      </c>
      <c r="N189" s="12">
        <f>Raw_Data!N189</f>
        <v/>
      </c>
      <c r="O189">
        <f>Raw_Data!O189</f>
        <v/>
      </c>
      <c r="P189">
        <f>Raw_Data!P189</f>
        <v/>
      </c>
      <c r="Q189">
        <f>YEAR(B189)</f>
        <v/>
      </c>
      <c r="R189">
        <f>TEXT(B189,"mmm")</f>
        <v/>
      </c>
      <c r="S189" s="15">
        <f>IFERROR(N189/L189,0)</f>
        <v/>
      </c>
    </row>
    <row r="190">
      <c r="A190">
        <f>Raw_Data!A190</f>
        <v/>
      </c>
      <c r="B190" s="11">
        <f>Raw_Data!B190</f>
        <v/>
      </c>
      <c r="C190">
        <f>Raw_Data!C190</f>
        <v/>
      </c>
      <c r="D190">
        <f>Raw_Data!D190</f>
        <v/>
      </c>
      <c r="E190">
        <f>Raw_Data!E190</f>
        <v/>
      </c>
      <c r="F190">
        <f>Raw_Data!F190</f>
        <v/>
      </c>
      <c r="G190">
        <f>Raw_Data!G190</f>
        <v/>
      </c>
      <c r="H190">
        <f>Raw_Data!H190</f>
        <v/>
      </c>
      <c r="I190">
        <f>Raw_Data!I190</f>
        <v/>
      </c>
      <c r="J190" s="12">
        <f>Raw_Data!J190</f>
        <v/>
      </c>
      <c r="K190" s="13">
        <f>Raw_Data!K190</f>
        <v/>
      </c>
      <c r="L190" s="12">
        <f>Raw_Data!L190</f>
        <v/>
      </c>
      <c r="M190" s="12">
        <f>Raw_Data!M190</f>
        <v/>
      </c>
      <c r="N190" s="12">
        <f>Raw_Data!N190</f>
        <v/>
      </c>
      <c r="O190">
        <f>Raw_Data!O190</f>
        <v/>
      </c>
      <c r="P190">
        <f>Raw_Data!P190</f>
        <v/>
      </c>
      <c r="Q190">
        <f>YEAR(B190)</f>
        <v/>
      </c>
      <c r="R190">
        <f>TEXT(B190,"mmm")</f>
        <v/>
      </c>
      <c r="S190" s="15">
        <f>IFERROR(N190/L190,0)</f>
        <v/>
      </c>
    </row>
    <row r="191">
      <c r="A191">
        <f>Raw_Data!A191</f>
        <v/>
      </c>
      <c r="B191" s="11">
        <f>Raw_Data!B191</f>
        <v/>
      </c>
      <c r="C191">
        <f>Raw_Data!C191</f>
        <v/>
      </c>
      <c r="D191">
        <f>Raw_Data!D191</f>
        <v/>
      </c>
      <c r="E191">
        <f>Raw_Data!E191</f>
        <v/>
      </c>
      <c r="F191">
        <f>Raw_Data!F191</f>
        <v/>
      </c>
      <c r="G191">
        <f>Raw_Data!G191</f>
        <v/>
      </c>
      <c r="H191">
        <f>Raw_Data!H191</f>
        <v/>
      </c>
      <c r="I191">
        <f>Raw_Data!I191</f>
        <v/>
      </c>
      <c r="J191" s="12">
        <f>Raw_Data!J191</f>
        <v/>
      </c>
      <c r="K191" s="13">
        <f>Raw_Data!K191</f>
        <v/>
      </c>
      <c r="L191" s="12">
        <f>Raw_Data!L191</f>
        <v/>
      </c>
      <c r="M191" s="12">
        <f>Raw_Data!M191</f>
        <v/>
      </c>
      <c r="N191" s="12">
        <f>Raw_Data!N191</f>
        <v/>
      </c>
      <c r="O191">
        <f>Raw_Data!O191</f>
        <v/>
      </c>
      <c r="P191">
        <f>Raw_Data!P191</f>
        <v/>
      </c>
      <c r="Q191">
        <f>YEAR(B191)</f>
        <v/>
      </c>
      <c r="R191">
        <f>TEXT(B191,"mmm")</f>
        <v/>
      </c>
      <c r="S191" s="15">
        <f>IFERROR(N191/L191,0)</f>
        <v/>
      </c>
    </row>
    <row r="192">
      <c r="A192">
        <f>Raw_Data!A192</f>
        <v/>
      </c>
      <c r="B192" s="11">
        <f>Raw_Data!B192</f>
        <v/>
      </c>
      <c r="C192">
        <f>Raw_Data!C192</f>
        <v/>
      </c>
      <c r="D192">
        <f>Raw_Data!D192</f>
        <v/>
      </c>
      <c r="E192">
        <f>Raw_Data!E192</f>
        <v/>
      </c>
      <c r="F192">
        <f>Raw_Data!F192</f>
        <v/>
      </c>
      <c r="G192">
        <f>Raw_Data!G192</f>
        <v/>
      </c>
      <c r="H192">
        <f>Raw_Data!H192</f>
        <v/>
      </c>
      <c r="I192">
        <f>Raw_Data!I192</f>
        <v/>
      </c>
      <c r="J192" s="12">
        <f>Raw_Data!J192</f>
        <v/>
      </c>
      <c r="K192" s="13">
        <f>Raw_Data!K192</f>
        <v/>
      </c>
      <c r="L192" s="12">
        <f>Raw_Data!L192</f>
        <v/>
      </c>
      <c r="M192" s="12">
        <f>Raw_Data!M192</f>
        <v/>
      </c>
      <c r="N192" s="12">
        <f>Raw_Data!N192</f>
        <v/>
      </c>
      <c r="O192">
        <f>Raw_Data!O192</f>
        <v/>
      </c>
      <c r="P192">
        <f>Raw_Data!P192</f>
        <v/>
      </c>
      <c r="Q192">
        <f>YEAR(B192)</f>
        <v/>
      </c>
      <c r="R192">
        <f>TEXT(B192,"mmm")</f>
        <v/>
      </c>
      <c r="S192" s="15">
        <f>IFERROR(N192/L192,0)</f>
        <v/>
      </c>
    </row>
    <row r="193">
      <c r="A193">
        <f>Raw_Data!A193</f>
        <v/>
      </c>
      <c r="B193" s="11">
        <f>Raw_Data!B193</f>
        <v/>
      </c>
      <c r="C193">
        <f>Raw_Data!C193</f>
        <v/>
      </c>
      <c r="D193">
        <f>Raw_Data!D193</f>
        <v/>
      </c>
      <c r="E193">
        <f>Raw_Data!E193</f>
        <v/>
      </c>
      <c r="F193">
        <f>Raw_Data!F193</f>
        <v/>
      </c>
      <c r="G193">
        <f>Raw_Data!G193</f>
        <v/>
      </c>
      <c r="H193">
        <f>Raw_Data!H193</f>
        <v/>
      </c>
      <c r="I193">
        <f>Raw_Data!I193</f>
        <v/>
      </c>
      <c r="J193" s="12">
        <f>Raw_Data!J193</f>
        <v/>
      </c>
      <c r="K193" s="13">
        <f>Raw_Data!K193</f>
        <v/>
      </c>
      <c r="L193" s="12">
        <f>Raw_Data!L193</f>
        <v/>
      </c>
      <c r="M193" s="12">
        <f>Raw_Data!M193</f>
        <v/>
      </c>
      <c r="N193" s="12">
        <f>Raw_Data!N193</f>
        <v/>
      </c>
      <c r="O193">
        <f>Raw_Data!O193</f>
        <v/>
      </c>
      <c r="P193">
        <f>Raw_Data!P193</f>
        <v/>
      </c>
      <c r="Q193">
        <f>YEAR(B193)</f>
        <v/>
      </c>
      <c r="R193">
        <f>TEXT(B193,"mmm")</f>
        <v/>
      </c>
      <c r="S193" s="15">
        <f>IFERROR(N193/L193,0)</f>
        <v/>
      </c>
    </row>
    <row r="194">
      <c r="A194">
        <f>Raw_Data!A194</f>
        <v/>
      </c>
      <c r="B194" s="11">
        <f>Raw_Data!B194</f>
        <v/>
      </c>
      <c r="C194">
        <f>Raw_Data!C194</f>
        <v/>
      </c>
      <c r="D194">
        <f>Raw_Data!D194</f>
        <v/>
      </c>
      <c r="E194">
        <f>Raw_Data!E194</f>
        <v/>
      </c>
      <c r="F194">
        <f>Raw_Data!F194</f>
        <v/>
      </c>
      <c r="G194">
        <f>Raw_Data!G194</f>
        <v/>
      </c>
      <c r="H194">
        <f>Raw_Data!H194</f>
        <v/>
      </c>
      <c r="I194">
        <f>Raw_Data!I194</f>
        <v/>
      </c>
      <c r="J194" s="12">
        <f>Raw_Data!J194</f>
        <v/>
      </c>
      <c r="K194" s="13">
        <f>Raw_Data!K194</f>
        <v/>
      </c>
      <c r="L194" s="12">
        <f>Raw_Data!L194</f>
        <v/>
      </c>
      <c r="M194" s="12">
        <f>Raw_Data!M194</f>
        <v/>
      </c>
      <c r="N194" s="12">
        <f>Raw_Data!N194</f>
        <v/>
      </c>
      <c r="O194">
        <f>Raw_Data!O194</f>
        <v/>
      </c>
      <c r="P194">
        <f>Raw_Data!P194</f>
        <v/>
      </c>
      <c r="Q194">
        <f>YEAR(B194)</f>
        <v/>
      </c>
      <c r="R194">
        <f>TEXT(B194,"mmm")</f>
        <v/>
      </c>
      <c r="S194" s="15">
        <f>IFERROR(N194/L194,0)</f>
        <v/>
      </c>
    </row>
    <row r="195">
      <c r="A195">
        <f>Raw_Data!A195</f>
        <v/>
      </c>
      <c r="B195" s="11">
        <f>Raw_Data!B195</f>
        <v/>
      </c>
      <c r="C195">
        <f>Raw_Data!C195</f>
        <v/>
      </c>
      <c r="D195">
        <f>Raw_Data!D195</f>
        <v/>
      </c>
      <c r="E195">
        <f>Raw_Data!E195</f>
        <v/>
      </c>
      <c r="F195">
        <f>Raw_Data!F195</f>
        <v/>
      </c>
      <c r="G195">
        <f>Raw_Data!G195</f>
        <v/>
      </c>
      <c r="H195">
        <f>Raw_Data!H195</f>
        <v/>
      </c>
      <c r="I195">
        <f>Raw_Data!I195</f>
        <v/>
      </c>
      <c r="J195" s="12">
        <f>Raw_Data!J195</f>
        <v/>
      </c>
      <c r="K195" s="13">
        <f>Raw_Data!K195</f>
        <v/>
      </c>
      <c r="L195" s="12">
        <f>Raw_Data!L195</f>
        <v/>
      </c>
      <c r="M195" s="12">
        <f>Raw_Data!M195</f>
        <v/>
      </c>
      <c r="N195" s="12">
        <f>Raw_Data!N195</f>
        <v/>
      </c>
      <c r="O195">
        <f>Raw_Data!O195</f>
        <v/>
      </c>
      <c r="P195">
        <f>Raw_Data!P195</f>
        <v/>
      </c>
      <c r="Q195">
        <f>YEAR(B195)</f>
        <v/>
      </c>
      <c r="R195">
        <f>TEXT(B195,"mmm")</f>
        <v/>
      </c>
      <c r="S195" s="15">
        <f>IFERROR(N195/L195,0)</f>
        <v/>
      </c>
    </row>
    <row r="196">
      <c r="A196">
        <f>Raw_Data!A196</f>
        <v/>
      </c>
      <c r="B196" s="11">
        <f>Raw_Data!B196</f>
        <v/>
      </c>
      <c r="C196">
        <f>Raw_Data!C196</f>
        <v/>
      </c>
      <c r="D196">
        <f>Raw_Data!D196</f>
        <v/>
      </c>
      <c r="E196">
        <f>Raw_Data!E196</f>
        <v/>
      </c>
      <c r="F196">
        <f>Raw_Data!F196</f>
        <v/>
      </c>
      <c r="G196">
        <f>Raw_Data!G196</f>
        <v/>
      </c>
      <c r="H196">
        <f>Raw_Data!H196</f>
        <v/>
      </c>
      <c r="I196">
        <f>Raw_Data!I196</f>
        <v/>
      </c>
      <c r="J196" s="12">
        <f>Raw_Data!J196</f>
        <v/>
      </c>
      <c r="K196" s="13">
        <f>Raw_Data!K196</f>
        <v/>
      </c>
      <c r="L196" s="12">
        <f>Raw_Data!L196</f>
        <v/>
      </c>
      <c r="M196" s="12">
        <f>Raw_Data!M196</f>
        <v/>
      </c>
      <c r="N196" s="12">
        <f>Raw_Data!N196</f>
        <v/>
      </c>
      <c r="O196">
        <f>Raw_Data!O196</f>
        <v/>
      </c>
      <c r="P196">
        <f>Raw_Data!P196</f>
        <v/>
      </c>
      <c r="Q196">
        <f>YEAR(B196)</f>
        <v/>
      </c>
      <c r="R196">
        <f>TEXT(B196,"mmm")</f>
        <v/>
      </c>
      <c r="S196" s="15">
        <f>IFERROR(N196/L196,0)</f>
        <v/>
      </c>
    </row>
    <row r="197">
      <c r="A197">
        <f>Raw_Data!A197</f>
        <v/>
      </c>
      <c r="B197" s="11">
        <f>Raw_Data!B197</f>
        <v/>
      </c>
      <c r="C197">
        <f>Raw_Data!C197</f>
        <v/>
      </c>
      <c r="D197">
        <f>Raw_Data!D197</f>
        <v/>
      </c>
      <c r="E197">
        <f>Raw_Data!E197</f>
        <v/>
      </c>
      <c r="F197">
        <f>Raw_Data!F197</f>
        <v/>
      </c>
      <c r="G197">
        <f>Raw_Data!G197</f>
        <v/>
      </c>
      <c r="H197">
        <f>Raw_Data!H197</f>
        <v/>
      </c>
      <c r="I197">
        <f>Raw_Data!I197</f>
        <v/>
      </c>
      <c r="J197" s="12">
        <f>Raw_Data!J197</f>
        <v/>
      </c>
      <c r="K197" s="13">
        <f>Raw_Data!K197</f>
        <v/>
      </c>
      <c r="L197" s="12">
        <f>Raw_Data!L197</f>
        <v/>
      </c>
      <c r="M197" s="12">
        <f>Raw_Data!M197</f>
        <v/>
      </c>
      <c r="N197" s="12">
        <f>Raw_Data!N197</f>
        <v/>
      </c>
      <c r="O197">
        <f>Raw_Data!O197</f>
        <v/>
      </c>
      <c r="P197">
        <f>Raw_Data!P197</f>
        <v/>
      </c>
      <c r="Q197">
        <f>YEAR(B197)</f>
        <v/>
      </c>
      <c r="R197">
        <f>TEXT(B197,"mmm")</f>
        <v/>
      </c>
      <c r="S197" s="15">
        <f>IFERROR(N197/L197,0)</f>
        <v/>
      </c>
    </row>
    <row r="198">
      <c r="A198">
        <f>Raw_Data!A198</f>
        <v/>
      </c>
      <c r="B198" s="11">
        <f>Raw_Data!B198</f>
        <v/>
      </c>
      <c r="C198">
        <f>Raw_Data!C198</f>
        <v/>
      </c>
      <c r="D198">
        <f>Raw_Data!D198</f>
        <v/>
      </c>
      <c r="E198">
        <f>Raw_Data!E198</f>
        <v/>
      </c>
      <c r="F198">
        <f>Raw_Data!F198</f>
        <v/>
      </c>
      <c r="G198">
        <f>Raw_Data!G198</f>
        <v/>
      </c>
      <c r="H198">
        <f>Raw_Data!H198</f>
        <v/>
      </c>
      <c r="I198">
        <f>Raw_Data!I198</f>
        <v/>
      </c>
      <c r="J198" s="12">
        <f>Raw_Data!J198</f>
        <v/>
      </c>
      <c r="K198" s="13">
        <f>Raw_Data!K198</f>
        <v/>
      </c>
      <c r="L198" s="12">
        <f>Raw_Data!L198</f>
        <v/>
      </c>
      <c r="M198" s="12">
        <f>Raw_Data!M198</f>
        <v/>
      </c>
      <c r="N198" s="12">
        <f>Raw_Data!N198</f>
        <v/>
      </c>
      <c r="O198">
        <f>Raw_Data!O198</f>
        <v/>
      </c>
      <c r="P198">
        <f>Raw_Data!P198</f>
        <v/>
      </c>
      <c r="Q198">
        <f>YEAR(B198)</f>
        <v/>
      </c>
      <c r="R198">
        <f>TEXT(B198,"mmm")</f>
        <v/>
      </c>
      <c r="S198" s="15">
        <f>IFERROR(N198/L198,0)</f>
        <v/>
      </c>
    </row>
    <row r="199">
      <c r="A199">
        <f>Raw_Data!A199</f>
        <v/>
      </c>
      <c r="B199" s="11">
        <f>Raw_Data!B199</f>
        <v/>
      </c>
      <c r="C199">
        <f>Raw_Data!C199</f>
        <v/>
      </c>
      <c r="D199">
        <f>Raw_Data!D199</f>
        <v/>
      </c>
      <c r="E199">
        <f>Raw_Data!E199</f>
        <v/>
      </c>
      <c r="F199">
        <f>Raw_Data!F199</f>
        <v/>
      </c>
      <c r="G199">
        <f>Raw_Data!G199</f>
        <v/>
      </c>
      <c r="H199">
        <f>Raw_Data!H199</f>
        <v/>
      </c>
      <c r="I199">
        <f>Raw_Data!I199</f>
        <v/>
      </c>
      <c r="J199" s="12">
        <f>Raw_Data!J199</f>
        <v/>
      </c>
      <c r="K199" s="13">
        <f>Raw_Data!K199</f>
        <v/>
      </c>
      <c r="L199" s="12">
        <f>Raw_Data!L199</f>
        <v/>
      </c>
      <c r="M199" s="12">
        <f>Raw_Data!M199</f>
        <v/>
      </c>
      <c r="N199" s="12">
        <f>Raw_Data!N199</f>
        <v/>
      </c>
      <c r="O199">
        <f>Raw_Data!O199</f>
        <v/>
      </c>
      <c r="P199">
        <f>Raw_Data!P199</f>
        <v/>
      </c>
      <c r="Q199">
        <f>YEAR(B199)</f>
        <v/>
      </c>
      <c r="R199">
        <f>TEXT(B199,"mmm")</f>
        <v/>
      </c>
      <c r="S199" s="15">
        <f>IFERROR(N199/L199,0)</f>
        <v/>
      </c>
    </row>
    <row r="200">
      <c r="A200">
        <f>Raw_Data!A200</f>
        <v/>
      </c>
      <c r="B200" s="11">
        <f>Raw_Data!B200</f>
        <v/>
      </c>
      <c r="C200">
        <f>Raw_Data!C200</f>
        <v/>
      </c>
      <c r="D200">
        <f>Raw_Data!D200</f>
        <v/>
      </c>
      <c r="E200">
        <f>Raw_Data!E200</f>
        <v/>
      </c>
      <c r="F200">
        <f>Raw_Data!F200</f>
        <v/>
      </c>
      <c r="G200">
        <f>Raw_Data!G200</f>
        <v/>
      </c>
      <c r="H200">
        <f>Raw_Data!H200</f>
        <v/>
      </c>
      <c r="I200">
        <f>Raw_Data!I200</f>
        <v/>
      </c>
      <c r="J200" s="12">
        <f>Raw_Data!J200</f>
        <v/>
      </c>
      <c r="K200" s="13">
        <f>Raw_Data!K200</f>
        <v/>
      </c>
      <c r="L200" s="12">
        <f>Raw_Data!L200</f>
        <v/>
      </c>
      <c r="M200" s="12">
        <f>Raw_Data!M200</f>
        <v/>
      </c>
      <c r="N200" s="12">
        <f>Raw_Data!N200</f>
        <v/>
      </c>
      <c r="O200">
        <f>Raw_Data!O200</f>
        <v/>
      </c>
      <c r="P200">
        <f>Raw_Data!P200</f>
        <v/>
      </c>
      <c r="Q200">
        <f>YEAR(B200)</f>
        <v/>
      </c>
      <c r="R200">
        <f>TEXT(B200,"mmm")</f>
        <v/>
      </c>
      <c r="S200" s="15">
        <f>IFERROR(N200/L200,0)</f>
        <v/>
      </c>
    </row>
    <row r="201">
      <c r="A201">
        <f>Raw_Data!A201</f>
        <v/>
      </c>
      <c r="B201" s="11">
        <f>Raw_Data!B201</f>
        <v/>
      </c>
      <c r="C201">
        <f>Raw_Data!C201</f>
        <v/>
      </c>
      <c r="D201">
        <f>Raw_Data!D201</f>
        <v/>
      </c>
      <c r="E201">
        <f>Raw_Data!E201</f>
        <v/>
      </c>
      <c r="F201">
        <f>Raw_Data!F201</f>
        <v/>
      </c>
      <c r="G201">
        <f>Raw_Data!G201</f>
        <v/>
      </c>
      <c r="H201">
        <f>Raw_Data!H201</f>
        <v/>
      </c>
      <c r="I201">
        <f>Raw_Data!I201</f>
        <v/>
      </c>
      <c r="J201" s="12">
        <f>Raw_Data!J201</f>
        <v/>
      </c>
      <c r="K201" s="13">
        <f>Raw_Data!K201</f>
        <v/>
      </c>
      <c r="L201" s="12">
        <f>Raw_Data!L201</f>
        <v/>
      </c>
      <c r="M201" s="12">
        <f>Raw_Data!M201</f>
        <v/>
      </c>
      <c r="N201" s="12">
        <f>Raw_Data!N201</f>
        <v/>
      </c>
      <c r="O201">
        <f>Raw_Data!O201</f>
        <v/>
      </c>
      <c r="P201">
        <f>Raw_Data!P201</f>
        <v/>
      </c>
      <c r="Q201">
        <f>YEAR(B201)</f>
        <v/>
      </c>
      <c r="R201">
        <f>TEXT(B201,"mmm")</f>
        <v/>
      </c>
      <c r="S201" s="15">
        <f>IFERROR(N201/L201,0)</f>
        <v/>
      </c>
    </row>
    <row r="202">
      <c r="A202">
        <f>Raw_Data!A202</f>
        <v/>
      </c>
      <c r="B202" s="11">
        <f>Raw_Data!B202</f>
        <v/>
      </c>
      <c r="C202">
        <f>Raw_Data!C202</f>
        <v/>
      </c>
      <c r="D202">
        <f>Raw_Data!D202</f>
        <v/>
      </c>
      <c r="E202">
        <f>Raw_Data!E202</f>
        <v/>
      </c>
      <c r="F202">
        <f>Raw_Data!F202</f>
        <v/>
      </c>
      <c r="G202">
        <f>Raw_Data!G202</f>
        <v/>
      </c>
      <c r="H202">
        <f>Raw_Data!H202</f>
        <v/>
      </c>
      <c r="I202">
        <f>Raw_Data!I202</f>
        <v/>
      </c>
      <c r="J202" s="12">
        <f>Raw_Data!J202</f>
        <v/>
      </c>
      <c r="K202" s="13">
        <f>Raw_Data!K202</f>
        <v/>
      </c>
      <c r="L202" s="12">
        <f>Raw_Data!L202</f>
        <v/>
      </c>
      <c r="M202" s="12">
        <f>Raw_Data!M202</f>
        <v/>
      </c>
      <c r="N202" s="12">
        <f>Raw_Data!N202</f>
        <v/>
      </c>
      <c r="O202">
        <f>Raw_Data!O202</f>
        <v/>
      </c>
      <c r="P202">
        <f>Raw_Data!P202</f>
        <v/>
      </c>
      <c r="Q202">
        <f>YEAR(B202)</f>
        <v/>
      </c>
      <c r="R202">
        <f>TEXT(B202,"mmm")</f>
        <v/>
      </c>
      <c r="S202" s="15">
        <f>IFERROR(N202/L202,0)</f>
        <v/>
      </c>
    </row>
    <row r="203">
      <c r="A203">
        <f>Raw_Data!A203</f>
        <v/>
      </c>
      <c r="B203" s="11">
        <f>Raw_Data!B203</f>
        <v/>
      </c>
      <c r="C203">
        <f>Raw_Data!C203</f>
        <v/>
      </c>
      <c r="D203">
        <f>Raw_Data!D203</f>
        <v/>
      </c>
      <c r="E203">
        <f>Raw_Data!E203</f>
        <v/>
      </c>
      <c r="F203">
        <f>Raw_Data!F203</f>
        <v/>
      </c>
      <c r="G203">
        <f>Raw_Data!G203</f>
        <v/>
      </c>
      <c r="H203">
        <f>Raw_Data!H203</f>
        <v/>
      </c>
      <c r="I203">
        <f>Raw_Data!I203</f>
        <v/>
      </c>
      <c r="J203" s="12">
        <f>Raw_Data!J203</f>
        <v/>
      </c>
      <c r="K203" s="13">
        <f>Raw_Data!K203</f>
        <v/>
      </c>
      <c r="L203" s="12">
        <f>Raw_Data!L203</f>
        <v/>
      </c>
      <c r="M203" s="12">
        <f>Raw_Data!M203</f>
        <v/>
      </c>
      <c r="N203" s="12">
        <f>Raw_Data!N203</f>
        <v/>
      </c>
      <c r="O203">
        <f>Raw_Data!O203</f>
        <v/>
      </c>
      <c r="P203">
        <f>Raw_Data!P203</f>
        <v/>
      </c>
      <c r="Q203">
        <f>YEAR(B203)</f>
        <v/>
      </c>
      <c r="R203">
        <f>TEXT(B203,"mmm")</f>
        <v/>
      </c>
      <c r="S203" s="15">
        <f>IFERROR(N203/L203,0)</f>
        <v/>
      </c>
    </row>
    <row r="204">
      <c r="A204">
        <f>Raw_Data!A204</f>
        <v/>
      </c>
      <c r="B204" s="11">
        <f>Raw_Data!B204</f>
        <v/>
      </c>
      <c r="C204">
        <f>Raw_Data!C204</f>
        <v/>
      </c>
      <c r="D204">
        <f>Raw_Data!D204</f>
        <v/>
      </c>
      <c r="E204">
        <f>Raw_Data!E204</f>
        <v/>
      </c>
      <c r="F204">
        <f>Raw_Data!F204</f>
        <v/>
      </c>
      <c r="G204">
        <f>Raw_Data!G204</f>
        <v/>
      </c>
      <c r="H204">
        <f>Raw_Data!H204</f>
        <v/>
      </c>
      <c r="I204">
        <f>Raw_Data!I204</f>
        <v/>
      </c>
      <c r="J204" s="12">
        <f>Raw_Data!J204</f>
        <v/>
      </c>
      <c r="K204" s="13">
        <f>Raw_Data!K204</f>
        <v/>
      </c>
      <c r="L204" s="12">
        <f>Raw_Data!L204</f>
        <v/>
      </c>
      <c r="M204" s="12">
        <f>Raw_Data!M204</f>
        <v/>
      </c>
      <c r="N204" s="12">
        <f>Raw_Data!N204</f>
        <v/>
      </c>
      <c r="O204">
        <f>Raw_Data!O204</f>
        <v/>
      </c>
      <c r="P204">
        <f>Raw_Data!P204</f>
        <v/>
      </c>
      <c r="Q204">
        <f>YEAR(B204)</f>
        <v/>
      </c>
      <c r="R204">
        <f>TEXT(B204,"mmm")</f>
        <v/>
      </c>
      <c r="S204" s="15">
        <f>IFERROR(N204/L204,0)</f>
        <v/>
      </c>
    </row>
    <row r="205">
      <c r="A205">
        <f>Raw_Data!A205</f>
        <v/>
      </c>
      <c r="B205" s="11">
        <f>Raw_Data!B205</f>
        <v/>
      </c>
      <c r="C205">
        <f>Raw_Data!C205</f>
        <v/>
      </c>
      <c r="D205">
        <f>Raw_Data!D205</f>
        <v/>
      </c>
      <c r="E205">
        <f>Raw_Data!E205</f>
        <v/>
      </c>
      <c r="F205">
        <f>Raw_Data!F205</f>
        <v/>
      </c>
      <c r="G205">
        <f>Raw_Data!G205</f>
        <v/>
      </c>
      <c r="H205">
        <f>Raw_Data!H205</f>
        <v/>
      </c>
      <c r="I205">
        <f>Raw_Data!I205</f>
        <v/>
      </c>
      <c r="J205" s="12">
        <f>Raw_Data!J205</f>
        <v/>
      </c>
      <c r="K205" s="13">
        <f>Raw_Data!K205</f>
        <v/>
      </c>
      <c r="L205" s="12">
        <f>Raw_Data!L205</f>
        <v/>
      </c>
      <c r="M205" s="12">
        <f>Raw_Data!M205</f>
        <v/>
      </c>
      <c r="N205" s="12">
        <f>Raw_Data!N205</f>
        <v/>
      </c>
      <c r="O205">
        <f>Raw_Data!O205</f>
        <v/>
      </c>
      <c r="P205">
        <f>Raw_Data!P205</f>
        <v/>
      </c>
      <c r="Q205">
        <f>YEAR(B205)</f>
        <v/>
      </c>
      <c r="R205">
        <f>TEXT(B205,"mmm")</f>
        <v/>
      </c>
      <c r="S205" s="15">
        <f>IFERROR(N205/L205,0)</f>
        <v/>
      </c>
    </row>
    <row r="206">
      <c r="A206">
        <f>Raw_Data!A206</f>
        <v/>
      </c>
      <c r="B206" s="11">
        <f>Raw_Data!B206</f>
        <v/>
      </c>
      <c r="C206">
        <f>Raw_Data!C206</f>
        <v/>
      </c>
      <c r="D206">
        <f>Raw_Data!D206</f>
        <v/>
      </c>
      <c r="E206">
        <f>Raw_Data!E206</f>
        <v/>
      </c>
      <c r="F206">
        <f>Raw_Data!F206</f>
        <v/>
      </c>
      <c r="G206">
        <f>Raw_Data!G206</f>
        <v/>
      </c>
      <c r="H206">
        <f>Raw_Data!H206</f>
        <v/>
      </c>
      <c r="I206">
        <f>Raw_Data!I206</f>
        <v/>
      </c>
      <c r="J206" s="12">
        <f>Raw_Data!J206</f>
        <v/>
      </c>
      <c r="K206" s="13">
        <f>Raw_Data!K206</f>
        <v/>
      </c>
      <c r="L206" s="12">
        <f>Raw_Data!L206</f>
        <v/>
      </c>
      <c r="M206" s="12">
        <f>Raw_Data!M206</f>
        <v/>
      </c>
      <c r="N206" s="12">
        <f>Raw_Data!N206</f>
        <v/>
      </c>
      <c r="O206">
        <f>Raw_Data!O206</f>
        <v/>
      </c>
      <c r="P206">
        <f>Raw_Data!P206</f>
        <v/>
      </c>
      <c r="Q206">
        <f>YEAR(B206)</f>
        <v/>
      </c>
      <c r="R206">
        <f>TEXT(B206,"mmm")</f>
        <v/>
      </c>
      <c r="S206" s="15">
        <f>IFERROR(N206/L206,0)</f>
        <v/>
      </c>
    </row>
    <row r="207">
      <c r="A207">
        <f>Raw_Data!A207</f>
        <v/>
      </c>
      <c r="B207" s="11">
        <f>Raw_Data!B207</f>
        <v/>
      </c>
      <c r="C207">
        <f>Raw_Data!C207</f>
        <v/>
      </c>
      <c r="D207">
        <f>Raw_Data!D207</f>
        <v/>
      </c>
      <c r="E207">
        <f>Raw_Data!E207</f>
        <v/>
      </c>
      <c r="F207">
        <f>Raw_Data!F207</f>
        <v/>
      </c>
      <c r="G207">
        <f>Raw_Data!G207</f>
        <v/>
      </c>
      <c r="H207">
        <f>Raw_Data!H207</f>
        <v/>
      </c>
      <c r="I207">
        <f>Raw_Data!I207</f>
        <v/>
      </c>
      <c r="J207" s="12">
        <f>Raw_Data!J207</f>
        <v/>
      </c>
      <c r="K207" s="13">
        <f>Raw_Data!K207</f>
        <v/>
      </c>
      <c r="L207" s="12">
        <f>Raw_Data!L207</f>
        <v/>
      </c>
      <c r="M207" s="12">
        <f>Raw_Data!M207</f>
        <v/>
      </c>
      <c r="N207" s="12">
        <f>Raw_Data!N207</f>
        <v/>
      </c>
      <c r="O207">
        <f>Raw_Data!O207</f>
        <v/>
      </c>
      <c r="P207">
        <f>Raw_Data!P207</f>
        <v/>
      </c>
      <c r="Q207">
        <f>YEAR(B207)</f>
        <v/>
      </c>
      <c r="R207">
        <f>TEXT(B207,"mmm")</f>
        <v/>
      </c>
      <c r="S207" s="15">
        <f>IFERROR(N207/L207,0)</f>
        <v/>
      </c>
    </row>
    <row r="208">
      <c r="A208">
        <f>Raw_Data!A208</f>
        <v/>
      </c>
      <c r="B208" s="11">
        <f>Raw_Data!B208</f>
        <v/>
      </c>
      <c r="C208">
        <f>Raw_Data!C208</f>
        <v/>
      </c>
      <c r="D208">
        <f>Raw_Data!D208</f>
        <v/>
      </c>
      <c r="E208">
        <f>Raw_Data!E208</f>
        <v/>
      </c>
      <c r="F208">
        <f>Raw_Data!F208</f>
        <v/>
      </c>
      <c r="G208">
        <f>Raw_Data!G208</f>
        <v/>
      </c>
      <c r="H208">
        <f>Raw_Data!H208</f>
        <v/>
      </c>
      <c r="I208">
        <f>Raw_Data!I208</f>
        <v/>
      </c>
      <c r="J208" s="12">
        <f>Raw_Data!J208</f>
        <v/>
      </c>
      <c r="K208" s="13">
        <f>Raw_Data!K208</f>
        <v/>
      </c>
      <c r="L208" s="12">
        <f>Raw_Data!L208</f>
        <v/>
      </c>
      <c r="M208" s="12">
        <f>Raw_Data!M208</f>
        <v/>
      </c>
      <c r="N208" s="12">
        <f>Raw_Data!N208</f>
        <v/>
      </c>
      <c r="O208">
        <f>Raw_Data!O208</f>
        <v/>
      </c>
      <c r="P208">
        <f>Raw_Data!P208</f>
        <v/>
      </c>
      <c r="Q208">
        <f>YEAR(B208)</f>
        <v/>
      </c>
      <c r="R208">
        <f>TEXT(B208,"mmm")</f>
        <v/>
      </c>
      <c r="S208" s="15">
        <f>IFERROR(N208/L208,0)</f>
        <v/>
      </c>
    </row>
    <row r="209">
      <c r="A209">
        <f>Raw_Data!A209</f>
        <v/>
      </c>
      <c r="B209" s="11">
        <f>Raw_Data!B209</f>
        <v/>
      </c>
      <c r="C209">
        <f>Raw_Data!C209</f>
        <v/>
      </c>
      <c r="D209">
        <f>Raw_Data!D209</f>
        <v/>
      </c>
      <c r="E209">
        <f>Raw_Data!E209</f>
        <v/>
      </c>
      <c r="F209">
        <f>Raw_Data!F209</f>
        <v/>
      </c>
      <c r="G209">
        <f>Raw_Data!G209</f>
        <v/>
      </c>
      <c r="H209">
        <f>Raw_Data!H209</f>
        <v/>
      </c>
      <c r="I209">
        <f>Raw_Data!I209</f>
        <v/>
      </c>
      <c r="J209" s="12">
        <f>Raw_Data!J209</f>
        <v/>
      </c>
      <c r="K209" s="13">
        <f>Raw_Data!K209</f>
        <v/>
      </c>
      <c r="L209" s="12">
        <f>Raw_Data!L209</f>
        <v/>
      </c>
      <c r="M209" s="12">
        <f>Raw_Data!M209</f>
        <v/>
      </c>
      <c r="N209" s="12">
        <f>Raw_Data!N209</f>
        <v/>
      </c>
      <c r="O209">
        <f>Raw_Data!O209</f>
        <v/>
      </c>
      <c r="P209">
        <f>Raw_Data!P209</f>
        <v/>
      </c>
      <c r="Q209">
        <f>YEAR(B209)</f>
        <v/>
      </c>
      <c r="R209">
        <f>TEXT(B209,"mmm")</f>
        <v/>
      </c>
      <c r="S209" s="15">
        <f>IFERROR(N209/L209,0)</f>
        <v/>
      </c>
    </row>
    <row r="210">
      <c r="A210">
        <f>Raw_Data!A210</f>
        <v/>
      </c>
      <c r="B210" s="11">
        <f>Raw_Data!B210</f>
        <v/>
      </c>
      <c r="C210">
        <f>Raw_Data!C210</f>
        <v/>
      </c>
      <c r="D210">
        <f>Raw_Data!D210</f>
        <v/>
      </c>
      <c r="E210">
        <f>Raw_Data!E210</f>
        <v/>
      </c>
      <c r="F210">
        <f>Raw_Data!F210</f>
        <v/>
      </c>
      <c r="G210">
        <f>Raw_Data!G210</f>
        <v/>
      </c>
      <c r="H210">
        <f>Raw_Data!H210</f>
        <v/>
      </c>
      <c r="I210">
        <f>Raw_Data!I210</f>
        <v/>
      </c>
      <c r="J210" s="12">
        <f>Raw_Data!J210</f>
        <v/>
      </c>
      <c r="K210" s="13">
        <f>Raw_Data!K210</f>
        <v/>
      </c>
      <c r="L210" s="12">
        <f>Raw_Data!L210</f>
        <v/>
      </c>
      <c r="M210" s="12">
        <f>Raw_Data!M210</f>
        <v/>
      </c>
      <c r="N210" s="12">
        <f>Raw_Data!N210</f>
        <v/>
      </c>
      <c r="O210">
        <f>Raw_Data!O210</f>
        <v/>
      </c>
      <c r="P210">
        <f>Raw_Data!P210</f>
        <v/>
      </c>
      <c r="Q210">
        <f>YEAR(B210)</f>
        <v/>
      </c>
      <c r="R210">
        <f>TEXT(B210,"mmm")</f>
        <v/>
      </c>
      <c r="S210" s="15">
        <f>IFERROR(N210/L210,0)</f>
        <v/>
      </c>
    </row>
    <row r="211">
      <c r="A211">
        <f>Raw_Data!A211</f>
        <v/>
      </c>
      <c r="B211" s="11">
        <f>Raw_Data!B211</f>
        <v/>
      </c>
      <c r="C211">
        <f>Raw_Data!C211</f>
        <v/>
      </c>
      <c r="D211">
        <f>Raw_Data!D211</f>
        <v/>
      </c>
      <c r="E211">
        <f>Raw_Data!E211</f>
        <v/>
      </c>
      <c r="F211">
        <f>Raw_Data!F211</f>
        <v/>
      </c>
      <c r="G211">
        <f>Raw_Data!G211</f>
        <v/>
      </c>
      <c r="H211">
        <f>Raw_Data!H211</f>
        <v/>
      </c>
      <c r="I211">
        <f>Raw_Data!I211</f>
        <v/>
      </c>
      <c r="J211" s="12">
        <f>Raw_Data!J211</f>
        <v/>
      </c>
      <c r="K211" s="13">
        <f>Raw_Data!K211</f>
        <v/>
      </c>
      <c r="L211" s="12">
        <f>Raw_Data!L211</f>
        <v/>
      </c>
      <c r="M211" s="12">
        <f>Raw_Data!M211</f>
        <v/>
      </c>
      <c r="N211" s="12">
        <f>Raw_Data!N211</f>
        <v/>
      </c>
      <c r="O211">
        <f>Raw_Data!O211</f>
        <v/>
      </c>
      <c r="P211">
        <f>Raw_Data!P211</f>
        <v/>
      </c>
      <c r="Q211">
        <f>YEAR(B211)</f>
        <v/>
      </c>
      <c r="R211">
        <f>TEXT(B211,"mmm")</f>
        <v/>
      </c>
      <c r="S211" s="15">
        <f>IFERROR(N211/L211,0)</f>
        <v/>
      </c>
    </row>
    <row r="212">
      <c r="A212">
        <f>Raw_Data!A212</f>
        <v/>
      </c>
      <c r="B212" s="11">
        <f>Raw_Data!B212</f>
        <v/>
      </c>
      <c r="C212">
        <f>Raw_Data!C212</f>
        <v/>
      </c>
      <c r="D212">
        <f>Raw_Data!D212</f>
        <v/>
      </c>
      <c r="E212">
        <f>Raw_Data!E212</f>
        <v/>
      </c>
      <c r="F212">
        <f>Raw_Data!F212</f>
        <v/>
      </c>
      <c r="G212">
        <f>Raw_Data!G212</f>
        <v/>
      </c>
      <c r="H212">
        <f>Raw_Data!H212</f>
        <v/>
      </c>
      <c r="I212">
        <f>Raw_Data!I212</f>
        <v/>
      </c>
      <c r="J212" s="12">
        <f>Raw_Data!J212</f>
        <v/>
      </c>
      <c r="K212" s="13">
        <f>Raw_Data!K212</f>
        <v/>
      </c>
      <c r="L212" s="12">
        <f>Raw_Data!L212</f>
        <v/>
      </c>
      <c r="M212" s="12">
        <f>Raw_Data!M212</f>
        <v/>
      </c>
      <c r="N212" s="12">
        <f>Raw_Data!N212</f>
        <v/>
      </c>
      <c r="O212">
        <f>Raw_Data!O212</f>
        <v/>
      </c>
      <c r="P212">
        <f>Raw_Data!P212</f>
        <v/>
      </c>
      <c r="Q212">
        <f>YEAR(B212)</f>
        <v/>
      </c>
      <c r="R212">
        <f>TEXT(B212,"mmm")</f>
        <v/>
      </c>
      <c r="S212" s="15">
        <f>IFERROR(N212/L212,0)</f>
        <v/>
      </c>
    </row>
    <row r="213">
      <c r="A213">
        <f>Raw_Data!A213</f>
        <v/>
      </c>
      <c r="B213" s="11">
        <f>Raw_Data!B213</f>
        <v/>
      </c>
      <c r="C213">
        <f>Raw_Data!C213</f>
        <v/>
      </c>
      <c r="D213">
        <f>Raw_Data!D213</f>
        <v/>
      </c>
      <c r="E213">
        <f>Raw_Data!E213</f>
        <v/>
      </c>
      <c r="F213">
        <f>Raw_Data!F213</f>
        <v/>
      </c>
      <c r="G213">
        <f>Raw_Data!G213</f>
        <v/>
      </c>
      <c r="H213">
        <f>Raw_Data!H213</f>
        <v/>
      </c>
      <c r="I213">
        <f>Raw_Data!I213</f>
        <v/>
      </c>
      <c r="J213" s="12">
        <f>Raw_Data!J213</f>
        <v/>
      </c>
      <c r="K213" s="13">
        <f>Raw_Data!K213</f>
        <v/>
      </c>
      <c r="L213" s="12">
        <f>Raw_Data!L213</f>
        <v/>
      </c>
      <c r="M213" s="12">
        <f>Raw_Data!M213</f>
        <v/>
      </c>
      <c r="N213" s="12">
        <f>Raw_Data!N213</f>
        <v/>
      </c>
      <c r="O213">
        <f>Raw_Data!O213</f>
        <v/>
      </c>
      <c r="P213">
        <f>Raw_Data!P213</f>
        <v/>
      </c>
      <c r="Q213">
        <f>YEAR(B213)</f>
        <v/>
      </c>
      <c r="R213">
        <f>TEXT(B213,"mmm")</f>
        <v/>
      </c>
      <c r="S213" s="15">
        <f>IFERROR(N213/L213,0)</f>
        <v/>
      </c>
    </row>
    <row r="214">
      <c r="A214">
        <f>Raw_Data!A214</f>
        <v/>
      </c>
      <c r="B214" s="11">
        <f>Raw_Data!B214</f>
        <v/>
      </c>
      <c r="C214">
        <f>Raw_Data!C214</f>
        <v/>
      </c>
      <c r="D214">
        <f>Raw_Data!D214</f>
        <v/>
      </c>
      <c r="E214">
        <f>Raw_Data!E214</f>
        <v/>
      </c>
      <c r="F214">
        <f>Raw_Data!F214</f>
        <v/>
      </c>
      <c r="G214">
        <f>Raw_Data!G214</f>
        <v/>
      </c>
      <c r="H214">
        <f>Raw_Data!H214</f>
        <v/>
      </c>
      <c r="I214">
        <f>Raw_Data!I214</f>
        <v/>
      </c>
      <c r="J214" s="12">
        <f>Raw_Data!J214</f>
        <v/>
      </c>
      <c r="K214" s="13">
        <f>Raw_Data!K214</f>
        <v/>
      </c>
      <c r="L214" s="12">
        <f>Raw_Data!L214</f>
        <v/>
      </c>
      <c r="M214" s="12">
        <f>Raw_Data!M214</f>
        <v/>
      </c>
      <c r="N214" s="12">
        <f>Raw_Data!N214</f>
        <v/>
      </c>
      <c r="O214">
        <f>Raw_Data!O214</f>
        <v/>
      </c>
      <c r="P214">
        <f>Raw_Data!P214</f>
        <v/>
      </c>
      <c r="Q214">
        <f>YEAR(B214)</f>
        <v/>
      </c>
      <c r="R214">
        <f>TEXT(B214,"mmm")</f>
        <v/>
      </c>
      <c r="S214" s="15">
        <f>IFERROR(N214/L214,0)</f>
        <v/>
      </c>
    </row>
    <row r="215">
      <c r="A215">
        <f>Raw_Data!A215</f>
        <v/>
      </c>
      <c r="B215" s="11">
        <f>Raw_Data!B215</f>
        <v/>
      </c>
      <c r="C215">
        <f>Raw_Data!C215</f>
        <v/>
      </c>
      <c r="D215">
        <f>Raw_Data!D215</f>
        <v/>
      </c>
      <c r="E215">
        <f>Raw_Data!E215</f>
        <v/>
      </c>
      <c r="F215">
        <f>Raw_Data!F215</f>
        <v/>
      </c>
      <c r="G215">
        <f>Raw_Data!G215</f>
        <v/>
      </c>
      <c r="H215">
        <f>Raw_Data!H215</f>
        <v/>
      </c>
      <c r="I215">
        <f>Raw_Data!I215</f>
        <v/>
      </c>
      <c r="J215" s="12">
        <f>Raw_Data!J215</f>
        <v/>
      </c>
      <c r="K215" s="13">
        <f>Raw_Data!K215</f>
        <v/>
      </c>
      <c r="L215" s="12">
        <f>Raw_Data!L215</f>
        <v/>
      </c>
      <c r="M215" s="12">
        <f>Raw_Data!M215</f>
        <v/>
      </c>
      <c r="N215" s="12">
        <f>Raw_Data!N215</f>
        <v/>
      </c>
      <c r="O215">
        <f>Raw_Data!O215</f>
        <v/>
      </c>
      <c r="P215">
        <f>Raw_Data!P215</f>
        <v/>
      </c>
      <c r="Q215">
        <f>YEAR(B215)</f>
        <v/>
      </c>
      <c r="R215">
        <f>TEXT(B215,"mmm")</f>
        <v/>
      </c>
      <c r="S215" s="15">
        <f>IFERROR(N215/L215,0)</f>
        <v/>
      </c>
    </row>
    <row r="216">
      <c r="A216">
        <f>Raw_Data!A216</f>
        <v/>
      </c>
      <c r="B216" s="11">
        <f>Raw_Data!B216</f>
        <v/>
      </c>
      <c r="C216">
        <f>Raw_Data!C216</f>
        <v/>
      </c>
      <c r="D216">
        <f>Raw_Data!D216</f>
        <v/>
      </c>
      <c r="E216">
        <f>Raw_Data!E216</f>
        <v/>
      </c>
      <c r="F216">
        <f>Raw_Data!F216</f>
        <v/>
      </c>
      <c r="G216">
        <f>Raw_Data!G216</f>
        <v/>
      </c>
      <c r="H216">
        <f>Raw_Data!H216</f>
        <v/>
      </c>
      <c r="I216">
        <f>Raw_Data!I216</f>
        <v/>
      </c>
      <c r="J216" s="12">
        <f>Raw_Data!J216</f>
        <v/>
      </c>
      <c r="K216" s="13">
        <f>Raw_Data!K216</f>
        <v/>
      </c>
      <c r="L216" s="12">
        <f>Raw_Data!L216</f>
        <v/>
      </c>
      <c r="M216" s="12">
        <f>Raw_Data!M216</f>
        <v/>
      </c>
      <c r="N216" s="12">
        <f>Raw_Data!N216</f>
        <v/>
      </c>
      <c r="O216">
        <f>Raw_Data!O216</f>
        <v/>
      </c>
      <c r="P216">
        <f>Raw_Data!P216</f>
        <v/>
      </c>
      <c r="Q216">
        <f>YEAR(B216)</f>
        <v/>
      </c>
      <c r="R216">
        <f>TEXT(B216,"mmm")</f>
        <v/>
      </c>
      <c r="S216" s="15">
        <f>IFERROR(N216/L216,0)</f>
        <v/>
      </c>
    </row>
    <row r="217">
      <c r="A217">
        <f>Raw_Data!A217</f>
        <v/>
      </c>
      <c r="B217" s="11">
        <f>Raw_Data!B217</f>
        <v/>
      </c>
      <c r="C217">
        <f>Raw_Data!C217</f>
        <v/>
      </c>
      <c r="D217">
        <f>Raw_Data!D217</f>
        <v/>
      </c>
      <c r="E217">
        <f>Raw_Data!E217</f>
        <v/>
      </c>
      <c r="F217">
        <f>Raw_Data!F217</f>
        <v/>
      </c>
      <c r="G217">
        <f>Raw_Data!G217</f>
        <v/>
      </c>
      <c r="H217">
        <f>Raw_Data!H217</f>
        <v/>
      </c>
      <c r="I217">
        <f>Raw_Data!I217</f>
        <v/>
      </c>
      <c r="J217" s="12">
        <f>Raw_Data!J217</f>
        <v/>
      </c>
      <c r="K217" s="13">
        <f>Raw_Data!K217</f>
        <v/>
      </c>
      <c r="L217" s="12">
        <f>Raw_Data!L217</f>
        <v/>
      </c>
      <c r="M217" s="12">
        <f>Raw_Data!M217</f>
        <v/>
      </c>
      <c r="N217" s="12">
        <f>Raw_Data!N217</f>
        <v/>
      </c>
      <c r="O217">
        <f>Raw_Data!O217</f>
        <v/>
      </c>
      <c r="P217">
        <f>Raw_Data!P217</f>
        <v/>
      </c>
      <c r="Q217">
        <f>YEAR(B217)</f>
        <v/>
      </c>
      <c r="R217">
        <f>TEXT(B217,"mmm")</f>
        <v/>
      </c>
      <c r="S217" s="15">
        <f>IFERROR(N217/L217,0)</f>
        <v/>
      </c>
    </row>
    <row r="218">
      <c r="A218">
        <f>Raw_Data!A218</f>
        <v/>
      </c>
      <c r="B218" s="11">
        <f>Raw_Data!B218</f>
        <v/>
      </c>
      <c r="C218">
        <f>Raw_Data!C218</f>
        <v/>
      </c>
      <c r="D218">
        <f>Raw_Data!D218</f>
        <v/>
      </c>
      <c r="E218">
        <f>Raw_Data!E218</f>
        <v/>
      </c>
      <c r="F218">
        <f>Raw_Data!F218</f>
        <v/>
      </c>
      <c r="G218">
        <f>Raw_Data!G218</f>
        <v/>
      </c>
      <c r="H218">
        <f>Raw_Data!H218</f>
        <v/>
      </c>
      <c r="I218">
        <f>Raw_Data!I218</f>
        <v/>
      </c>
      <c r="J218" s="12">
        <f>Raw_Data!J218</f>
        <v/>
      </c>
      <c r="K218" s="13">
        <f>Raw_Data!K218</f>
        <v/>
      </c>
      <c r="L218" s="12">
        <f>Raw_Data!L218</f>
        <v/>
      </c>
      <c r="M218" s="12">
        <f>Raw_Data!M218</f>
        <v/>
      </c>
      <c r="N218" s="12">
        <f>Raw_Data!N218</f>
        <v/>
      </c>
      <c r="O218">
        <f>Raw_Data!O218</f>
        <v/>
      </c>
      <c r="P218">
        <f>Raw_Data!P218</f>
        <v/>
      </c>
      <c r="Q218">
        <f>YEAR(B218)</f>
        <v/>
      </c>
      <c r="R218">
        <f>TEXT(B218,"mmm")</f>
        <v/>
      </c>
      <c r="S218" s="15">
        <f>IFERROR(N218/L218,0)</f>
        <v/>
      </c>
    </row>
    <row r="219">
      <c r="A219">
        <f>Raw_Data!A219</f>
        <v/>
      </c>
      <c r="B219" s="11">
        <f>Raw_Data!B219</f>
        <v/>
      </c>
      <c r="C219">
        <f>Raw_Data!C219</f>
        <v/>
      </c>
      <c r="D219">
        <f>Raw_Data!D219</f>
        <v/>
      </c>
      <c r="E219">
        <f>Raw_Data!E219</f>
        <v/>
      </c>
      <c r="F219">
        <f>Raw_Data!F219</f>
        <v/>
      </c>
      <c r="G219">
        <f>Raw_Data!G219</f>
        <v/>
      </c>
      <c r="H219">
        <f>Raw_Data!H219</f>
        <v/>
      </c>
      <c r="I219">
        <f>Raw_Data!I219</f>
        <v/>
      </c>
      <c r="J219" s="12">
        <f>Raw_Data!J219</f>
        <v/>
      </c>
      <c r="K219" s="13">
        <f>Raw_Data!K219</f>
        <v/>
      </c>
      <c r="L219" s="12">
        <f>Raw_Data!L219</f>
        <v/>
      </c>
      <c r="M219" s="12">
        <f>Raw_Data!M219</f>
        <v/>
      </c>
      <c r="N219" s="12">
        <f>Raw_Data!N219</f>
        <v/>
      </c>
      <c r="O219">
        <f>Raw_Data!O219</f>
        <v/>
      </c>
      <c r="P219">
        <f>Raw_Data!P219</f>
        <v/>
      </c>
      <c r="Q219">
        <f>YEAR(B219)</f>
        <v/>
      </c>
      <c r="R219">
        <f>TEXT(B219,"mmm")</f>
        <v/>
      </c>
      <c r="S219" s="15">
        <f>IFERROR(N219/L219,0)</f>
        <v/>
      </c>
    </row>
    <row r="220">
      <c r="A220">
        <f>Raw_Data!A220</f>
        <v/>
      </c>
      <c r="B220" s="11">
        <f>Raw_Data!B220</f>
        <v/>
      </c>
      <c r="C220">
        <f>Raw_Data!C220</f>
        <v/>
      </c>
      <c r="D220">
        <f>Raw_Data!D220</f>
        <v/>
      </c>
      <c r="E220">
        <f>Raw_Data!E220</f>
        <v/>
      </c>
      <c r="F220">
        <f>Raw_Data!F220</f>
        <v/>
      </c>
      <c r="G220">
        <f>Raw_Data!G220</f>
        <v/>
      </c>
      <c r="H220">
        <f>Raw_Data!H220</f>
        <v/>
      </c>
      <c r="I220">
        <f>Raw_Data!I220</f>
        <v/>
      </c>
      <c r="J220" s="12">
        <f>Raw_Data!J220</f>
        <v/>
      </c>
      <c r="K220" s="13">
        <f>Raw_Data!K220</f>
        <v/>
      </c>
      <c r="L220" s="12">
        <f>Raw_Data!L220</f>
        <v/>
      </c>
      <c r="M220" s="12">
        <f>Raw_Data!M220</f>
        <v/>
      </c>
      <c r="N220" s="12">
        <f>Raw_Data!N220</f>
        <v/>
      </c>
      <c r="O220">
        <f>Raw_Data!O220</f>
        <v/>
      </c>
      <c r="P220">
        <f>Raw_Data!P220</f>
        <v/>
      </c>
      <c r="Q220">
        <f>YEAR(B220)</f>
        <v/>
      </c>
      <c r="R220">
        <f>TEXT(B220,"mmm")</f>
        <v/>
      </c>
      <c r="S220" s="15">
        <f>IFERROR(N220/L220,0)</f>
        <v/>
      </c>
    </row>
    <row r="221">
      <c r="A221">
        <f>Raw_Data!A221</f>
        <v/>
      </c>
      <c r="B221" s="11">
        <f>Raw_Data!B221</f>
        <v/>
      </c>
      <c r="C221">
        <f>Raw_Data!C221</f>
        <v/>
      </c>
      <c r="D221">
        <f>Raw_Data!D221</f>
        <v/>
      </c>
      <c r="E221">
        <f>Raw_Data!E221</f>
        <v/>
      </c>
      <c r="F221">
        <f>Raw_Data!F221</f>
        <v/>
      </c>
      <c r="G221">
        <f>Raw_Data!G221</f>
        <v/>
      </c>
      <c r="H221">
        <f>Raw_Data!H221</f>
        <v/>
      </c>
      <c r="I221">
        <f>Raw_Data!I221</f>
        <v/>
      </c>
      <c r="J221" s="12">
        <f>Raw_Data!J221</f>
        <v/>
      </c>
      <c r="K221" s="13">
        <f>Raw_Data!K221</f>
        <v/>
      </c>
      <c r="L221" s="12">
        <f>Raw_Data!L221</f>
        <v/>
      </c>
      <c r="M221" s="12">
        <f>Raw_Data!M221</f>
        <v/>
      </c>
      <c r="N221" s="12">
        <f>Raw_Data!N221</f>
        <v/>
      </c>
      <c r="O221">
        <f>Raw_Data!O221</f>
        <v/>
      </c>
      <c r="P221">
        <f>Raw_Data!P221</f>
        <v/>
      </c>
      <c r="Q221">
        <f>YEAR(B221)</f>
        <v/>
      </c>
      <c r="R221">
        <f>TEXT(B221,"mmm")</f>
        <v/>
      </c>
      <c r="S221" s="15">
        <f>IFERROR(N221/L221,0)</f>
        <v/>
      </c>
    </row>
    <row r="222">
      <c r="A222">
        <f>Raw_Data!A222</f>
        <v/>
      </c>
      <c r="B222" s="11">
        <f>Raw_Data!B222</f>
        <v/>
      </c>
      <c r="C222">
        <f>Raw_Data!C222</f>
        <v/>
      </c>
      <c r="D222">
        <f>Raw_Data!D222</f>
        <v/>
      </c>
      <c r="E222">
        <f>Raw_Data!E222</f>
        <v/>
      </c>
      <c r="F222">
        <f>Raw_Data!F222</f>
        <v/>
      </c>
      <c r="G222">
        <f>Raw_Data!G222</f>
        <v/>
      </c>
      <c r="H222">
        <f>Raw_Data!H222</f>
        <v/>
      </c>
      <c r="I222">
        <f>Raw_Data!I222</f>
        <v/>
      </c>
      <c r="J222" s="12">
        <f>Raw_Data!J222</f>
        <v/>
      </c>
      <c r="K222" s="13">
        <f>Raw_Data!K222</f>
        <v/>
      </c>
      <c r="L222" s="12">
        <f>Raw_Data!L222</f>
        <v/>
      </c>
      <c r="M222" s="12">
        <f>Raw_Data!M222</f>
        <v/>
      </c>
      <c r="N222" s="12">
        <f>Raw_Data!N222</f>
        <v/>
      </c>
      <c r="O222">
        <f>Raw_Data!O222</f>
        <v/>
      </c>
      <c r="P222">
        <f>Raw_Data!P222</f>
        <v/>
      </c>
      <c r="Q222">
        <f>YEAR(B222)</f>
        <v/>
      </c>
      <c r="R222">
        <f>TEXT(B222,"mmm")</f>
        <v/>
      </c>
      <c r="S222" s="15">
        <f>IFERROR(N222/L222,0)</f>
        <v/>
      </c>
    </row>
    <row r="223">
      <c r="A223">
        <f>Raw_Data!A223</f>
        <v/>
      </c>
      <c r="B223" s="11">
        <f>Raw_Data!B223</f>
        <v/>
      </c>
      <c r="C223">
        <f>Raw_Data!C223</f>
        <v/>
      </c>
      <c r="D223">
        <f>Raw_Data!D223</f>
        <v/>
      </c>
      <c r="E223">
        <f>Raw_Data!E223</f>
        <v/>
      </c>
      <c r="F223">
        <f>Raw_Data!F223</f>
        <v/>
      </c>
      <c r="G223">
        <f>Raw_Data!G223</f>
        <v/>
      </c>
      <c r="H223">
        <f>Raw_Data!H223</f>
        <v/>
      </c>
      <c r="I223">
        <f>Raw_Data!I223</f>
        <v/>
      </c>
      <c r="J223" s="12">
        <f>Raw_Data!J223</f>
        <v/>
      </c>
      <c r="K223" s="13">
        <f>Raw_Data!K223</f>
        <v/>
      </c>
      <c r="L223" s="12">
        <f>Raw_Data!L223</f>
        <v/>
      </c>
      <c r="M223" s="12">
        <f>Raw_Data!M223</f>
        <v/>
      </c>
      <c r="N223" s="12">
        <f>Raw_Data!N223</f>
        <v/>
      </c>
      <c r="O223">
        <f>Raw_Data!O223</f>
        <v/>
      </c>
      <c r="P223">
        <f>Raw_Data!P223</f>
        <v/>
      </c>
      <c r="Q223">
        <f>YEAR(B223)</f>
        <v/>
      </c>
      <c r="R223">
        <f>TEXT(B223,"mmm")</f>
        <v/>
      </c>
      <c r="S223" s="15">
        <f>IFERROR(N223/L223,0)</f>
        <v/>
      </c>
    </row>
    <row r="224">
      <c r="A224">
        <f>Raw_Data!A224</f>
        <v/>
      </c>
      <c r="B224" s="11">
        <f>Raw_Data!B224</f>
        <v/>
      </c>
      <c r="C224">
        <f>Raw_Data!C224</f>
        <v/>
      </c>
      <c r="D224">
        <f>Raw_Data!D224</f>
        <v/>
      </c>
      <c r="E224">
        <f>Raw_Data!E224</f>
        <v/>
      </c>
      <c r="F224">
        <f>Raw_Data!F224</f>
        <v/>
      </c>
      <c r="G224">
        <f>Raw_Data!G224</f>
        <v/>
      </c>
      <c r="H224">
        <f>Raw_Data!H224</f>
        <v/>
      </c>
      <c r="I224">
        <f>Raw_Data!I224</f>
        <v/>
      </c>
      <c r="J224" s="12">
        <f>Raw_Data!J224</f>
        <v/>
      </c>
      <c r="K224" s="13">
        <f>Raw_Data!K224</f>
        <v/>
      </c>
      <c r="L224" s="12">
        <f>Raw_Data!L224</f>
        <v/>
      </c>
      <c r="M224" s="12">
        <f>Raw_Data!M224</f>
        <v/>
      </c>
      <c r="N224" s="12">
        <f>Raw_Data!N224</f>
        <v/>
      </c>
      <c r="O224">
        <f>Raw_Data!O224</f>
        <v/>
      </c>
      <c r="P224">
        <f>Raw_Data!P224</f>
        <v/>
      </c>
      <c r="Q224">
        <f>YEAR(B224)</f>
        <v/>
      </c>
      <c r="R224">
        <f>TEXT(B224,"mmm")</f>
        <v/>
      </c>
      <c r="S224" s="15">
        <f>IFERROR(N224/L224,0)</f>
        <v/>
      </c>
    </row>
    <row r="225">
      <c r="A225">
        <f>Raw_Data!A225</f>
        <v/>
      </c>
      <c r="B225" s="11">
        <f>Raw_Data!B225</f>
        <v/>
      </c>
      <c r="C225">
        <f>Raw_Data!C225</f>
        <v/>
      </c>
      <c r="D225">
        <f>Raw_Data!D225</f>
        <v/>
      </c>
      <c r="E225">
        <f>Raw_Data!E225</f>
        <v/>
      </c>
      <c r="F225">
        <f>Raw_Data!F225</f>
        <v/>
      </c>
      <c r="G225">
        <f>Raw_Data!G225</f>
        <v/>
      </c>
      <c r="H225">
        <f>Raw_Data!H225</f>
        <v/>
      </c>
      <c r="I225">
        <f>Raw_Data!I225</f>
        <v/>
      </c>
      <c r="J225" s="12">
        <f>Raw_Data!J225</f>
        <v/>
      </c>
      <c r="K225" s="13">
        <f>Raw_Data!K225</f>
        <v/>
      </c>
      <c r="L225" s="12">
        <f>Raw_Data!L225</f>
        <v/>
      </c>
      <c r="M225" s="12">
        <f>Raw_Data!M225</f>
        <v/>
      </c>
      <c r="N225" s="12">
        <f>Raw_Data!N225</f>
        <v/>
      </c>
      <c r="O225">
        <f>Raw_Data!O225</f>
        <v/>
      </c>
      <c r="P225">
        <f>Raw_Data!P225</f>
        <v/>
      </c>
      <c r="Q225">
        <f>YEAR(B225)</f>
        <v/>
      </c>
      <c r="R225">
        <f>TEXT(B225,"mmm")</f>
        <v/>
      </c>
      <c r="S225" s="15">
        <f>IFERROR(N225/L225,0)</f>
        <v/>
      </c>
    </row>
    <row r="226">
      <c r="A226">
        <f>Raw_Data!A226</f>
        <v/>
      </c>
      <c r="B226" s="11">
        <f>Raw_Data!B226</f>
        <v/>
      </c>
      <c r="C226">
        <f>Raw_Data!C226</f>
        <v/>
      </c>
      <c r="D226">
        <f>Raw_Data!D226</f>
        <v/>
      </c>
      <c r="E226">
        <f>Raw_Data!E226</f>
        <v/>
      </c>
      <c r="F226">
        <f>Raw_Data!F226</f>
        <v/>
      </c>
      <c r="G226">
        <f>Raw_Data!G226</f>
        <v/>
      </c>
      <c r="H226">
        <f>Raw_Data!H226</f>
        <v/>
      </c>
      <c r="I226">
        <f>Raw_Data!I226</f>
        <v/>
      </c>
      <c r="J226" s="12">
        <f>Raw_Data!J226</f>
        <v/>
      </c>
      <c r="K226" s="13">
        <f>Raw_Data!K226</f>
        <v/>
      </c>
      <c r="L226" s="12">
        <f>Raw_Data!L226</f>
        <v/>
      </c>
      <c r="M226" s="12">
        <f>Raw_Data!M226</f>
        <v/>
      </c>
      <c r="N226" s="12">
        <f>Raw_Data!N226</f>
        <v/>
      </c>
      <c r="O226">
        <f>Raw_Data!O226</f>
        <v/>
      </c>
      <c r="P226">
        <f>Raw_Data!P226</f>
        <v/>
      </c>
      <c r="Q226">
        <f>YEAR(B226)</f>
        <v/>
      </c>
      <c r="R226">
        <f>TEXT(B226,"mmm")</f>
        <v/>
      </c>
      <c r="S226" s="15">
        <f>IFERROR(N226/L226,0)</f>
        <v/>
      </c>
    </row>
    <row r="227">
      <c r="A227">
        <f>Raw_Data!A227</f>
        <v/>
      </c>
      <c r="B227" s="11">
        <f>Raw_Data!B227</f>
        <v/>
      </c>
      <c r="C227">
        <f>Raw_Data!C227</f>
        <v/>
      </c>
      <c r="D227">
        <f>Raw_Data!D227</f>
        <v/>
      </c>
      <c r="E227">
        <f>Raw_Data!E227</f>
        <v/>
      </c>
      <c r="F227">
        <f>Raw_Data!F227</f>
        <v/>
      </c>
      <c r="G227">
        <f>Raw_Data!G227</f>
        <v/>
      </c>
      <c r="H227">
        <f>Raw_Data!H227</f>
        <v/>
      </c>
      <c r="I227">
        <f>Raw_Data!I227</f>
        <v/>
      </c>
      <c r="J227" s="12">
        <f>Raw_Data!J227</f>
        <v/>
      </c>
      <c r="K227" s="13">
        <f>Raw_Data!K227</f>
        <v/>
      </c>
      <c r="L227" s="12">
        <f>Raw_Data!L227</f>
        <v/>
      </c>
      <c r="M227" s="12">
        <f>Raw_Data!M227</f>
        <v/>
      </c>
      <c r="N227" s="12">
        <f>Raw_Data!N227</f>
        <v/>
      </c>
      <c r="O227">
        <f>Raw_Data!O227</f>
        <v/>
      </c>
      <c r="P227">
        <f>Raw_Data!P227</f>
        <v/>
      </c>
      <c r="Q227">
        <f>YEAR(B227)</f>
        <v/>
      </c>
      <c r="R227">
        <f>TEXT(B227,"mmm")</f>
        <v/>
      </c>
      <c r="S227" s="15">
        <f>IFERROR(N227/L227,0)</f>
        <v/>
      </c>
    </row>
    <row r="228">
      <c r="A228">
        <f>Raw_Data!A228</f>
        <v/>
      </c>
      <c r="B228" s="11">
        <f>Raw_Data!B228</f>
        <v/>
      </c>
      <c r="C228">
        <f>Raw_Data!C228</f>
        <v/>
      </c>
      <c r="D228">
        <f>Raw_Data!D228</f>
        <v/>
      </c>
      <c r="E228">
        <f>Raw_Data!E228</f>
        <v/>
      </c>
      <c r="F228">
        <f>Raw_Data!F228</f>
        <v/>
      </c>
      <c r="G228">
        <f>Raw_Data!G228</f>
        <v/>
      </c>
      <c r="H228">
        <f>Raw_Data!H228</f>
        <v/>
      </c>
      <c r="I228">
        <f>Raw_Data!I228</f>
        <v/>
      </c>
      <c r="J228" s="12">
        <f>Raw_Data!J228</f>
        <v/>
      </c>
      <c r="K228" s="13">
        <f>Raw_Data!K228</f>
        <v/>
      </c>
      <c r="L228" s="12">
        <f>Raw_Data!L228</f>
        <v/>
      </c>
      <c r="M228" s="12">
        <f>Raw_Data!M228</f>
        <v/>
      </c>
      <c r="N228" s="12">
        <f>Raw_Data!N228</f>
        <v/>
      </c>
      <c r="O228">
        <f>Raw_Data!O228</f>
        <v/>
      </c>
      <c r="P228">
        <f>Raw_Data!P228</f>
        <v/>
      </c>
      <c r="Q228">
        <f>YEAR(B228)</f>
        <v/>
      </c>
      <c r="R228">
        <f>TEXT(B228,"mmm")</f>
        <v/>
      </c>
      <c r="S228" s="15">
        <f>IFERROR(N228/L228,0)</f>
        <v/>
      </c>
    </row>
    <row r="229">
      <c r="A229">
        <f>Raw_Data!A229</f>
        <v/>
      </c>
      <c r="B229" s="11">
        <f>Raw_Data!B229</f>
        <v/>
      </c>
      <c r="C229">
        <f>Raw_Data!C229</f>
        <v/>
      </c>
      <c r="D229">
        <f>Raw_Data!D229</f>
        <v/>
      </c>
      <c r="E229">
        <f>Raw_Data!E229</f>
        <v/>
      </c>
      <c r="F229">
        <f>Raw_Data!F229</f>
        <v/>
      </c>
      <c r="G229">
        <f>Raw_Data!G229</f>
        <v/>
      </c>
      <c r="H229">
        <f>Raw_Data!H229</f>
        <v/>
      </c>
      <c r="I229">
        <f>Raw_Data!I229</f>
        <v/>
      </c>
      <c r="J229" s="12">
        <f>Raw_Data!J229</f>
        <v/>
      </c>
      <c r="K229" s="13">
        <f>Raw_Data!K229</f>
        <v/>
      </c>
      <c r="L229" s="12">
        <f>Raw_Data!L229</f>
        <v/>
      </c>
      <c r="M229" s="12">
        <f>Raw_Data!M229</f>
        <v/>
      </c>
      <c r="N229" s="12">
        <f>Raw_Data!N229</f>
        <v/>
      </c>
      <c r="O229">
        <f>Raw_Data!O229</f>
        <v/>
      </c>
      <c r="P229">
        <f>Raw_Data!P229</f>
        <v/>
      </c>
      <c r="Q229">
        <f>YEAR(B229)</f>
        <v/>
      </c>
      <c r="R229">
        <f>TEXT(B229,"mmm")</f>
        <v/>
      </c>
      <c r="S229" s="15">
        <f>IFERROR(N229/L229,0)</f>
        <v/>
      </c>
    </row>
    <row r="230">
      <c r="A230">
        <f>Raw_Data!A230</f>
        <v/>
      </c>
      <c r="B230" s="11">
        <f>Raw_Data!B230</f>
        <v/>
      </c>
      <c r="C230">
        <f>Raw_Data!C230</f>
        <v/>
      </c>
      <c r="D230">
        <f>Raw_Data!D230</f>
        <v/>
      </c>
      <c r="E230">
        <f>Raw_Data!E230</f>
        <v/>
      </c>
      <c r="F230">
        <f>Raw_Data!F230</f>
        <v/>
      </c>
      <c r="G230">
        <f>Raw_Data!G230</f>
        <v/>
      </c>
      <c r="H230">
        <f>Raw_Data!H230</f>
        <v/>
      </c>
      <c r="I230">
        <f>Raw_Data!I230</f>
        <v/>
      </c>
      <c r="J230" s="12">
        <f>Raw_Data!J230</f>
        <v/>
      </c>
      <c r="K230" s="13">
        <f>Raw_Data!K230</f>
        <v/>
      </c>
      <c r="L230" s="12">
        <f>Raw_Data!L230</f>
        <v/>
      </c>
      <c r="M230" s="12">
        <f>Raw_Data!M230</f>
        <v/>
      </c>
      <c r="N230" s="12">
        <f>Raw_Data!N230</f>
        <v/>
      </c>
      <c r="O230">
        <f>Raw_Data!O230</f>
        <v/>
      </c>
      <c r="P230">
        <f>Raw_Data!P230</f>
        <v/>
      </c>
      <c r="Q230">
        <f>YEAR(B230)</f>
        <v/>
      </c>
      <c r="R230">
        <f>TEXT(B230,"mmm")</f>
        <v/>
      </c>
      <c r="S230" s="15">
        <f>IFERROR(N230/L230,0)</f>
        <v/>
      </c>
    </row>
    <row r="231">
      <c r="A231">
        <f>Raw_Data!A231</f>
        <v/>
      </c>
      <c r="B231" s="11">
        <f>Raw_Data!B231</f>
        <v/>
      </c>
      <c r="C231">
        <f>Raw_Data!C231</f>
        <v/>
      </c>
      <c r="D231">
        <f>Raw_Data!D231</f>
        <v/>
      </c>
      <c r="E231">
        <f>Raw_Data!E231</f>
        <v/>
      </c>
      <c r="F231">
        <f>Raw_Data!F231</f>
        <v/>
      </c>
      <c r="G231">
        <f>Raw_Data!G231</f>
        <v/>
      </c>
      <c r="H231">
        <f>Raw_Data!H231</f>
        <v/>
      </c>
      <c r="I231">
        <f>Raw_Data!I231</f>
        <v/>
      </c>
      <c r="J231" s="12">
        <f>Raw_Data!J231</f>
        <v/>
      </c>
      <c r="K231" s="13">
        <f>Raw_Data!K231</f>
        <v/>
      </c>
      <c r="L231" s="12">
        <f>Raw_Data!L231</f>
        <v/>
      </c>
      <c r="M231" s="12">
        <f>Raw_Data!M231</f>
        <v/>
      </c>
      <c r="N231" s="12">
        <f>Raw_Data!N231</f>
        <v/>
      </c>
      <c r="O231">
        <f>Raw_Data!O231</f>
        <v/>
      </c>
      <c r="P231">
        <f>Raw_Data!P231</f>
        <v/>
      </c>
      <c r="Q231">
        <f>YEAR(B231)</f>
        <v/>
      </c>
      <c r="R231">
        <f>TEXT(B231,"mmm")</f>
        <v/>
      </c>
      <c r="S231" s="15">
        <f>IFERROR(N231/L231,0)</f>
        <v/>
      </c>
    </row>
    <row r="232">
      <c r="A232">
        <f>Raw_Data!A232</f>
        <v/>
      </c>
      <c r="B232" s="11">
        <f>Raw_Data!B232</f>
        <v/>
      </c>
      <c r="C232">
        <f>Raw_Data!C232</f>
        <v/>
      </c>
      <c r="D232">
        <f>Raw_Data!D232</f>
        <v/>
      </c>
      <c r="E232">
        <f>Raw_Data!E232</f>
        <v/>
      </c>
      <c r="F232">
        <f>Raw_Data!F232</f>
        <v/>
      </c>
      <c r="G232">
        <f>Raw_Data!G232</f>
        <v/>
      </c>
      <c r="H232">
        <f>Raw_Data!H232</f>
        <v/>
      </c>
      <c r="I232">
        <f>Raw_Data!I232</f>
        <v/>
      </c>
      <c r="J232" s="12">
        <f>Raw_Data!J232</f>
        <v/>
      </c>
      <c r="K232" s="13">
        <f>Raw_Data!K232</f>
        <v/>
      </c>
      <c r="L232" s="12">
        <f>Raw_Data!L232</f>
        <v/>
      </c>
      <c r="M232" s="12">
        <f>Raw_Data!M232</f>
        <v/>
      </c>
      <c r="N232" s="12">
        <f>Raw_Data!N232</f>
        <v/>
      </c>
      <c r="O232">
        <f>Raw_Data!O232</f>
        <v/>
      </c>
      <c r="P232">
        <f>Raw_Data!P232</f>
        <v/>
      </c>
      <c r="Q232">
        <f>YEAR(B232)</f>
        <v/>
      </c>
      <c r="R232">
        <f>TEXT(B232,"mmm")</f>
        <v/>
      </c>
      <c r="S232" s="15">
        <f>IFERROR(N232/L232,0)</f>
        <v/>
      </c>
    </row>
    <row r="233">
      <c r="A233">
        <f>Raw_Data!A233</f>
        <v/>
      </c>
      <c r="B233" s="11">
        <f>Raw_Data!B233</f>
        <v/>
      </c>
      <c r="C233">
        <f>Raw_Data!C233</f>
        <v/>
      </c>
      <c r="D233">
        <f>Raw_Data!D233</f>
        <v/>
      </c>
      <c r="E233">
        <f>Raw_Data!E233</f>
        <v/>
      </c>
      <c r="F233">
        <f>Raw_Data!F233</f>
        <v/>
      </c>
      <c r="G233">
        <f>Raw_Data!G233</f>
        <v/>
      </c>
      <c r="H233">
        <f>Raw_Data!H233</f>
        <v/>
      </c>
      <c r="I233">
        <f>Raw_Data!I233</f>
        <v/>
      </c>
      <c r="J233" s="12">
        <f>Raw_Data!J233</f>
        <v/>
      </c>
      <c r="K233" s="13">
        <f>Raw_Data!K233</f>
        <v/>
      </c>
      <c r="L233" s="12">
        <f>Raw_Data!L233</f>
        <v/>
      </c>
      <c r="M233" s="12">
        <f>Raw_Data!M233</f>
        <v/>
      </c>
      <c r="N233" s="12">
        <f>Raw_Data!N233</f>
        <v/>
      </c>
      <c r="O233">
        <f>Raw_Data!O233</f>
        <v/>
      </c>
      <c r="P233">
        <f>Raw_Data!P233</f>
        <v/>
      </c>
      <c r="Q233">
        <f>YEAR(B233)</f>
        <v/>
      </c>
      <c r="R233">
        <f>TEXT(B233,"mmm")</f>
        <v/>
      </c>
      <c r="S233" s="15">
        <f>IFERROR(N233/L233,0)</f>
        <v/>
      </c>
    </row>
    <row r="234">
      <c r="A234">
        <f>Raw_Data!A234</f>
        <v/>
      </c>
      <c r="B234" s="11">
        <f>Raw_Data!B234</f>
        <v/>
      </c>
      <c r="C234">
        <f>Raw_Data!C234</f>
        <v/>
      </c>
      <c r="D234">
        <f>Raw_Data!D234</f>
        <v/>
      </c>
      <c r="E234">
        <f>Raw_Data!E234</f>
        <v/>
      </c>
      <c r="F234">
        <f>Raw_Data!F234</f>
        <v/>
      </c>
      <c r="G234">
        <f>Raw_Data!G234</f>
        <v/>
      </c>
      <c r="H234">
        <f>Raw_Data!H234</f>
        <v/>
      </c>
      <c r="I234">
        <f>Raw_Data!I234</f>
        <v/>
      </c>
      <c r="J234" s="12">
        <f>Raw_Data!J234</f>
        <v/>
      </c>
      <c r="K234" s="13">
        <f>Raw_Data!K234</f>
        <v/>
      </c>
      <c r="L234" s="12">
        <f>Raw_Data!L234</f>
        <v/>
      </c>
      <c r="M234" s="12">
        <f>Raw_Data!M234</f>
        <v/>
      </c>
      <c r="N234" s="12">
        <f>Raw_Data!N234</f>
        <v/>
      </c>
      <c r="O234">
        <f>Raw_Data!O234</f>
        <v/>
      </c>
      <c r="P234">
        <f>Raw_Data!P234</f>
        <v/>
      </c>
      <c r="Q234">
        <f>YEAR(B234)</f>
        <v/>
      </c>
      <c r="R234">
        <f>TEXT(B234,"mmm")</f>
        <v/>
      </c>
      <c r="S234" s="15">
        <f>IFERROR(N234/L234,0)</f>
        <v/>
      </c>
    </row>
    <row r="235">
      <c r="A235">
        <f>Raw_Data!A235</f>
        <v/>
      </c>
      <c r="B235" s="11">
        <f>Raw_Data!B235</f>
        <v/>
      </c>
      <c r="C235">
        <f>Raw_Data!C235</f>
        <v/>
      </c>
      <c r="D235">
        <f>Raw_Data!D235</f>
        <v/>
      </c>
      <c r="E235">
        <f>Raw_Data!E235</f>
        <v/>
      </c>
      <c r="F235">
        <f>Raw_Data!F235</f>
        <v/>
      </c>
      <c r="G235">
        <f>Raw_Data!G235</f>
        <v/>
      </c>
      <c r="H235">
        <f>Raw_Data!H235</f>
        <v/>
      </c>
      <c r="I235">
        <f>Raw_Data!I235</f>
        <v/>
      </c>
      <c r="J235" s="12">
        <f>Raw_Data!J235</f>
        <v/>
      </c>
      <c r="K235" s="13">
        <f>Raw_Data!K235</f>
        <v/>
      </c>
      <c r="L235" s="12">
        <f>Raw_Data!L235</f>
        <v/>
      </c>
      <c r="M235" s="12">
        <f>Raw_Data!M235</f>
        <v/>
      </c>
      <c r="N235" s="12">
        <f>Raw_Data!N235</f>
        <v/>
      </c>
      <c r="O235">
        <f>Raw_Data!O235</f>
        <v/>
      </c>
      <c r="P235">
        <f>Raw_Data!P235</f>
        <v/>
      </c>
      <c r="Q235">
        <f>YEAR(B235)</f>
        <v/>
      </c>
      <c r="R235">
        <f>TEXT(B235,"mmm")</f>
        <v/>
      </c>
      <c r="S235" s="15">
        <f>IFERROR(N235/L235,0)</f>
        <v/>
      </c>
    </row>
    <row r="236">
      <c r="A236">
        <f>Raw_Data!A236</f>
        <v/>
      </c>
      <c r="B236" s="11">
        <f>Raw_Data!B236</f>
        <v/>
      </c>
      <c r="C236">
        <f>Raw_Data!C236</f>
        <v/>
      </c>
      <c r="D236">
        <f>Raw_Data!D236</f>
        <v/>
      </c>
      <c r="E236">
        <f>Raw_Data!E236</f>
        <v/>
      </c>
      <c r="F236">
        <f>Raw_Data!F236</f>
        <v/>
      </c>
      <c r="G236">
        <f>Raw_Data!G236</f>
        <v/>
      </c>
      <c r="H236">
        <f>Raw_Data!H236</f>
        <v/>
      </c>
      <c r="I236">
        <f>Raw_Data!I236</f>
        <v/>
      </c>
      <c r="J236" s="12">
        <f>Raw_Data!J236</f>
        <v/>
      </c>
      <c r="K236" s="13">
        <f>Raw_Data!K236</f>
        <v/>
      </c>
      <c r="L236" s="12">
        <f>Raw_Data!L236</f>
        <v/>
      </c>
      <c r="M236" s="12">
        <f>Raw_Data!M236</f>
        <v/>
      </c>
      <c r="N236" s="12">
        <f>Raw_Data!N236</f>
        <v/>
      </c>
      <c r="O236">
        <f>Raw_Data!O236</f>
        <v/>
      </c>
      <c r="P236">
        <f>Raw_Data!P236</f>
        <v/>
      </c>
      <c r="Q236">
        <f>YEAR(B236)</f>
        <v/>
      </c>
      <c r="R236">
        <f>TEXT(B236,"mmm")</f>
        <v/>
      </c>
      <c r="S236" s="15">
        <f>IFERROR(N236/L236,0)</f>
        <v/>
      </c>
    </row>
    <row r="237">
      <c r="A237">
        <f>Raw_Data!A237</f>
        <v/>
      </c>
      <c r="B237" s="11">
        <f>Raw_Data!B237</f>
        <v/>
      </c>
      <c r="C237">
        <f>Raw_Data!C237</f>
        <v/>
      </c>
      <c r="D237">
        <f>Raw_Data!D237</f>
        <v/>
      </c>
      <c r="E237">
        <f>Raw_Data!E237</f>
        <v/>
      </c>
      <c r="F237">
        <f>Raw_Data!F237</f>
        <v/>
      </c>
      <c r="G237">
        <f>Raw_Data!G237</f>
        <v/>
      </c>
      <c r="H237">
        <f>Raw_Data!H237</f>
        <v/>
      </c>
      <c r="I237">
        <f>Raw_Data!I237</f>
        <v/>
      </c>
      <c r="J237" s="12">
        <f>Raw_Data!J237</f>
        <v/>
      </c>
      <c r="K237" s="13">
        <f>Raw_Data!K237</f>
        <v/>
      </c>
      <c r="L237" s="12">
        <f>Raw_Data!L237</f>
        <v/>
      </c>
      <c r="M237" s="12">
        <f>Raw_Data!M237</f>
        <v/>
      </c>
      <c r="N237" s="12">
        <f>Raw_Data!N237</f>
        <v/>
      </c>
      <c r="O237">
        <f>Raw_Data!O237</f>
        <v/>
      </c>
      <c r="P237">
        <f>Raw_Data!P237</f>
        <v/>
      </c>
      <c r="Q237">
        <f>YEAR(B237)</f>
        <v/>
      </c>
      <c r="R237">
        <f>TEXT(B237,"mmm")</f>
        <v/>
      </c>
      <c r="S237" s="15">
        <f>IFERROR(N237/L237,0)</f>
        <v/>
      </c>
    </row>
    <row r="238">
      <c r="A238">
        <f>Raw_Data!A238</f>
        <v/>
      </c>
      <c r="B238" s="11">
        <f>Raw_Data!B238</f>
        <v/>
      </c>
      <c r="C238">
        <f>Raw_Data!C238</f>
        <v/>
      </c>
      <c r="D238">
        <f>Raw_Data!D238</f>
        <v/>
      </c>
      <c r="E238">
        <f>Raw_Data!E238</f>
        <v/>
      </c>
      <c r="F238">
        <f>Raw_Data!F238</f>
        <v/>
      </c>
      <c r="G238">
        <f>Raw_Data!G238</f>
        <v/>
      </c>
      <c r="H238">
        <f>Raw_Data!H238</f>
        <v/>
      </c>
      <c r="I238">
        <f>Raw_Data!I238</f>
        <v/>
      </c>
      <c r="J238" s="12">
        <f>Raw_Data!J238</f>
        <v/>
      </c>
      <c r="K238" s="13">
        <f>Raw_Data!K238</f>
        <v/>
      </c>
      <c r="L238" s="12">
        <f>Raw_Data!L238</f>
        <v/>
      </c>
      <c r="M238" s="12">
        <f>Raw_Data!M238</f>
        <v/>
      </c>
      <c r="N238" s="12">
        <f>Raw_Data!N238</f>
        <v/>
      </c>
      <c r="O238">
        <f>Raw_Data!O238</f>
        <v/>
      </c>
      <c r="P238">
        <f>Raw_Data!P238</f>
        <v/>
      </c>
      <c r="Q238">
        <f>YEAR(B238)</f>
        <v/>
      </c>
      <c r="R238">
        <f>TEXT(B238,"mmm")</f>
        <v/>
      </c>
      <c r="S238" s="15">
        <f>IFERROR(N238/L238,0)</f>
        <v/>
      </c>
    </row>
    <row r="239">
      <c r="A239">
        <f>Raw_Data!A239</f>
        <v/>
      </c>
      <c r="B239" s="11">
        <f>Raw_Data!B239</f>
        <v/>
      </c>
      <c r="C239">
        <f>Raw_Data!C239</f>
        <v/>
      </c>
      <c r="D239">
        <f>Raw_Data!D239</f>
        <v/>
      </c>
      <c r="E239">
        <f>Raw_Data!E239</f>
        <v/>
      </c>
      <c r="F239">
        <f>Raw_Data!F239</f>
        <v/>
      </c>
      <c r="G239">
        <f>Raw_Data!G239</f>
        <v/>
      </c>
      <c r="H239">
        <f>Raw_Data!H239</f>
        <v/>
      </c>
      <c r="I239">
        <f>Raw_Data!I239</f>
        <v/>
      </c>
      <c r="J239" s="12">
        <f>Raw_Data!J239</f>
        <v/>
      </c>
      <c r="K239" s="13">
        <f>Raw_Data!K239</f>
        <v/>
      </c>
      <c r="L239" s="12">
        <f>Raw_Data!L239</f>
        <v/>
      </c>
      <c r="M239" s="12">
        <f>Raw_Data!M239</f>
        <v/>
      </c>
      <c r="N239" s="12">
        <f>Raw_Data!N239</f>
        <v/>
      </c>
      <c r="O239">
        <f>Raw_Data!O239</f>
        <v/>
      </c>
      <c r="P239">
        <f>Raw_Data!P239</f>
        <v/>
      </c>
      <c r="Q239">
        <f>YEAR(B239)</f>
        <v/>
      </c>
      <c r="R239">
        <f>TEXT(B239,"mmm")</f>
        <v/>
      </c>
      <c r="S239" s="15">
        <f>IFERROR(N239/L239,0)</f>
        <v/>
      </c>
    </row>
    <row r="240">
      <c r="A240">
        <f>Raw_Data!A240</f>
        <v/>
      </c>
      <c r="B240" s="11">
        <f>Raw_Data!B240</f>
        <v/>
      </c>
      <c r="C240">
        <f>Raw_Data!C240</f>
        <v/>
      </c>
      <c r="D240">
        <f>Raw_Data!D240</f>
        <v/>
      </c>
      <c r="E240">
        <f>Raw_Data!E240</f>
        <v/>
      </c>
      <c r="F240">
        <f>Raw_Data!F240</f>
        <v/>
      </c>
      <c r="G240">
        <f>Raw_Data!G240</f>
        <v/>
      </c>
      <c r="H240">
        <f>Raw_Data!H240</f>
        <v/>
      </c>
      <c r="I240">
        <f>Raw_Data!I240</f>
        <v/>
      </c>
      <c r="J240" s="12">
        <f>Raw_Data!J240</f>
        <v/>
      </c>
      <c r="K240" s="13">
        <f>Raw_Data!K240</f>
        <v/>
      </c>
      <c r="L240" s="12">
        <f>Raw_Data!L240</f>
        <v/>
      </c>
      <c r="M240" s="12">
        <f>Raw_Data!M240</f>
        <v/>
      </c>
      <c r="N240" s="12">
        <f>Raw_Data!N240</f>
        <v/>
      </c>
      <c r="O240">
        <f>Raw_Data!O240</f>
        <v/>
      </c>
      <c r="P240">
        <f>Raw_Data!P240</f>
        <v/>
      </c>
      <c r="Q240">
        <f>YEAR(B240)</f>
        <v/>
      </c>
      <c r="R240">
        <f>TEXT(B240,"mmm")</f>
        <v/>
      </c>
      <c r="S240" s="15">
        <f>IFERROR(N240/L240,0)</f>
        <v/>
      </c>
    </row>
    <row r="241">
      <c r="A241">
        <f>Raw_Data!A241</f>
        <v/>
      </c>
      <c r="B241" s="11">
        <f>Raw_Data!B241</f>
        <v/>
      </c>
      <c r="C241">
        <f>Raw_Data!C241</f>
        <v/>
      </c>
      <c r="D241">
        <f>Raw_Data!D241</f>
        <v/>
      </c>
      <c r="E241">
        <f>Raw_Data!E241</f>
        <v/>
      </c>
      <c r="F241">
        <f>Raw_Data!F241</f>
        <v/>
      </c>
      <c r="G241">
        <f>Raw_Data!G241</f>
        <v/>
      </c>
      <c r="H241">
        <f>Raw_Data!H241</f>
        <v/>
      </c>
      <c r="I241">
        <f>Raw_Data!I241</f>
        <v/>
      </c>
      <c r="J241" s="12">
        <f>Raw_Data!J241</f>
        <v/>
      </c>
      <c r="K241" s="13">
        <f>Raw_Data!K241</f>
        <v/>
      </c>
      <c r="L241" s="12">
        <f>Raw_Data!L241</f>
        <v/>
      </c>
      <c r="M241" s="12">
        <f>Raw_Data!M241</f>
        <v/>
      </c>
      <c r="N241" s="12">
        <f>Raw_Data!N241</f>
        <v/>
      </c>
      <c r="O241">
        <f>Raw_Data!O241</f>
        <v/>
      </c>
      <c r="P241">
        <f>Raw_Data!P241</f>
        <v/>
      </c>
      <c r="Q241">
        <f>YEAR(B241)</f>
        <v/>
      </c>
      <c r="R241">
        <f>TEXT(B241,"mmm")</f>
        <v/>
      </c>
      <c r="S241" s="15">
        <f>IFERROR(N241/L241,0)</f>
        <v/>
      </c>
    </row>
    <row r="242">
      <c r="A242">
        <f>Raw_Data!A242</f>
        <v/>
      </c>
      <c r="B242" s="11">
        <f>Raw_Data!B242</f>
        <v/>
      </c>
      <c r="C242">
        <f>Raw_Data!C242</f>
        <v/>
      </c>
      <c r="D242">
        <f>Raw_Data!D242</f>
        <v/>
      </c>
      <c r="E242">
        <f>Raw_Data!E242</f>
        <v/>
      </c>
      <c r="F242">
        <f>Raw_Data!F242</f>
        <v/>
      </c>
      <c r="G242">
        <f>Raw_Data!G242</f>
        <v/>
      </c>
      <c r="H242">
        <f>Raw_Data!H242</f>
        <v/>
      </c>
      <c r="I242">
        <f>Raw_Data!I242</f>
        <v/>
      </c>
      <c r="J242" s="12">
        <f>Raw_Data!J242</f>
        <v/>
      </c>
      <c r="K242" s="13">
        <f>Raw_Data!K242</f>
        <v/>
      </c>
      <c r="L242" s="12">
        <f>Raw_Data!L242</f>
        <v/>
      </c>
      <c r="M242" s="12">
        <f>Raw_Data!M242</f>
        <v/>
      </c>
      <c r="N242" s="12">
        <f>Raw_Data!N242</f>
        <v/>
      </c>
      <c r="O242">
        <f>Raw_Data!O242</f>
        <v/>
      </c>
      <c r="P242">
        <f>Raw_Data!P242</f>
        <v/>
      </c>
      <c r="Q242">
        <f>YEAR(B242)</f>
        <v/>
      </c>
      <c r="R242">
        <f>TEXT(B242,"mmm")</f>
        <v/>
      </c>
      <c r="S242" s="15">
        <f>IFERROR(N242/L242,0)</f>
        <v/>
      </c>
    </row>
    <row r="243">
      <c r="A243">
        <f>Raw_Data!A243</f>
        <v/>
      </c>
      <c r="B243" s="11">
        <f>Raw_Data!B243</f>
        <v/>
      </c>
      <c r="C243">
        <f>Raw_Data!C243</f>
        <v/>
      </c>
      <c r="D243">
        <f>Raw_Data!D243</f>
        <v/>
      </c>
      <c r="E243">
        <f>Raw_Data!E243</f>
        <v/>
      </c>
      <c r="F243">
        <f>Raw_Data!F243</f>
        <v/>
      </c>
      <c r="G243">
        <f>Raw_Data!G243</f>
        <v/>
      </c>
      <c r="H243">
        <f>Raw_Data!H243</f>
        <v/>
      </c>
      <c r="I243">
        <f>Raw_Data!I243</f>
        <v/>
      </c>
      <c r="J243" s="12">
        <f>Raw_Data!J243</f>
        <v/>
      </c>
      <c r="K243" s="13">
        <f>Raw_Data!K243</f>
        <v/>
      </c>
      <c r="L243" s="12">
        <f>Raw_Data!L243</f>
        <v/>
      </c>
      <c r="M243" s="12">
        <f>Raw_Data!M243</f>
        <v/>
      </c>
      <c r="N243" s="12">
        <f>Raw_Data!N243</f>
        <v/>
      </c>
      <c r="O243">
        <f>Raw_Data!O243</f>
        <v/>
      </c>
      <c r="P243">
        <f>Raw_Data!P243</f>
        <v/>
      </c>
      <c r="Q243">
        <f>YEAR(B243)</f>
        <v/>
      </c>
      <c r="R243">
        <f>TEXT(B243,"mmm")</f>
        <v/>
      </c>
      <c r="S243" s="15">
        <f>IFERROR(N243/L243,0)</f>
        <v/>
      </c>
    </row>
    <row r="244">
      <c r="A244">
        <f>Raw_Data!A244</f>
        <v/>
      </c>
      <c r="B244" s="11">
        <f>Raw_Data!B244</f>
        <v/>
      </c>
      <c r="C244">
        <f>Raw_Data!C244</f>
        <v/>
      </c>
      <c r="D244">
        <f>Raw_Data!D244</f>
        <v/>
      </c>
      <c r="E244">
        <f>Raw_Data!E244</f>
        <v/>
      </c>
      <c r="F244">
        <f>Raw_Data!F244</f>
        <v/>
      </c>
      <c r="G244">
        <f>Raw_Data!G244</f>
        <v/>
      </c>
      <c r="H244">
        <f>Raw_Data!H244</f>
        <v/>
      </c>
      <c r="I244">
        <f>Raw_Data!I244</f>
        <v/>
      </c>
      <c r="J244" s="12">
        <f>Raw_Data!J244</f>
        <v/>
      </c>
      <c r="K244" s="13">
        <f>Raw_Data!K244</f>
        <v/>
      </c>
      <c r="L244" s="12">
        <f>Raw_Data!L244</f>
        <v/>
      </c>
      <c r="M244" s="12">
        <f>Raw_Data!M244</f>
        <v/>
      </c>
      <c r="N244" s="12">
        <f>Raw_Data!N244</f>
        <v/>
      </c>
      <c r="O244">
        <f>Raw_Data!O244</f>
        <v/>
      </c>
      <c r="P244">
        <f>Raw_Data!P244</f>
        <v/>
      </c>
      <c r="Q244">
        <f>YEAR(B244)</f>
        <v/>
      </c>
      <c r="R244">
        <f>TEXT(B244,"mmm")</f>
        <v/>
      </c>
      <c r="S244" s="15">
        <f>IFERROR(N244/L244,0)</f>
        <v/>
      </c>
    </row>
    <row r="245">
      <c r="A245">
        <f>Raw_Data!A245</f>
        <v/>
      </c>
      <c r="B245" s="11">
        <f>Raw_Data!B245</f>
        <v/>
      </c>
      <c r="C245">
        <f>Raw_Data!C245</f>
        <v/>
      </c>
      <c r="D245">
        <f>Raw_Data!D245</f>
        <v/>
      </c>
      <c r="E245">
        <f>Raw_Data!E245</f>
        <v/>
      </c>
      <c r="F245">
        <f>Raw_Data!F245</f>
        <v/>
      </c>
      <c r="G245">
        <f>Raw_Data!G245</f>
        <v/>
      </c>
      <c r="H245">
        <f>Raw_Data!H245</f>
        <v/>
      </c>
      <c r="I245">
        <f>Raw_Data!I245</f>
        <v/>
      </c>
      <c r="J245" s="12">
        <f>Raw_Data!J245</f>
        <v/>
      </c>
      <c r="K245" s="13">
        <f>Raw_Data!K245</f>
        <v/>
      </c>
      <c r="L245" s="12">
        <f>Raw_Data!L245</f>
        <v/>
      </c>
      <c r="M245" s="12">
        <f>Raw_Data!M245</f>
        <v/>
      </c>
      <c r="N245" s="12">
        <f>Raw_Data!N245</f>
        <v/>
      </c>
      <c r="O245">
        <f>Raw_Data!O245</f>
        <v/>
      </c>
      <c r="P245">
        <f>Raw_Data!P245</f>
        <v/>
      </c>
      <c r="Q245">
        <f>YEAR(B245)</f>
        <v/>
      </c>
      <c r="R245">
        <f>TEXT(B245,"mmm")</f>
        <v/>
      </c>
      <c r="S245" s="15">
        <f>IFERROR(N245/L245,0)</f>
        <v/>
      </c>
    </row>
    <row r="246">
      <c r="A246">
        <f>Raw_Data!A246</f>
        <v/>
      </c>
      <c r="B246" s="11">
        <f>Raw_Data!B246</f>
        <v/>
      </c>
      <c r="C246">
        <f>Raw_Data!C246</f>
        <v/>
      </c>
      <c r="D246">
        <f>Raw_Data!D246</f>
        <v/>
      </c>
      <c r="E246">
        <f>Raw_Data!E246</f>
        <v/>
      </c>
      <c r="F246">
        <f>Raw_Data!F246</f>
        <v/>
      </c>
      <c r="G246">
        <f>Raw_Data!G246</f>
        <v/>
      </c>
      <c r="H246">
        <f>Raw_Data!H246</f>
        <v/>
      </c>
      <c r="I246">
        <f>Raw_Data!I246</f>
        <v/>
      </c>
      <c r="J246" s="12">
        <f>Raw_Data!J246</f>
        <v/>
      </c>
      <c r="K246" s="13">
        <f>Raw_Data!K246</f>
        <v/>
      </c>
      <c r="L246" s="12">
        <f>Raw_Data!L246</f>
        <v/>
      </c>
      <c r="M246" s="12">
        <f>Raw_Data!M246</f>
        <v/>
      </c>
      <c r="N246" s="12">
        <f>Raw_Data!N246</f>
        <v/>
      </c>
      <c r="O246">
        <f>Raw_Data!O246</f>
        <v/>
      </c>
      <c r="P246">
        <f>Raw_Data!P246</f>
        <v/>
      </c>
      <c r="Q246">
        <f>YEAR(B246)</f>
        <v/>
      </c>
      <c r="R246">
        <f>TEXT(B246,"mmm")</f>
        <v/>
      </c>
      <c r="S246" s="15">
        <f>IFERROR(N246/L246,0)</f>
        <v/>
      </c>
    </row>
    <row r="247">
      <c r="A247">
        <f>Raw_Data!A247</f>
        <v/>
      </c>
      <c r="B247" s="11">
        <f>Raw_Data!B247</f>
        <v/>
      </c>
      <c r="C247">
        <f>Raw_Data!C247</f>
        <v/>
      </c>
      <c r="D247">
        <f>Raw_Data!D247</f>
        <v/>
      </c>
      <c r="E247">
        <f>Raw_Data!E247</f>
        <v/>
      </c>
      <c r="F247">
        <f>Raw_Data!F247</f>
        <v/>
      </c>
      <c r="G247">
        <f>Raw_Data!G247</f>
        <v/>
      </c>
      <c r="H247">
        <f>Raw_Data!H247</f>
        <v/>
      </c>
      <c r="I247">
        <f>Raw_Data!I247</f>
        <v/>
      </c>
      <c r="J247" s="12">
        <f>Raw_Data!J247</f>
        <v/>
      </c>
      <c r="K247" s="13">
        <f>Raw_Data!K247</f>
        <v/>
      </c>
      <c r="L247" s="12">
        <f>Raw_Data!L247</f>
        <v/>
      </c>
      <c r="M247" s="12">
        <f>Raw_Data!M247</f>
        <v/>
      </c>
      <c r="N247" s="12">
        <f>Raw_Data!N247</f>
        <v/>
      </c>
      <c r="O247">
        <f>Raw_Data!O247</f>
        <v/>
      </c>
      <c r="P247">
        <f>Raw_Data!P247</f>
        <v/>
      </c>
      <c r="Q247">
        <f>YEAR(B247)</f>
        <v/>
      </c>
      <c r="R247">
        <f>TEXT(B247,"mmm")</f>
        <v/>
      </c>
      <c r="S247" s="15">
        <f>IFERROR(N247/L247,0)</f>
        <v/>
      </c>
    </row>
    <row r="248">
      <c r="A248">
        <f>Raw_Data!A248</f>
        <v/>
      </c>
      <c r="B248" s="11">
        <f>Raw_Data!B248</f>
        <v/>
      </c>
      <c r="C248">
        <f>Raw_Data!C248</f>
        <v/>
      </c>
      <c r="D248">
        <f>Raw_Data!D248</f>
        <v/>
      </c>
      <c r="E248">
        <f>Raw_Data!E248</f>
        <v/>
      </c>
      <c r="F248">
        <f>Raw_Data!F248</f>
        <v/>
      </c>
      <c r="G248">
        <f>Raw_Data!G248</f>
        <v/>
      </c>
      <c r="H248">
        <f>Raw_Data!H248</f>
        <v/>
      </c>
      <c r="I248">
        <f>Raw_Data!I248</f>
        <v/>
      </c>
      <c r="J248" s="12">
        <f>Raw_Data!J248</f>
        <v/>
      </c>
      <c r="K248" s="13">
        <f>Raw_Data!K248</f>
        <v/>
      </c>
      <c r="L248" s="12">
        <f>Raw_Data!L248</f>
        <v/>
      </c>
      <c r="M248" s="12">
        <f>Raw_Data!M248</f>
        <v/>
      </c>
      <c r="N248" s="12">
        <f>Raw_Data!N248</f>
        <v/>
      </c>
      <c r="O248">
        <f>Raw_Data!O248</f>
        <v/>
      </c>
      <c r="P248">
        <f>Raw_Data!P248</f>
        <v/>
      </c>
      <c r="Q248">
        <f>YEAR(B248)</f>
        <v/>
      </c>
      <c r="R248">
        <f>TEXT(B248,"mmm")</f>
        <v/>
      </c>
      <c r="S248" s="15">
        <f>IFERROR(N248/L248,0)</f>
        <v/>
      </c>
    </row>
    <row r="249">
      <c r="A249">
        <f>Raw_Data!A249</f>
        <v/>
      </c>
      <c r="B249" s="11">
        <f>Raw_Data!B249</f>
        <v/>
      </c>
      <c r="C249">
        <f>Raw_Data!C249</f>
        <v/>
      </c>
      <c r="D249">
        <f>Raw_Data!D249</f>
        <v/>
      </c>
      <c r="E249">
        <f>Raw_Data!E249</f>
        <v/>
      </c>
      <c r="F249">
        <f>Raw_Data!F249</f>
        <v/>
      </c>
      <c r="G249">
        <f>Raw_Data!G249</f>
        <v/>
      </c>
      <c r="H249">
        <f>Raw_Data!H249</f>
        <v/>
      </c>
      <c r="I249">
        <f>Raw_Data!I249</f>
        <v/>
      </c>
      <c r="J249" s="12">
        <f>Raw_Data!J249</f>
        <v/>
      </c>
      <c r="K249" s="13">
        <f>Raw_Data!K249</f>
        <v/>
      </c>
      <c r="L249" s="12">
        <f>Raw_Data!L249</f>
        <v/>
      </c>
      <c r="M249" s="12">
        <f>Raw_Data!M249</f>
        <v/>
      </c>
      <c r="N249" s="12">
        <f>Raw_Data!N249</f>
        <v/>
      </c>
      <c r="O249">
        <f>Raw_Data!O249</f>
        <v/>
      </c>
      <c r="P249">
        <f>Raw_Data!P249</f>
        <v/>
      </c>
      <c r="Q249">
        <f>YEAR(B249)</f>
        <v/>
      </c>
      <c r="R249">
        <f>TEXT(B249,"mmm")</f>
        <v/>
      </c>
      <c r="S249" s="15">
        <f>IFERROR(N249/L249,0)</f>
        <v/>
      </c>
    </row>
    <row r="250">
      <c r="A250">
        <f>Raw_Data!A250</f>
        <v/>
      </c>
      <c r="B250" s="11">
        <f>Raw_Data!B250</f>
        <v/>
      </c>
      <c r="C250">
        <f>Raw_Data!C250</f>
        <v/>
      </c>
      <c r="D250">
        <f>Raw_Data!D250</f>
        <v/>
      </c>
      <c r="E250">
        <f>Raw_Data!E250</f>
        <v/>
      </c>
      <c r="F250">
        <f>Raw_Data!F250</f>
        <v/>
      </c>
      <c r="G250">
        <f>Raw_Data!G250</f>
        <v/>
      </c>
      <c r="H250">
        <f>Raw_Data!H250</f>
        <v/>
      </c>
      <c r="I250">
        <f>Raw_Data!I250</f>
        <v/>
      </c>
      <c r="J250" s="12">
        <f>Raw_Data!J250</f>
        <v/>
      </c>
      <c r="K250" s="13">
        <f>Raw_Data!K250</f>
        <v/>
      </c>
      <c r="L250" s="12">
        <f>Raw_Data!L250</f>
        <v/>
      </c>
      <c r="M250" s="12">
        <f>Raw_Data!M250</f>
        <v/>
      </c>
      <c r="N250" s="12">
        <f>Raw_Data!N250</f>
        <v/>
      </c>
      <c r="O250">
        <f>Raw_Data!O250</f>
        <v/>
      </c>
      <c r="P250">
        <f>Raw_Data!P250</f>
        <v/>
      </c>
      <c r="Q250">
        <f>YEAR(B250)</f>
        <v/>
      </c>
      <c r="R250">
        <f>TEXT(B250,"mmm")</f>
        <v/>
      </c>
      <c r="S250" s="15">
        <f>IFERROR(N250/L250,0)</f>
        <v/>
      </c>
    </row>
    <row r="251">
      <c r="A251">
        <f>Raw_Data!A251</f>
        <v/>
      </c>
      <c r="B251" s="11">
        <f>Raw_Data!B251</f>
        <v/>
      </c>
      <c r="C251">
        <f>Raw_Data!C251</f>
        <v/>
      </c>
      <c r="D251">
        <f>Raw_Data!D251</f>
        <v/>
      </c>
      <c r="E251">
        <f>Raw_Data!E251</f>
        <v/>
      </c>
      <c r="F251">
        <f>Raw_Data!F251</f>
        <v/>
      </c>
      <c r="G251">
        <f>Raw_Data!G251</f>
        <v/>
      </c>
      <c r="H251">
        <f>Raw_Data!H251</f>
        <v/>
      </c>
      <c r="I251">
        <f>Raw_Data!I251</f>
        <v/>
      </c>
      <c r="J251" s="12">
        <f>Raw_Data!J251</f>
        <v/>
      </c>
      <c r="K251" s="13">
        <f>Raw_Data!K251</f>
        <v/>
      </c>
      <c r="L251" s="12">
        <f>Raw_Data!L251</f>
        <v/>
      </c>
      <c r="M251" s="12">
        <f>Raw_Data!M251</f>
        <v/>
      </c>
      <c r="N251" s="12">
        <f>Raw_Data!N251</f>
        <v/>
      </c>
      <c r="O251">
        <f>Raw_Data!O251</f>
        <v/>
      </c>
      <c r="P251">
        <f>Raw_Data!P251</f>
        <v/>
      </c>
      <c r="Q251">
        <f>YEAR(B251)</f>
        <v/>
      </c>
      <c r="R251">
        <f>TEXT(B251,"mmm")</f>
        <v/>
      </c>
      <c r="S251" s="15">
        <f>IFERROR(N251/L251,0)</f>
        <v/>
      </c>
    </row>
    <row r="252">
      <c r="A252">
        <f>Raw_Data!A252</f>
        <v/>
      </c>
      <c r="B252" s="11">
        <f>Raw_Data!B252</f>
        <v/>
      </c>
      <c r="C252">
        <f>Raw_Data!C252</f>
        <v/>
      </c>
      <c r="D252">
        <f>Raw_Data!D252</f>
        <v/>
      </c>
      <c r="E252">
        <f>Raw_Data!E252</f>
        <v/>
      </c>
      <c r="F252">
        <f>Raw_Data!F252</f>
        <v/>
      </c>
      <c r="G252">
        <f>Raw_Data!G252</f>
        <v/>
      </c>
      <c r="H252">
        <f>Raw_Data!H252</f>
        <v/>
      </c>
      <c r="I252">
        <f>Raw_Data!I252</f>
        <v/>
      </c>
      <c r="J252" s="12">
        <f>Raw_Data!J252</f>
        <v/>
      </c>
      <c r="K252" s="13">
        <f>Raw_Data!K252</f>
        <v/>
      </c>
      <c r="L252" s="12">
        <f>Raw_Data!L252</f>
        <v/>
      </c>
      <c r="M252" s="12">
        <f>Raw_Data!M252</f>
        <v/>
      </c>
      <c r="N252" s="12">
        <f>Raw_Data!N252</f>
        <v/>
      </c>
      <c r="O252">
        <f>Raw_Data!O252</f>
        <v/>
      </c>
      <c r="P252">
        <f>Raw_Data!P252</f>
        <v/>
      </c>
      <c r="Q252">
        <f>YEAR(B252)</f>
        <v/>
      </c>
      <c r="R252">
        <f>TEXT(B252,"mmm")</f>
        <v/>
      </c>
      <c r="S252" s="15">
        <f>IFERROR(N252/L252,0)</f>
        <v/>
      </c>
    </row>
    <row r="253">
      <c r="A253">
        <f>Raw_Data!A253</f>
        <v/>
      </c>
      <c r="B253" s="11">
        <f>Raw_Data!B253</f>
        <v/>
      </c>
      <c r="C253">
        <f>Raw_Data!C253</f>
        <v/>
      </c>
      <c r="D253">
        <f>Raw_Data!D253</f>
        <v/>
      </c>
      <c r="E253">
        <f>Raw_Data!E253</f>
        <v/>
      </c>
      <c r="F253">
        <f>Raw_Data!F253</f>
        <v/>
      </c>
      <c r="G253">
        <f>Raw_Data!G253</f>
        <v/>
      </c>
      <c r="H253">
        <f>Raw_Data!H253</f>
        <v/>
      </c>
      <c r="I253">
        <f>Raw_Data!I253</f>
        <v/>
      </c>
      <c r="J253" s="12">
        <f>Raw_Data!J253</f>
        <v/>
      </c>
      <c r="K253" s="13">
        <f>Raw_Data!K253</f>
        <v/>
      </c>
      <c r="L253" s="12">
        <f>Raw_Data!L253</f>
        <v/>
      </c>
      <c r="M253" s="12">
        <f>Raw_Data!M253</f>
        <v/>
      </c>
      <c r="N253" s="12">
        <f>Raw_Data!N253</f>
        <v/>
      </c>
      <c r="O253">
        <f>Raw_Data!O253</f>
        <v/>
      </c>
      <c r="P253">
        <f>Raw_Data!P253</f>
        <v/>
      </c>
      <c r="Q253">
        <f>YEAR(B253)</f>
        <v/>
      </c>
      <c r="R253">
        <f>TEXT(B253,"mmm")</f>
        <v/>
      </c>
      <c r="S253" s="15">
        <f>IFERROR(N253/L253,0)</f>
        <v/>
      </c>
    </row>
    <row r="254">
      <c r="A254">
        <f>Raw_Data!A254</f>
        <v/>
      </c>
      <c r="B254" s="11">
        <f>Raw_Data!B254</f>
        <v/>
      </c>
      <c r="C254">
        <f>Raw_Data!C254</f>
        <v/>
      </c>
      <c r="D254">
        <f>Raw_Data!D254</f>
        <v/>
      </c>
      <c r="E254">
        <f>Raw_Data!E254</f>
        <v/>
      </c>
      <c r="F254">
        <f>Raw_Data!F254</f>
        <v/>
      </c>
      <c r="G254">
        <f>Raw_Data!G254</f>
        <v/>
      </c>
      <c r="H254">
        <f>Raw_Data!H254</f>
        <v/>
      </c>
      <c r="I254">
        <f>Raw_Data!I254</f>
        <v/>
      </c>
      <c r="J254" s="12">
        <f>Raw_Data!J254</f>
        <v/>
      </c>
      <c r="K254" s="13">
        <f>Raw_Data!K254</f>
        <v/>
      </c>
      <c r="L254" s="12">
        <f>Raw_Data!L254</f>
        <v/>
      </c>
      <c r="M254" s="12">
        <f>Raw_Data!M254</f>
        <v/>
      </c>
      <c r="N254" s="12">
        <f>Raw_Data!N254</f>
        <v/>
      </c>
      <c r="O254">
        <f>Raw_Data!O254</f>
        <v/>
      </c>
      <c r="P254">
        <f>Raw_Data!P254</f>
        <v/>
      </c>
      <c r="Q254">
        <f>YEAR(B254)</f>
        <v/>
      </c>
      <c r="R254">
        <f>TEXT(B254,"mmm")</f>
        <v/>
      </c>
      <c r="S254" s="15">
        <f>IFERROR(N254/L254,0)</f>
        <v/>
      </c>
    </row>
    <row r="255">
      <c r="A255">
        <f>Raw_Data!A255</f>
        <v/>
      </c>
      <c r="B255" s="11">
        <f>Raw_Data!B255</f>
        <v/>
      </c>
      <c r="C255">
        <f>Raw_Data!C255</f>
        <v/>
      </c>
      <c r="D255">
        <f>Raw_Data!D255</f>
        <v/>
      </c>
      <c r="E255">
        <f>Raw_Data!E255</f>
        <v/>
      </c>
      <c r="F255">
        <f>Raw_Data!F255</f>
        <v/>
      </c>
      <c r="G255">
        <f>Raw_Data!G255</f>
        <v/>
      </c>
      <c r="H255">
        <f>Raw_Data!H255</f>
        <v/>
      </c>
      <c r="I255">
        <f>Raw_Data!I255</f>
        <v/>
      </c>
      <c r="J255" s="12">
        <f>Raw_Data!J255</f>
        <v/>
      </c>
      <c r="K255" s="13">
        <f>Raw_Data!K255</f>
        <v/>
      </c>
      <c r="L255" s="12">
        <f>Raw_Data!L255</f>
        <v/>
      </c>
      <c r="M255" s="12">
        <f>Raw_Data!M255</f>
        <v/>
      </c>
      <c r="N255" s="12">
        <f>Raw_Data!N255</f>
        <v/>
      </c>
      <c r="O255">
        <f>Raw_Data!O255</f>
        <v/>
      </c>
      <c r="P255">
        <f>Raw_Data!P255</f>
        <v/>
      </c>
      <c r="Q255">
        <f>YEAR(B255)</f>
        <v/>
      </c>
      <c r="R255">
        <f>TEXT(B255,"mmm")</f>
        <v/>
      </c>
      <c r="S255" s="15">
        <f>IFERROR(N255/L255,0)</f>
        <v/>
      </c>
    </row>
    <row r="256">
      <c r="A256">
        <f>Raw_Data!A256</f>
        <v/>
      </c>
      <c r="B256" s="11">
        <f>Raw_Data!B256</f>
        <v/>
      </c>
      <c r="C256">
        <f>Raw_Data!C256</f>
        <v/>
      </c>
      <c r="D256">
        <f>Raw_Data!D256</f>
        <v/>
      </c>
      <c r="E256">
        <f>Raw_Data!E256</f>
        <v/>
      </c>
      <c r="F256">
        <f>Raw_Data!F256</f>
        <v/>
      </c>
      <c r="G256">
        <f>Raw_Data!G256</f>
        <v/>
      </c>
      <c r="H256">
        <f>Raw_Data!H256</f>
        <v/>
      </c>
      <c r="I256">
        <f>Raw_Data!I256</f>
        <v/>
      </c>
      <c r="J256" s="12">
        <f>Raw_Data!J256</f>
        <v/>
      </c>
      <c r="K256" s="13">
        <f>Raw_Data!K256</f>
        <v/>
      </c>
      <c r="L256" s="12">
        <f>Raw_Data!L256</f>
        <v/>
      </c>
      <c r="M256" s="12">
        <f>Raw_Data!M256</f>
        <v/>
      </c>
      <c r="N256" s="12">
        <f>Raw_Data!N256</f>
        <v/>
      </c>
      <c r="O256">
        <f>Raw_Data!O256</f>
        <v/>
      </c>
      <c r="P256">
        <f>Raw_Data!P256</f>
        <v/>
      </c>
      <c r="Q256">
        <f>YEAR(B256)</f>
        <v/>
      </c>
      <c r="R256">
        <f>TEXT(B256,"mmm")</f>
        <v/>
      </c>
      <c r="S256" s="15">
        <f>IFERROR(N256/L256,0)</f>
        <v/>
      </c>
    </row>
    <row r="257">
      <c r="A257">
        <f>Raw_Data!A257</f>
        <v/>
      </c>
      <c r="B257" s="11">
        <f>Raw_Data!B257</f>
        <v/>
      </c>
      <c r="C257">
        <f>Raw_Data!C257</f>
        <v/>
      </c>
      <c r="D257">
        <f>Raw_Data!D257</f>
        <v/>
      </c>
      <c r="E257">
        <f>Raw_Data!E257</f>
        <v/>
      </c>
      <c r="F257">
        <f>Raw_Data!F257</f>
        <v/>
      </c>
      <c r="G257">
        <f>Raw_Data!G257</f>
        <v/>
      </c>
      <c r="H257">
        <f>Raw_Data!H257</f>
        <v/>
      </c>
      <c r="I257">
        <f>Raw_Data!I257</f>
        <v/>
      </c>
      <c r="J257" s="12">
        <f>Raw_Data!J257</f>
        <v/>
      </c>
      <c r="K257" s="13">
        <f>Raw_Data!K257</f>
        <v/>
      </c>
      <c r="L257" s="12">
        <f>Raw_Data!L257</f>
        <v/>
      </c>
      <c r="M257" s="12">
        <f>Raw_Data!M257</f>
        <v/>
      </c>
      <c r="N257" s="12">
        <f>Raw_Data!N257</f>
        <v/>
      </c>
      <c r="O257">
        <f>Raw_Data!O257</f>
        <v/>
      </c>
      <c r="P257">
        <f>Raw_Data!P257</f>
        <v/>
      </c>
      <c r="Q257">
        <f>YEAR(B257)</f>
        <v/>
      </c>
      <c r="R257">
        <f>TEXT(B257,"mmm")</f>
        <v/>
      </c>
      <c r="S257" s="15">
        <f>IFERROR(N257/L257,0)</f>
        <v/>
      </c>
    </row>
    <row r="258">
      <c r="A258">
        <f>Raw_Data!A258</f>
        <v/>
      </c>
      <c r="B258" s="11">
        <f>Raw_Data!B258</f>
        <v/>
      </c>
      <c r="C258">
        <f>Raw_Data!C258</f>
        <v/>
      </c>
      <c r="D258">
        <f>Raw_Data!D258</f>
        <v/>
      </c>
      <c r="E258">
        <f>Raw_Data!E258</f>
        <v/>
      </c>
      <c r="F258">
        <f>Raw_Data!F258</f>
        <v/>
      </c>
      <c r="G258">
        <f>Raw_Data!G258</f>
        <v/>
      </c>
      <c r="H258">
        <f>Raw_Data!H258</f>
        <v/>
      </c>
      <c r="I258">
        <f>Raw_Data!I258</f>
        <v/>
      </c>
      <c r="J258" s="12">
        <f>Raw_Data!J258</f>
        <v/>
      </c>
      <c r="K258" s="13">
        <f>Raw_Data!K258</f>
        <v/>
      </c>
      <c r="L258" s="12">
        <f>Raw_Data!L258</f>
        <v/>
      </c>
      <c r="M258" s="12">
        <f>Raw_Data!M258</f>
        <v/>
      </c>
      <c r="N258" s="12">
        <f>Raw_Data!N258</f>
        <v/>
      </c>
      <c r="O258">
        <f>Raw_Data!O258</f>
        <v/>
      </c>
      <c r="P258">
        <f>Raw_Data!P258</f>
        <v/>
      </c>
      <c r="Q258">
        <f>YEAR(B258)</f>
        <v/>
      </c>
      <c r="R258">
        <f>TEXT(B258,"mmm")</f>
        <v/>
      </c>
      <c r="S258" s="15">
        <f>IFERROR(N258/L258,0)</f>
        <v/>
      </c>
    </row>
    <row r="259">
      <c r="A259">
        <f>Raw_Data!A259</f>
        <v/>
      </c>
      <c r="B259" s="11">
        <f>Raw_Data!B259</f>
        <v/>
      </c>
      <c r="C259">
        <f>Raw_Data!C259</f>
        <v/>
      </c>
      <c r="D259">
        <f>Raw_Data!D259</f>
        <v/>
      </c>
      <c r="E259">
        <f>Raw_Data!E259</f>
        <v/>
      </c>
      <c r="F259">
        <f>Raw_Data!F259</f>
        <v/>
      </c>
      <c r="G259">
        <f>Raw_Data!G259</f>
        <v/>
      </c>
      <c r="H259">
        <f>Raw_Data!H259</f>
        <v/>
      </c>
      <c r="I259">
        <f>Raw_Data!I259</f>
        <v/>
      </c>
      <c r="J259" s="12">
        <f>Raw_Data!J259</f>
        <v/>
      </c>
      <c r="K259" s="13">
        <f>Raw_Data!K259</f>
        <v/>
      </c>
      <c r="L259" s="12">
        <f>Raw_Data!L259</f>
        <v/>
      </c>
      <c r="M259" s="12">
        <f>Raw_Data!M259</f>
        <v/>
      </c>
      <c r="N259" s="12">
        <f>Raw_Data!N259</f>
        <v/>
      </c>
      <c r="O259">
        <f>Raw_Data!O259</f>
        <v/>
      </c>
      <c r="P259">
        <f>Raw_Data!P259</f>
        <v/>
      </c>
      <c r="Q259">
        <f>YEAR(B259)</f>
        <v/>
      </c>
      <c r="R259">
        <f>TEXT(B259,"mmm")</f>
        <v/>
      </c>
      <c r="S259" s="15">
        <f>IFERROR(N259/L259,0)</f>
        <v/>
      </c>
    </row>
    <row r="260">
      <c r="A260">
        <f>Raw_Data!A260</f>
        <v/>
      </c>
      <c r="B260" s="11">
        <f>Raw_Data!B260</f>
        <v/>
      </c>
      <c r="C260">
        <f>Raw_Data!C260</f>
        <v/>
      </c>
      <c r="D260">
        <f>Raw_Data!D260</f>
        <v/>
      </c>
      <c r="E260">
        <f>Raw_Data!E260</f>
        <v/>
      </c>
      <c r="F260">
        <f>Raw_Data!F260</f>
        <v/>
      </c>
      <c r="G260">
        <f>Raw_Data!G260</f>
        <v/>
      </c>
      <c r="H260">
        <f>Raw_Data!H260</f>
        <v/>
      </c>
      <c r="I260">
        <f>Raw_Data!I260</f>
        <v/>
      </c>
      <c r="J260" s="12">
        <f>Raw_Data!J260</f>
        <v/>
      </c>
      <c r="K260" s="13">
        <f>Raw_Data!K260</f>
        <v/>
      </c>
      <c r="L260" s="12">
        <f>Raw_Data!L260</f>
        <v/>
      </c>
      <c r="M260" s="12">
        <f>Raw_Data!M260</f>
        <v/>
      </c>
      <c r="N260" s="12">
        <f>Raw_Data!N260</f>
        <v/>
      </c>
      <c r="O260">
        <f>Raw_Data!O260</f>
        <v/>
      </c>
      <c r="P260">
        <f>Raw_Data!P260</f>
        <v/>
      </c>
      <c r="Q260">
        <f>YEAR(B260)</f>
        <v/>
      </c>
      <c r="R260">
        <f>TEXT(B260,"mmm")</f>
        <v/>
      </c>
      <c r="S260" s="15">
        <f>IFERROR(N260/L260,0)</f>
        <v/>
      </c>
    </row>
    <row r="261">
      <c r="A261">
        <f>Raw_Data!A261</f>
        <v/>
      </c>
      <c r="B261" s="11">
        <f>Raw_Data!B261</f>
        <v/>
      </c>
      <c r="C261">
        <f>Raw_Data!C261</f>
        <v/>
      </c>
      <c r="D261">
        <f>Raw_Data!D261</f>
        <v/>
      </c>
      <c r="E261">
        <f>Raw_Data!E261</f>
        <v/>
      </c>
      <c r="F261">
        <f>Raw_Data!F261</f>
        <v/>
      </c>
      <c r="G261">
        <f>Raw_Data!G261</f>
        <v/>
      </c>
      <c r="H261">
        <f>Raw_Data!H261</f>
        <v/>
      </c>
      <c r="I261">
        <f>Raw_Data!I261</f>
        <v/>
      </c>
      <c r="J261" s="12">
        <f>Raw_Data!J261</f>
        <v/>
      </c>
      <c r="K261" s="13">
        <f>Raw_Data!K261</f>
        <v/>
      </c>
      <c r="L261" s="12">
        <f>Raw_Data!L261</f>
        <v/>
      </c>
      <c r="M261" s="12">
        <f>Raw_Data!M261</f>
        <v/>
      </c>
      <c r="N261" s="12">
        <f>Raw_Data!N261</f>
        <v/>
      </c>
      <c r="O261">
        <f>Raw_Data!O261</f>
        <v/>
      </c>
      <c r="P261">
        <f>Raw_Data!P261</f>
        <v/>
      </c>
      <c r="Q261">
        <f>YEAR(B261)</f>
        <v/>
      </c>
      <c r="R261">
        <f>TEXT(B261,"mmm")</f>
        <v/>
      </c>
      <c r="S261" s="15">
        <f>IFERROR(N261/L261,0)</f>
        <v/>
      </c>
    </row>
    <row r="262">
      <c r="A262">
        <f>Raw_Data!A262</f>
        <v/>
      </c>
      <c r="B262" s="11">
        <f>Raw_Data!B262</f>
        <v/>
      </c>
      <c r="C262">
        <f>Raw_Data!C262</f>
        <v/>
      </c>
      <c r="D262">
        <f>Raw_Data!D262</f>
        <v/>
      </c>
      <c r="E262">
        <f>Raw_Data!E262</f>
        <v/>
      </c>
      <c r="F262">
        <f>Raw_Data!F262</f>
        <v/>
      </c>
      <c r="G262">
        <f>Raw_Data!G262</f>
        <v/>
      </c>
      <c r="H262">
        <f>Raw_Data!H262</f>
        <v/>
      </c>
      <c r="I262">
        <f>Raw_Data!I262</f>
        <v/>
      </c>
      <c r="J262" s="12">
        <f>Raw_Data!J262</f>
        <v/>
      </c>
      <c r="K262" s="13">
        <f>Raw_Data!K262</f>
        <v/>
      </c>
      <c r="L262" s="12">
        <f>Raw_Data!L262</f>
        <v/>
      </c>
      <c r="M262" s="12">
        <f>Raw_Data!M262</f>
        <v/>
      </c>
      <c r="N262" s="12">
        <f>Raw_Data!N262</f>
        <v/>
      </c>
      <c r="O262">
        <f>Raw_Data!O262</f>
        <v/>
      </c>
      <c r="P262">
        <f>Raw_Data!P262</f>
        <v/>
      </c>
      <c r="Q262">
        <f>YEAR(B262)</f>
        <v/>
      </c>
      <c r="R262">
        <f>TEXT(B262,"mmm")</f>
        <v/>
      </c>
      <c r="S262" s="15">
        <f>IFERROR(N262/L262,0)</f>
        <v/>
      </c>
    </row>
    <row r="263">
      <c r="A263">
        <f>Raw_Data!A263</f>
        <v/>
      </c>
      <c r="B263" s="11">
        <f>Raw_Data!B263</f>
        <v/>
      </c>
      <c r="C263">
        <f>Raw_Data!C263</f>
        <v/>
      </c>
      <c r="D263">
        <f>Raw_Data!D263</f>
        <v/>
      </c>
      <c r="E263">
        <f>Raw_Data!E263</f>
        <v/>
      </c>
      <c r="F263">
        <f>Raw_Data!F263</f>
        <v/>
      </c>
      <c r="G263">
        <f>Raw_Data!G263</f>
        <v/>
      </c>
      <c r="H263">
        <f>Raw_Data!H263</f>
        <v/>
      </c>
      <c r="I263">
        <f>Raw_Data!I263</f>
        <v/>
      </c>
      <c r="J263" s="12">
        <f>Raw_Data!J263</f>
        <v/>
      </c>
      <c r="K263" s="13">
        <f>Raw_Data!K263</f>
        <v/>
      </c>
      <c r="L263" s="12">
        <f>Raw_Data!L263</f>
        <v/>
      </c>
      <c r="M263" s="12">
        <f>Raw_Data!M263</f>
        <v/>
      </c>
      <c r="N263" s="12">
        <f>Raw_Data!N263</f>
        <v/>
      </c>
      <c r="O263">
        <f>Raw_Data!O263</f>
        <v/>
      </c>
      <c r="P263">
        <f>Raw_Data!P263</f>
        <v/>
      </c>
      <c r="Q263">
        <f>YEAR(B263)</f>
        <v/>
      </c>
      <c r="R263">
        <f>TEXT(B263,"mmm")</f>
        <v/>
      </c>
      <c r="S263" s="15">
        <f>IFERROR(N263/L263,0)</f>
        <v/>
      </c>
    </row>
    <row r="264">
      <c r="A264">
        <f>Raw_Data!A264</f>
        <v/>
      </c>
      <c r="B264" s="11">
        <f>Raw_Data!B264</f>
        <v/>
      </c>
      <c r="C264">
        <f>Raw_Data!C264</f>
        <v/>
      </c>
      <c r="D264">
        <f>Raw_Data!D264</f>
        <v/>
      </c>
      <c r="E264">
        <f>Raw_Data!E264</f>
        <v/>
      </c>
      <c r="F264">
        <f>Raw_Data!F264</f>
        <v/>
      </c>
      <c r="G264">
        <f>Raw_Data!G264</f>
        <v/>
      </c>
      <c r="H264">
        <f>Raw_Data!H264</f>
        <v/>
      </c>
      <c r="I264">
        <f>Raw_Data!I264</f>
        <v/>
      </c>
      <c r="J264" s="12">
        <f>Raw_Data!J264</f>
        <v/>
      </c>
      <c r="K264" s="13">
        <f>Raw_Data!K264</f>
        <v/>
      </c>
      <c r="L264" s="12">
        <f>Raw_Data!L264</f>
        <v/>
      </c>
      <c r="M264" s="12">
        <f>Raw_Data!M264</f>
        <v/>
      </c>
      <c r="N264" s="12">
        <f>Raw_Data!N264</f>
        <v/>
      </c>
      <c r="O264">
        <f>Raw_Data!O264</f>
        <v/>
      </c>
      <c r="P264">
        <f>Raw_Data!P264</f>
        <v/>
      </c>
      <c r="Q264">
        <f>YEAR(B264)</f>
        <v/>
      </c>
      <c r="R264">
        <f>TEXT(B264,"mmm")</f>
        <v/>
      </c>
      <c r="S264" s="15">
        <f>IFERROR(N264/L264,0)</f>
        <v/>
      </c>
    </row>
    <row r="265">
      <c r="A265">
        <f>Raw_Data!A265</f>
        <v/>
      </c>
      <c r="B265" s="11">
        <f>Raw_Data!B265</f>
        <v/>
      </c>
      <c r="C265">
        <f>Raw_Data!C265</f>
        <v/>
      </c>
      <c r="D265">
        <f>Raw_Data!D265</f>
        <v/>
      </c>
      <c r="E265">
        <f>Raw_Data!E265</f>
        <v/>
      </c>
      <c r="F265">
        <f>Raw_Data!F265</f>
        <v/>
      </c>
      <c r="G265">
        <f>Raw_Data!G265</f>
        <v/>
      </c>
      <c r="H265">
        <f>Raw_Data!H265</f>
        <v/>
      </c>
      <c r="I265">
        <f>Raw_Data!I265</f>
        <v/>
      </c>
      <c r="J265" s="12">
        <f>Raw_Data!J265</f>
        <v/>
      </c>
      <c r="K265" s="13">
        <f>Raw_Data!K265</f>
        <v/>
      </c>
      <c r="L265" s="12">
        <f>Raw_Data!L265</f>
        <v/>
      </c>
      <c r="M265" s="12">
        <f>Raw_Data!M265</f>
        <v/>
      </c>
      <c r="N265" s="12">
        <f>Raw_Data!N265</f>
        <v/>
      </c>
      <c r="O265">
        <f>Raw_Data!O265</f>
        <v/>
      </c>
      <c r="P265">
        <f>Raw_Data!P265</f>
        <v/>
      </c>
      <c r="Q265">
        <f>YEAR(B265)</f>
        <v/>
      </c>
      <c r="R265">
        <f>TEXT(B265,"mmm")</f>
        <v/>
      </c>
      <c r="S265" s="15">
        <f>IFERROR(N265/L265,0)</f>
        <v/>
      </c>
    </row>
    <row r="266">
      <c r="A266">
        <f>Raw_Data!A266</f>
        <v/>
      </c>
      <c r="B266" s="11">
        <f>Raw_Data!B266</f>
        <v/>
      </c>
      <c r="C266">
        <f>Raw_Data!C266</f>
        <v/>
      </c>
      <c r="D266">
        <f>Raw_Data!D266</f>
        <v/>
      </c>
      <c r="E266">
        <f>Raw_Data!E266</f>
        <v/>
      </c>
      <c r="F266">
        <f>Raw_Data!F266</f>
        <v/>
      </c>
      <c r="G266">
        <f>Raw_Data!G266</f>
        <v/>
      </c>
      <c r="H266">
        <f>Raw_Data!H266</f>
        <v/>
      </c>
      <c r="I266">
        <f>Raw_Data!I266</f>
        <v/>
      </c>
      <c r="J266" s="12">
        <f>Raw_Data!J266</f>
        <v/>
      </c>
      <c r="K266" s="13">
        <f>Raw_Data!K266</f>
        <v/>
      </c>
      <c r="L266" s="12">
        <f>Raw_Data!L266</f>
        <v/>
      </c>
      <c r="M266" s="12">
        <f>Raw_Data!M266</f>
        <v/>
      </c>
      <c r="N266" s="12">
        <f>Raw_Data!N266</f>
        <v/>
      </c>
      <c r="O266">
        <f>Raw_Data!O266</f>
        <v/>
      </c>
      <c r="P266">
        <f>Raw_Data!P266</f>
        <v/>
      </c>
      <c r="Q266">
        <f>YEAR(B266)</f>
        <v/>
      </c>
      <c r="R266">
        <f>TEXT(B266,"mmm")</f>
        <v/>
      </c>
      <c r="S266" s="15">
        <f>IFERROR(N266/L266,0)</f>
        <v/>
      </c>
    </row>
    <row r="267">
      <c r="A267">
        <f>Raw_Data!A267</f>
        <v/>
      </c>
      <c r="B267" s="11">
        <f>Raw_Data!B267</f>
        <v/>
      </c>
      <c r="C267">
        <f>Raw_Data!C267</f>
        <v/>
      </c>
      <c r="D267">
        <f>Raw_Data!D267</f>
        <v/>
      </c>
      <c r="E267">
        <f>Raw_Data!E267</f>
        <v/>
      </c>
      <c r="F267">
        <f>Raw_Data!F267</f>
        <v/>
      </c>
      <c r="G267">
        <f>Raw_Data!G267</f>
        <v/>
      </c>
      <c r="H267">
        <f>Raw_Data!H267</f>
        <v/>
      </c>
      <c r="I267">
        <f>Raw_Data!I267</f>
        <v/>
      </c>
      <c r="J267" s="12">
        <f>Raw_Data!J267</f>
        <v/>
      </c>
      <c r="K267" s="13">
        <f>Raw_Data!K267</f>
        <v/>
      </c>
      <c r="L267" s="12">
        <f>Raw_Data!L267</f>
        <v/>
      </c>
      <c r="M267" s="12">
        <f>Raw_Data!M267</f>
        <v/>
      </c>
      <c r="N267" s="12">
        <f>Raw_Data!N267</f>
        <v/>
      </c>
      <c r="O267">
        <f>Raw_Data!O267</f>
        <v/>
      </c>
      <c r="P267">
        <f>Raw_Data!P267</f>
        <v/>
      </c>
      <c r="Q267">
        <f>YEAR(B267)</f>
        <v/>
      </c>
      <c r="R267">
        <f>TEXT(B267,"mmm")</f>
        <v/>
      </c>
      <c r="S267" s="15">
        <f>IFERROR(N267/L267,0)</f>
        <v/>
      </c>
    </row>
    <row r="268">
      <c r="A268">
        <f>Raw_Data!A268</f>
        <v/>
      </c>
      <c r="B268" s="11">
        <f>Raw_Data!B268</f>
        <v/>
      </c>
      <c r="C268">
        <f>Raw_Data!C268</f>
        <v/>
      </c>
      <c r="D268">
        <f>Raw_Data!D268</f>
        <v/>
      </c>
      <c r="E268">
        <f>Raw_Data!E268</f>
        <v/>
      </c>
      <c r="F268">
        <f>Raw_Data!F268</f>
        <v/>
      </c>
      <c r="G268">
        <f>Raw_Data!G268</f>
        <v/>
      </c>
      <c r="H268">
        <f>Raw_Data!H268</f>
        <v/>
      </c>
      <c r="I268">
        <f>Raw_Data!I268</f>
        <v/>
      </c>
      <c r="J268" s="12">
        <f>Raw_Data!J268</f>
        <v/>
      </c>
      <c r="K268" s="13">
        <f>Raw_Data!K268</f>
        <v/>
      </c>
      <c r="L268" s="12">
        <f>Raw_Data!L268</f>
        <v/>
      </c>
      <c r="M268" s="12">
        <f>Raw_Data!M268</f>
        <v/>
      </c>
      <c r="N268" s="12">
        <f>Raw_Data!N268</f>
        <v/>
      </c>
      <c r="O268">
        <f>Raw_Data!O268</f>
        <v/>
      </c>
      <c r="P268">
        <f>Raw_Data!P268</f>
        <v/>
      </c>
      <c r="Q268">
        <f>YEAR(B268)</f>
        <v/>
      </c>
      <c r="R268">
        <f>TEXT(B268,"mmm")</f>
        <v/>
      </c>
      <c r="S268" s="15">
        <f>IFERROR(N268/L268,0)</f>
        <v/>
      </c>
    </row>
    <row r="269">
      <c r="A269">
        <f>Raw_Data!A269</f>
        <v/>
      </c>
      <c r="B269" s="11">
        <f>Raw_Data!B269</f>
        <v/>
      </c>
      <c r="C269">
        <f>Raw_Data!C269</f>
        <v/>
      </c>
      <c r="D269">
        <f>Raw_Data!D269</f>
        <v/>
      </c>
      <c r="E269">
        <f>Raw_Data!E269</f>
        <v/>
      </c>
      <c r="F269">
        <f>Raw_Data!F269</f>
        <v/>
      </c>
      <c r="G269">
        <f>Raw_Data!G269</f>
        <v/>
      </c>
      <c r="H269">
        <f>Raw_Data!H269</f>
        <v/>
      </c>
      <c r="I269">
        <f>Raw_Data!I269</f>
        <v/>
      </c>
      <c r="J269" s="12">
        <f>Raw_Data!J269</f>
        <v/>
      </c>
      <c r="K269" s="13">
        <f>Raw_Data!K269</f>
        <v/>
      </c>
      <c r="L269" s="12">
        <f>Raw_Data!L269</f>
        <v/>
      </c>
      <c r="M269" s="12">
        <f>Raw_Data!M269</f>
        <v/>
      </c>
      <c r="N269" s="12">
        <f>Raw_Data!N269</f>
        <v/>
      </c>
      <c r="O269">
        <f>Raw_Data!O269</f>
        <v/>
      </c>
      <c r="P269">
        <f>Raw_Data!P269</f>
        <v/>
      </c>
      <c r="Q269">
        <f>YEAR(B269)</f>
        <v/>
      </c>
      <c r="R269">
        <f>TEXT(B269,"mmm")</f>
        <v/>
      </c>
      <c r="S269" s="15">
        <f>IFERROR(N269/L269,0)</f>
        <v/>
      </c>
    </row>
    <row r="270">
      <c r="A270">
        <f>Raw_Data!A270</f>
        <v/>
      </c>
      <c r="B270" s="11">
        <f>Raw_Data!B270</f>
        <v/>
      </c>
      <c r="C270">
        <f>Raw_Data!C270</f>
        <v/>
      </c>
      <c r="D270">
        <f>Raw_Data!D270</f>
        <v/>
      </c>
      <c r="E270">
        <f>Raw_Data!E270</f>
        <v/>
      </c>
      <c r="F270">
        <f>Raw_Data!F270</f>
        <v/>
      </c>
      <c r="G270">
        <f>Raw_Data!G270</f>
        <v/>
      </c>
      <c r="H270">
        <f>Raw_Data!H270</f>
        <v/>
      </c>
      <c r="I270">
        <f>Raw_Data!I270</f>
        <v/>
      </c>
      <c r="J270" s="12">
        <f>Raw_Data!J270</f>
        <v/>
      </c>
      <c r="K270" s="13">
        <f>Raw_Data!K270</f>
        <v/>
      </c>
      <c r="L270" s="12">
        <f>Raw_Data!L270</f>
        <v/>
      </c>
      <c r="M270" s="12">
        <f>Raw_Data!M270</f>
        <v/>
      </c>
      <c r="N270" s="12">
        <f>Raw_Data!N270</f>
        <v/>
      </c>
      <c r="O270">
        <f>Raw_Data!O270</f>
        <v/>
      </c>
      <c r="P270">
        <f>Raw_Data!P270</f>
        <v/>
      </c>
      <c r="Q270">
        <f>YEAR(B270)</f>
        <v/>
      </c>
      <c r="R270">
        <f>TEXT(B270,"mmm")</f>
        <v/>
      </c>
      <c r="S270" s="15">
        <f>IFERROR(N270/L270,0)</f>
        <v/>
      </c>
    </row>
    <row r="271">
      <c r="A271">
        <f>Raw_Data!A271</f>
        <v/>
      </c>
      <c r="B271" s="11">
        <f>Raw_Data!B271</f>
        <v/>
      </c>
      <c r="C271">
        <f>Raw_Data!C271</f>
        <v/>
      </c>
      <c r="D271">
        <f>Raw_Data!D271</f>
        <v/>
      </c>
      <c r="E271">
        <f>Raw_Data!E271</f>
        <v/>
      </c>
      <c r="F271">
        <f>Raw_Data!F271</f>
        <v/>
      </c>
      <c r="G271">
        <f>Raw_Data!G271</f>
        <v/>
      </c>
      <c r="H271">
        <f>Raw_Data!H271</f>
        <v/>
      </c>
      <c r="I271">
        <f>Raw_Data!I271</f>
        <v/>
      </c>
      <c r="J271" s="12">
        <f>Raw_Data!J271</f>
        <v/>
      </c>
      <c r="K271" s="13">
        <f>Raw_Data!K271</f>
        <v/>
      </c>
      <c r="L271" s="12">
        <f>Raw_Data!L271</f>
        <v/>
      </c>
      <c r="M271" s="12">
        <f>Raw_Data!M271</f>
        <v/>
      </c>
      <c r="N271" s="12">
        <f>Raw_Data!N271</f>
        <v/>
      </c>
      <c r="O271">
        <f>Raw_Data!O271</f>
        <v/>
      </c>
      <c r="P271">
        <f>Raw_Data!P271</f>
        <v/>
      </c>
      <c r="Q271">
        <f>YEAR(B271)</f>
        <v/>
      </c>
      <c r="R271">
        <f>TEXT(B271,"mmm")</f>
        <v/>
      </c>
      <c r="S271" s="15">
        <f>IFERROR(N271/L271,0)</f>
        <v/>
      </c>
    </row>
    <row r="272">
      <c r="A272">
        <f>Raw_Data!A272</f>
        <v/>
      </c>
      <c r="B272" s="11">
        <f>Raw_Data!B272</f>
        <v/>
      </c>
      <c r="C272">
        <f>Raw_Data!C272</f>
        <v/>
      </c>
      <c r="D272">
        <f>Raw_Data!D272</f>
        <v/>
      </c>
      <c r="E272">
        <f>Raw_Data!E272</f>
        <v/>
      </c>
      <c r="F272">
        <f>Raw_Data!F272</f>
        <v/>
      </c>
      <c r="G272">
        <f>Raw_Data!G272</f>
        <v/>
      </c>
      <c r="H272">
        <f>Raw_Data!H272</f>
        <v/>
      </c>
      <c r="I272">
        <f>Raw_Data!I272</f>
        <v/>
      </c>
      <c r="J272" s="12">
        <f>Raw_Data!J272</f>
        <v/>
      </c>
      <c r="K272" s="13">
        <f>Raw_Data!K272</f>
        <v/>
      </c>
      <c r="L272" s="12">
        <f>Raw_Data!L272</f>
        <v/>
      </c>
      <c r="M272" s="12">
        <f>Raw_Data!M272</f>
        <v/>
      </c>
      <c r="N272" s="12">
        <f>Raw_Data!N272</f>
        <v/>
      </c>
      <c r="O272">
        <f>Raw_Data!O272</f>
        <v/>
      </c>
      <c r="P272">
        <f>Raw_Data!P272</f>
        <v/>
      </c>
      <c r="Q272">
        <f>YEAR(B272)</f>
        <v/>
      </c>
      <c r="R272">
        <f>TEXT(B272,"mmm")</f>
        <v/>
      </c>
      <c r="S272" s="15">
        <f>IFERROR(N272/L272,0)</f>
        <v/>
      </c>
    </row>
    <row r="273">
      <c r="A273">
        <f>Raw_Data!A273</f>
        <v/>
      </c>
      <c r="B273" s="11">
        <f>Raw_Data!B273</f>
        <v/>
      </c>
      <c r="C273">
        <f>Raw_Data!C273</f>
        <v/>
      </c>
      <c r="D273">
        <f>Raw_Data!D273</f>
        <v/>
      </c>
      <c r="E273">
        <f>Raw_Data!E273</f>
        <v/>
      </c>
      <c r="F273">
        <f>Raw_Data!F273</f>
        <v/>
      </c>
      <c r="G273">
        <f>Raw_Data!G273</f>
        <v/>
      </c>
      <c r="H273">
        <f>Raw_Data!H273</f>
        <v/>
      </c>
      <c r="I273">
        <f>Raw_Data!I273</f>
        <v/>
      </c>
      <c r="J273" s="12">
        <f>Raw_Data!J273</f>
        <v/>
      </c>
      <c r="K273" s="13">
        <f>Raw_Data!K273</f>
        <v/>
      </c>
      <c r="L273" s="12">
        <f>Raw_Data!L273</f>
        <v/>
      </c>
      <c r="M273" s="12">
        <f>Raw_Data!M273</f>
        <v/>
      </c>
      <c r="N273" s="12">
        <f>Raw_Data!N273</f>
        <v/>
      </c>
      <c r="O273">
        <f>Raw_Data!O273</f>
        <v/>
      </c>
      <c r="P273">
        <f>Raw_Data!P273</f>
        <v/>
      </c>
      <c r="Q273">
        <f>YEAR(B273)</f>
        <v/>
      </c>
      <c r="R273">
        <f>TEXT(B273,"mmm")</f>
        <v/>
      </c>
      <c r="S273" s="15">
        <f>IFERROR(N273/L273,0)</f>
        <v/>
      </c>
    </row>
    <row r="274">
      <c r="A274">
        <f>Raw_Data!A274</f>
        <v/>
      </c>
      <c r="B274" s="11">
        <f>Raw_Data!B274</f>
        <v/>
      </c>
      <c r="C274">
        <f>Raw_Data!C274</f>
        <v/>
      </c>
      <c r="D274">
        <f>Raw_Data!D274</f>
        <v/>
      </c>
      <c r="E274">
        <f>Raw_Data!E274</f>
        <v/>
      </c>
      <c r="F274">
        <f>Raw_Data!F274</f>
        <v/>
      </c>
      <c r="G274">
        <f>Raw_Data!G274</f>
        <v/>
      </c>
      <c r="H274">
        <f>Raw_Data!H274</f>
        <v/>
      </c>
      <c r="I274">
        <f>Raw_Data!I274</f>
        <v/>
      </c>
      <c r="J274" s="12">
        <f>Raw_Data!J274</f>
        <v/>
      </c>
      <c r="K274" s="13">
        <f>Raw_Data!K274</f>
        <v/>
      </c>
      <c r="L274" s="12">
        <f>Raw_Data!L274</f>
        <v/>
      </c>
      <c r="M274" s="12">
        <f>Raw_Data!M274</f>
        <v/>
      </c>
      <c r="N274" s="12">
        <f>Raw_Data!N274</f>
        <v/>
      </c>
      <c r="O274">
        <f>Raw_Data!O274</f>
        <v/>
      </c>
      <c r="P274">
        <f>Raw_Data!P274</f>
        <v/>
      </c>
      <c r="Q274">
        <f>YEAR(B274)</f>
        <v/>
      </c>
      <c r="R274">
        <f>TEXT(B274,"mmm")</f>
        <v/>
      </c>
      <c r="S274" s="15">
        <f>IFERROR(N274/L274,0)</f>
        <v/>
      </c>
    </row>
    <row r="275">
      <c r="A275">
        <f>Raw_Data!A275</f>
        <v/>
      </c>
      <c r="B275" s="11">
        <f>Raw_Data!B275</f>
        <v/>
      </c>
      <c r="C275">
        <f>Raw_Data!C275</f>
        <v/>
      </c>
      <c r="D275">
        <f>Raw_Data!D275</f>
        <v/>
      </c>
      <c r="E275">
        <f>Raw_Data!E275</f>
        <v/>
      </c>
      <c r="F275">
        <f>Raw_Data!F275</f>
        <v/>
      </c>
      <c r="G275">
        <f>Raw_Data!G275</f>
        <v/>
      </c>
      <c r="H275">
        <f>Raw_Data!H275</f>
        <v/>
      </c>
      <c r="I275">
        <f>Raw_Data!I275</f>
        <v/>
      </c>
      <c r="J275" s="12">
        <f>Raw_Data!J275</f>
        <v/>
      </c>
      <c r="K275" s="13">
        <f>Raw_Data!K275</f>
        <v/>
      </c>
      <c r="L275" s="12">
        <f>Raw_Data!L275</f>
        <v/>
      </c>
      <c r="M275" s="12">
        <f>Raw_Data!M275</f>
        <v/>
      </c>
      <c r="N275" s="12">
        <f>Raw_Data!N275</f>
        <v/>
      </c>
      <c r="O275">
        <f>Raw_Data!O275</f>
        <v/>
      </c>
      <c r="P275">
        <f>Raw_Data!P275</f>
        <v/>
      </c>
      <c r="Q275">
        <f>YEAR(B275)</f>
        <v/>
      </c>
      <c r="R275">
        <f>TEXT(B275,"mmm")</f>
        <v/>
      </c>
      <c r="S275" s="15">
        <f>IFERROR(N275/L275,0)</f>
        <v/>
      </c>
    </row>
    <row r="276">
      <c r="A276">
        <f>Raw_Data!A276</f>
        <v/>
      </c>
      <c r="B276" s="11">
        <f>Raw_Data!B276</f>
        <v/>
      </c>
      <c r="C276">
        <f>Raw_Data!C276</f>
        <v/>
      </c>
      <c r="D276">
        <f>Raw_Data!D276</f>
        <v/>
      </c>
      <c r="E276">
        <f>Raw_Data!E276</f>
        <v/>
      </c>
      <c r="F276">
        <f>Raw_Data!F276</f>
        <v/>
      </c>
      <c r="G276">
        <f>Raw_Data!G276</f>
        <v/>
      </c>
      <c r="H276">
        <f>Raw_Data!H276</f>
        <v/>
      </c>
      <c r="I276">
        <f>Raw_Data!I276</f>
        <v/>
      </c>
      <c r="J276" s="12">
        <f>Raw_Data!J276</f>
        <v/>
      </c>
      <c r="K276" s="13">
        <f>Raw_Data!K276</f>
        <v/>
      </c>
      <c r="L276" s="12">
        <f>Raw_Data!L276</f>
        <v/>
      </c>
      <c r="M276" s="12">
        <f>Raw_Data!M276</f>
        <v/>
      </c>
      <c r="N276" s="12">
        <f>Raw_Data!N276</f>
        <v/>
      </c>
      <c r="O276">
        <f>Raw_Data!O276</f>
        <v/>
      </c>
      <c r="P276">
        <f>Raw_Data!P276</f>
        <v/>
      </c>
      <c r="Q276">
        <f>YEAR(B276)</f>
        <v/>
      </c>
      <c r="R276">
        <f>TEXT(B276,"mmm")</f>
        <v/>
      </c>
      <c r="S276" s="15">
        <f>IFERROR(N276/L276,0)</f>
        <v/>
      </c>
    </row>
    <row r="277">
      <c r="A277">
        <f>Raw_Data!A277</f>
        <v/>
      </c>
      <c r="B277" s="11">
        <f>Raw_Data!B277</f>
        <v/>
      </c>
      <c r="C277">
        <f>Raw_Data!C277</f>
        <v/>
      </c>
      <c r="D277">
        <f>Raw_Data!D277</f>
        <v/>
      </c>
      <c r="E277">
        <f>Raw_Data!E277</f>
        <v/>
      </c>
      <c r="F277">
        <f>Raw_Data!F277</f>
        <v/>
      </c>
      <c r="G277">
        <f>Raw_Data!G277</f>
        <v/>
      </c>
      <c r="H277">
        <f>Raw_Data!H277</f>
        <v/>
      </c>
      <c r="I277">
        <f>Raw_Data!I277</f>
        <v/>
      </c>
      <c r="J277" s="12">
        <f>Raw_Data!J277</f>
        <v/>
      </c>
      <c r="K277" s="13">
        <f>Raw_Data!K277</f>
        <v/>
      </c>
      <c r="L277" s="12">
        <f>Raw_Data!L277</f>
        <v/>
      </c>
      <c r="M277" s="12">
        <f>Raw_Data!M277</f>
        <v/>
      </c>
      <c r="N277" s="12">
        <f>Raw_Data!N277</f>
        <v/>
      </c>
      <c r="O277">
        <f>Raw_Data!O277</f>
        <v/>
      </c>
      <c r="P277">
        <f>Raw_Data!P277</f>
        <v/>
      </c>
      <c r="Q277">
        <f>YEAR(B277)</f>
        <v/>
      </c>
      <c r="R277">
        <f>TEXT(B277,"mmm")</f>
        <v/>
      </c>
      <c r="S277" s="15">
        <f>IFERROR(N277/L277,0)</f>
        <v/>
      </c>
    </row>
    <row r="278">
      <c r="A278">
        <f>Raw_Data!A278</f>
        <v/>
      </c>
      <c r="B278" s="11">
        <f>Raw_Data!B278</f>
        <v/>
      </c>
      <c r="C278">
        <f>Raw_Data!C278</f>
        <v/>
      </c>
      <c r="D278">
        <f>Raw_Data!D278</f>
        <v/>
      </c>
      <c r="E278">
        <f>Raw_Data!E278</f>
        <v/>
      </c>
      <c r="F278">
        <f>Raw_Data!F278</f>
        <v/>
      </c>
      <c r="G278">
        <f>Raw_Data!G278</f>
        <v/>
      </c>
      <c r="H278">
        <f>Raw_Data!H278</f>
        <v/>
      </c>
      <c r="I278">
        <f>Raw_Data!I278</f>
        <v/>
      </c>
      <c r="J278" s="12">
        <f>Raw_Data!J278</f>
        <v/>
      </c>
      <c r="K278" s="13">
        <f>Raw_Data!K278</f>
        <v/>
      </c>
      <c r="L278" s="12">
        <f>Raw_Data!L278</f>
        <v/>
      </c>
      <c r="M278" s="12">
        <f>Raw_Data!M278</f>
        <v/>
      </c>
      <c r="N278" s="12">
        <f>Raw_Data!N278</f>
        <v/>
      </c>
      <c r="O278">
        <f>Raw_Data!O278</f>
        <v/>
      </c>
      <c r="P278">
        <f>Raw_Data!P278</f>
        <v/>
      </c>
      <c r="Q278">
        <f>YEAR(B278)</f>
        <v/>
      </c>
      <c r="R278">
        <f>TEXT(B278,"mmm")</f>
        <v/>
      </c>
      <c r="S278" s="15">
        <f>IFERROR(N278/L278,0)</f>
        <v/>
      </c>
    </row>
    <row r="279">
      <c r="A279">
        <f>Raw_Data!A279</f>
        <v/>
      </c>
      <c r="B279" s="11">
        <f>Raw_Data!B279</f>
        <v/>
      </c>
      <c r="C279">
        <f>Raw_Data!C279</f>
        <v/>
      </c>
      <c r="D279">
        <f>Raw_Data!D279</f>
        <v/>
      </c>
      <c r="E279">
        <f>Raw_Data!E279</f>
        <v/>
      </c>
      <c r="F279">
        <f>Raw_Data!F279</f>
        <v/>
      </c>
      <c r="G279">
        <f>Raw_Data!G279</f>
        <v/>
      </c>
      <c r="H279">
        <f>Raw_Data!H279</f>
        <v/>
      </c>
      <c r="I279">
        <f>Raw_Data!I279</f>
        <v/>
      </c>
      <c r="J279" s="12">
        <f>Raw_Data!J279</f>
        <v/>
      </c>
      <c r="K279" s="13">
        <f>Raw_Data!K279</f>
        <v/>
      </c>
      <c r="L279" s="12">
        <f>Raw_Data!L279</f>
        <v/>
      </c>
      <c r="M279" s="12">
        <f>Raw_Data!M279</f>
        <v/>
      </c>
      <c r="N279" s="12">
        <f>Raw_Data!N279</f>
        <v/>
      </c>
      <c r="O279">
        <f>Raw_Data!O279</f>
        <v/>
      </c>
      <c r="P279">
        <f>Raw_Data!P279</f>
        <v/>
      </c>
      <c r="Q279">
        <f>YEAR(B279)</f>
        <v/>
      </c>
      <c r="R279">
        <f>TEXT(B279,"mmm")</f>
        <v/>
      </c>
      <c r="S279" s="15">
        <f>IFERROR(N279/L279,0)</f>
        <v/>
      </c>
    </row>
    <row r="280">
      <c r="A280">
        <f>Raw_Data!A280</f>
        <v/>
      </c>
      <c r="B280" s="11">
        <f>Raw_Data!B280</f>
        <v/>
      </c>
      <c r="C280">
        <f>Raw_Data!C280</f>
        <v/>
      </c>
      <c r="D280">
        <f>Raw_Data!D280</f>
        <v/>
      </c>
      <c r="E280">
        <f>Raw_Data!E280</f>
        <v/>
      </c>
      <c r="F280">
        <f>Raw_Data!F280</f>
        <v/>
      </c>
      <c r="G280">
        <f>Raw_Data!G280</f>
        <v/>
      </c>
      <c r="H280">
        <f>Raw_Data!H280</f>
        <v/>
      </c>
      <c r="I280">
        <f>Raw_Data!I280</f>
        <v/>
      </c>
      <c r="J280" s="12">
        <f>Raw_Data!J280</f>
        <v/>
      </c>
      <c r="K280" s="13">
        <f>Raw_Data!K280</f>
        <v/>
      </c>
      <c r="L280" s="12">
        <f>Raw_Data!L280</f>
        <v/>
      </c>
      <c r="M280" s="12">
        <f>Raw_Data!M280</f>
        <v/>
      </c>
      <c r="N280" s="12">
        <f>Raw_Data!N280</f>
        <v/>
      </c>
      <c r="O280">
        <f>Raw_Data!O280</f>
        <v/>
      </c>
      <c r="P280">
        <f>Raw_Data!P280</f>
        <v/>
      </c>
      <c r="Q280">
        <f>YEAR(B280)</f>
        <v/>
      </c>
      <c r="R280">
        <f>TEXT(B280,"mmm")</f>
        <v/>
      </c>
      <c r="S280" s="15">
        <f>IFERROR(N280/L280,0)</f>
        <v/>
      </c>
    </row>
    <row r="281">
      <c r="A281">
        <f>Raw_Data!A281</f>
        <v/>
      </c>
      <c r="B281" s="11">
        <f>Raw_Data!B281</f>
        <v/>
      </c>
      <c r="C281">
        <f>Raw_Data!C281</f>
        <v/>
      </c>
      <c r="D281">
        <f>Raw_Data!D281</f>
        <v/>
      </c>
      <c r="E281">
        <f>Raw_Data!E281</f>
        <v/>
      </c>
      <c r="F281">
        <f>Raw_Data!F281</f>
        <v/>
      </c>
      <c r="G281">
        <f>Raw_Data!G281</f>
        <v/>
      </c>
      <c r="H281">
        <f>Raw_Data!H281</f>
        <v/>
      </c>
      <c r="I281">
        <f>Raw_Data!I281</f>
        <v/>
      </c>
      <c r="J281" s="12">
        <f>Raw_Data!J281</f>
        <v/>
      </c>
      <c r="K281" s="13">
        <f>Raw_Data!K281</f>
        <v/>
      </c>
      <c r="L281" s="12">
        <f>Raw_Data!L281</f>
        <v/>
      </c>
      <c r="M281" s="12">
        <f>Raw_Data!M281</f>
        <v/>
      </c>
      <c r="N281" s="12">
        <f>Raw_Data!N281</f>
        <v/>
      </c>
      <c r="O281">
        <f>Raw_Data!O281</f>
        <v/>
      </c>
      <c r="P281">
        <f>Raw_Data!P281</f>
        <v/>
      </c>
      <c r="Q281">
        <f>YEAR(B281)</f>
        <v/>
      </c>
      <c r="R281">
        <f>TEXT(B281,"mmm")</f>
        <v/>
      </c>
      <c r="S281" s="15">
        <f>IFERROR(N281/L281,0)</f>
        <v/>
      </c>
    </row>
    <row r="282">
      <c r="A282">
        <f>Raw_Data!A282</f>
        <v/>
      </c>
      <c r="B282" s="11">
        <f>Raw_Data!B282</f>
        <v/>
      </c>
      <c r="C282">
        <f>Raw_Data!C282</f>
        <v/>
      </c>
      <c r="D282">
        <f>Raw_Data!D282</f>
        <v/>
      </c>
      <c r="E282">
        <f>Raw_Data!E282</f>
        <v/>
      </c>
      <c r="F282">
        <f>Raw_Data!F282</f>
        <v/>
      </c>
      <c r="G282">
        <f>Raw_Data!G282</f>
        <v/>
      </c>
      <c r="H282">
        <f>Raw_Data!H282</f>
        <v/>
      </c>
      <c r="I282">
        <f>Raw_Data!I282</f>
        <v/>
      </c>
      <c r="J282" s="12">
        <f>Raw_Data!J282</f>
        <v/>
      </c>
      <c r="K282" s="13">
        <f>Raw_Data!K282</f>
        <v/>
      </c>
      <c r="L282" s="12">
        <f>Raw_Data!L282</f>
        <v/>
      </c>
      <c r="M282" s="12">
        <f>Raw_Data!M282</f>
        <v/>
      </c>
      <c r="N282" s="12">
        <f>Raw_Data!N282</f>
        <v/>
      </c>
      <c r="O282">
        <f>Raw_Data!O282</f>
        <v/>
      </c>
      <c r="P282">
        <f>Raw_Data!P282</f>
        <v/>
      </c>
      <c r="Q282">
        <f>YEAR(B282)</f>
        <v/>
      </c>
      <c r="R282">
        <f>TEXT(B282,"mmm")</f>
        <v/>
      </c>
      <c r="S282" s="15">
        <f>IFERROR(N282/L282,0)</f>
        <v/>
      </c>
    </row>
    <row r="283">
      <c r="A283">
        <f>Raw_Data!A283</f>
        <v/>
      </c>
      <c r="B283" s="11">
        <f>Raw_Data!B283</f>
        <v/>
      </c>
      <c r="C283">
        <f>Raw_Data!C283</f>
        <v/>
      </c>
      <c r="D283">
        <f>Raw_Data!D283</f>
        <v/>
      </c>
      <c r="E283">
        <f>Raw_Data!E283</f>
        <v/>
      </c>
      <c r="F283">
        <f>Raw_Data!F283</f>
        <v/>
      </c>
      <c r="G283">
        <f>Raw_Data!G283</f>
        <v/>
      </c>
      <c r="H283">
        <f>Raw_Data!H283</f>
        <v/>
      </c>
      <c r="I283">
        <f>Raw_Data!I283</f>
        <v/>
      </c>
      <c r="J283" s="12">
        <f>Raw_Data!J283</f>
        <v/>
      </c>
      <c r="K283" s="13">
        <f>Raw_Data!K283</f>
        <v/>
      </c>
      <c r="L283" s="12">
        <f>Raw_Data!L283</f>
        <v/>
      </c>
      <c r="M283" s="12">
        <f>Raw_Data!M283</f>
        <v/>
      </c>
      <c r="N283" s="12">
        <f>Raw_Data!N283</f>
        <v/>
      </c>
      <c r="O283">
        <f>Raw_Data!O283</f>
        <v/>
      </c>
      <c r="P283">
        <f>Raw_Data!P283</f>
        <v/>
      </c>
      <c r="Q283">
        <f>YEAR(B283)</f>
        <v/>
      </c>
      <c r="R283">
        <f>TEXT(B283,"mmm")</f>
        <v/>
      </c>
      <c r="S283" s="15">
        <f>IFERROR(N283/L283,0)</f>
        <v/>
      </c>
    </row>
    <row r="284">
      <c r="A284">
        <f>Raw_Data!A284</f>
        <v/>
      </c>
      <c r="B284" s="11">
        <f>Raw_Data!B284</f>
        <v/>
      </c>
      <c r="C284">
        <f>Raw_Data!C284</f>
        <v/>
      </c>
      <c r="D284">
        <f>Raw_Data!D284</f>
        <v/>
      </c>
      <c r="E284">
        <f>Raw_Data!E284</f>
        <v/>
      </c>
      <c r="F284">
        <f>Raw_Data!F284</f>
        <v/>
      </c>
      <c r="G284">
        <f>Raw_Data!G284</f>
        <v/>
      </c>
      <c r="H284">
        <f>Raw_Data!H284</f>
        <v/>
      </c>
      <c r="I284">
        <f>Raw_Data!I284</f>
        <v/>
      </c>
      <c r="J284" s="12">
        <f>Raw_Data!J284</f>
        <v/>
      </c>
      <c r="K284" s="13">
        <f>Raw_Data!K284</f>
        <v/>
      </c>
      <c r="L284" s="12">
        <f>Raw_Data!L284</f>
        <v/>
      </c>
      <c r="M284" s="12">
        <f>Raw_Data!M284</f>
        <v/>
      </c>
      <c r="N284" s="12">
        <f>Raw_Data!N284</f>
        <v/>
      </c>
      <c r="O284">
        <f>Raw_Data!O284</f>
        <v/>
      </c>
      <c r="P284">
        <f>Raw_Data!P284</f>
        <v/>
      </c>
      <c r="Q284">
        <f>YEAR(B284)</f>
        <v/>
      </c>
      <c r="R284">
        <f>TEXT(B284,"mmm")</f>
        <v/>
      </c>
      <c r="S284" s="15">
        <f>IFERROR(N284/L284,0)</f>
        <v/>
      </c>
    </row>
    <row r="285">
      <c r="A285">
        <f>Raw_Data!A285</f>
        <v/>
      </c>
      <c r="B285" s="11">
        <f>Raw_Data!B285</f>
        <v/>
      </c>
      <c r="C285">
        <f>Raw_Data!C285</f>
        <v/>
      </c>
      <c r="D285">
        <f>Raw_Data!D285</f>
        <v/>
      </c>
      <c r="E285">
        <f>Raw_Data!E285</f>
        <v/>
      </c>
      <c r="F285">
        <f>Raw_Data!F285</f>
        <v/>
      </c>
      <c r="G285">
        <f>Raw_Data!G285</f>
        <v/>
      </c>
      <c r="H285">
        <f>Raw_Data!H285</f>
        <v/>
      </c>
      <c r="I285">
        <f>Raw_Data!I285</f>
        <v/>
      </c>
      <c r="J285" s="12">
        <f>Raw_Data!J285</f>
        <v/>
      </c>
      <c r="K285" s="13">
        <f>Raw_Data!K285</f>
        <v/>
      </c>
      <c r="L285" s="12">
        <f>Raw_Data!L285</f>
        <v/>
      </c>
      <c r="M285" s="12">
        <f>Raw_Data!M285</f>
        <v/>
      </c>
      <c r="N285" s="12">
        <f>Raw_Data!N285</f>
        <v/>
      </c>
      <c r="O285">
        <f>Raw_Data!O285</f>
        <v/>
      </c>
      <c r="P285">
        <f>Raw_Data!P285</f>
        <v/>
      </c>
      <c r="Q285">
        <f>YEAR(B285)</f>
        <v/>
      </c>
      <c r="R285">
        <f>TEXT(B285,"mmm")</f>
        <v/>
      </c>
      <c r="S285" s="15">
        <f>IFERROR(N285/L285,0)</f>
        <v/>
      </c>
    </row>
    <row r="286">
      <c r="A286">
        <f>Raw_Data!A286</f>
        <v/>
      </c>
      <c r="B286" s="11">
        <f>Raw_Data!B286</f>
        <v/>
      </c>
      <c r="C286">
        <f>Raw_Data!C286</f>
        <v/>
      </c>
      <c r="D286">
        <f>Raw_Data!D286</f>
        <v/>
      </c>
      <c r="E286">
        <f>Raw_Data!E286</f>
        <v/>
      </c>
      <c r="F286">
        <f>Raw_Data!F286</f>
        <v/>
      </c>
      <c r="G286">
        <f>Raw_Data!G286</f>
        <v/>
      </c>
      <c r="H286">
        <f>Raw_Data!H286</f>
        <v/>
      </c>
      <c r="I286">
        <f>Raw_Data!I286</f>
        <v/>
      </c>
      <c r="J286" s="12">
        <f>Raw_Data!J286</f>
        <v/>
      </c>
      <c r="K286" s="13">
        <f>Raw_Data!K286</f>
        <v/>
      </c>
      <c r="L286" s="12">
        <f>Raw_Data!L286</f>
        <v/>
      </c>
      <c r="M286" s="12">
        <f>Raw_Data!M286</f>
        <v/>
      </c>
      <c r="N286" s="12">
        <f>Raw_Data!N286</f>
        <v/>
      </c>
      <c r="O286">
        <f>Raw_Data!O286</f>
        <v/>
      </c>
      <c r="P286">
        <f>Raw_Data!P286</f>
        <v/>
      </c>
      <c r="Q286">
        <f>YEAR(B286)</f>
        <v/>
      </c>
      <c r="R286">
        <f>TEXT(B286,"mmm")</f>
        <v/>
      </c>
      <c r="S286" s="15">
        <f>IFERROR(N286/L286,0)</f>
        <v/>
      </c>
    </row>
    <row r="287">
      <c r="A287">
        <f>Raw_Data!A287</f>
        <v/>
      </c>
      <c r="B287" s="11">
        <f>Raw_Data!B287</f>
        <v/>
      </c>
      <c r="C287">
        <f>Raw_Data!C287</f>
        <v/>
      </c>
      <c r="D287">
        <f>Raw_Data!D287</f>
        <v/>
      </c>
      <c r="E287">
        <f>Raw_Data!E287</f>
        <v/>
      </c>
      <c r="F287">
        <f>Raw_Data!F287</f>
        <v/>
      </c>
      <c r="G287">
        <f>Raw_Data!G287</f>
        <v/>
      </c>
      <c r="H287">
        <f>Raw_Data!H287</f>
        <v/>
      </c>
      <c r="I287">
        <f>Raw_Data!I287</f>
        <v/>
      </c>
      <c r="J287" s="12">
        <f>Raw_Data!J287</f>
        <v/>
      </c>
      <c r="K287" s="13">
        <f>Raw_Data!K287</f>
        <v/>
      </c>
      <c r="L287" s="12">
        <f>Raw_Data!L287</f>
        <v/>
      </c>
      <c r="M287" s="12">
        <f>Raw_Data!M287</f>
        <v/>
      </c>
      <c r="N287" s="12">
        <f>Raw_Data!N287</f>
        <v/>
      </c>
      <c r="O287">
        <f>Raw_Data!O287</f>
        <v/>
      </c>
      <c r="P287">
        <f>Raw_Data!P287</f>
        <v/>
      </c>
      <c r="Q287">
        <f>YEAR(B287)</f>
        <v/>
      </c>
      <c r="R287">
        <f>TEXT(B287,"mmm")</f>
        <v/>
      </c>
      <c r="S287" s="15">
        <f>IFERROR(N287/L287,0)</f>
        <v/>
      </c>
    </row>
    <row r="288">
      <c r="A288">
        <f>Raw_Data!A288</f>
        <v/>
      </c>
      <c r="B288" s="11">
        <f>Raw_Data!B288</f>
        <v/>
      </c>
      <c r="C288">
        <f>Raw_Data!C288</f>
        <v/>
      </c>
      <c r="D288">
        <f>Raw_Data!D288</f>
        <v/>
      </c>
      <c r="E288">
        <f>Raw_Data!E288</f>
        <v/>
      </c>
      <c r="F288">
        <f>Raw_Data!F288</f>
        <v/>
      </c>
      <c r="G288">
        <f>Raw_Data!G288</f>
        <v/>
      </c>
      <c r="H288">
        <f>Raw_Data!H288</f>
        <v/>
      </c>
      <c r="I288">
        <f>Raw_Data!I288</f>
        <v/>
      </c>
      <c r="J288" s="12">
        <f>Raw_Data!J288</f>
        <v/>
      </c>
      <c r="K288" s="13">
        <f>Raw_Data!K288</f>
        <v/>
      </c>
      <c r="L288" s="12">
        <f>Raw_Data!L288</f>
        <v/>
      </c>
      <c r="M288" s="12">
        <f>Raw_Data!M288</f>
        <v/>
      </c>
      <c r="N288" s="12">
        <f>Raw_Data!N288</f>
        <v/>
      </c>
      <c r="O288">
        <f>Raw_Data!O288</f>
        <v/>
      </c>
      <c r="P288">
        <f>Raw_Data!P288</f>
        <v/>
      </c>
      <c r="Q288">
        <f>YEAR(B288)</f>
        <v/>
      </c>
      <c r="R288">
        <f>TEXT(B288,"mmm")</f>
        <v/>
      </c>
      <c r="S288" s="15">
        <f>IFERROR(N288/L288,0)</f>
        <v/>
      </c>
    </row>
    <row r="289">
      <c r="A289">
        <f>Raw_Data!A289</f>
        <v/>
      </c>
      <c r="B289" s="11">
        <f>Raw_Data!B289</f>
        <v/>
      </c>
      <c r="C289">
        <f>Raw_Data!C289</f>
        <v/>
      </c>
      <c r="D289">
        <f>Raw_Data!D289</f>
        <v/>
      </c>
      <c r="E289">
        <f>Raw_Data!E289</f>
        <v/>
      </c>
      <c r="F289">
        <f>Raw_Data!F289</f>
        <v/>
      </c>
      <c r="G289">
        <f>Raw_Data!G289</f>
        <v/>
      </c>
      <c r="H289">
        <f>Raw_Data!H289</f>
        <v/>
      </c>
      <c r="I289">
        <f>Raw_Data!I289</f>
        <v/>
      </c>
      <c r="J289" s="12">
        <f>Raw_Data!J289</f>
        <v/>
      </c>
      <c r="K289" s="13">
        <f>Raw_Data!K289</f>
        <v/>
      </c>
      <c r="L289" s="12">
        <f>Raw_Data!L289</f>
        <v/>
      </c>
      <c r="M289" s="12">
        <f>Raw_Data!M289</f>
        <v/>
      </c>
      <c r="N289" s="12">
        <f>Raw_Data!N289</f>
        <v/>
      </c>
      <c r="O289">
        <f>Raw_Data!O289</f>
        <v/>
      </c>
      <c r="P289">
        <f>Raw_Data!P289</f>
        <v/>
      </c>
      <c r="Q289">
        <f>YEAR(B289)</f>
        <v/>
      </c>
      <c r="R289">
        <f>TEXT(B289,"mmm")</f>
        <v/>
      </c>
      <c r="S289" s="15">
        <f>IFERROR(N289/L289,0)</f>
        <v/>
      </c>
    </row>
    <row r="290">
      <c r="A290">
        <f>Raw_Data!A290</f>
        <v/>
      </c>
      <c r="B290" s="11">
        <f>Raw_Data!B290</f>
        <v/>
      </c>
      <c r="C290">
        <f>Raw_Data!C290</f>
        <v/>
      </c>
      <c r="D290">
        <f>Raw_Data!D290</f>
        <v/>
      </c>
      <c r="E290">
        <f>Raw_Data!E290</f>
        <v/>
      </c>
      <c r="F290">
        <f>Raw_Data!F290</f>
        <v/>
      </c>
      <c r="G290">
        <f>Raw_Data!G290</f>
        <v/>
      </c>
      <c r="H290">
        <f>Raw_Data!H290</f>
        <v/>
      </c>
      <c r="I290">
        <f>Raw_Data!I290</f>
        <v/>
      </c>
      <c r="J290" s="12">
        <f>Raw_Data!J290</f>
        <v/>
      </c>
      <c r="K290" s="13">
        <f>Raw_Data!K290</f>
        <v/>
      </c>
      <c r="L290" s="12">
        <f>Raw_Data!L290</f>
        <v/>
      </c>
      <c r="M290" s="12">
        <f>Raw_Data!M290</f>
        <v/>
      </c>
      <c r="N290" s="12">
        <f>Raw_Data!N290</f>
        <v/>
      </c>
      <c r="O290">
        <f>Raw_Data!O290</f>
        <v/>
      </c>
      <c r="P290">
        <f>Raw_Data!P290</f>
        <v/>
      </c>
      <c r="Q290">
        <f>YEAR(B290)</f>
        <v/>
      </c>
      <c r="R290">
        <f>TEXT(B290,"mmm")</f>
        <v/>
      </c>
      <c r="S290" s="15">
        <f>IFERROR(N290/L290,0)</f>
        <v/>
      </c>
    </row>
    <row r="291">
      <c r="A291">
        <f>Raw_Data!A291</f>
        <v/>
      </c>
      <c r="B291" s="11">
        <f>Raw_Data!B291</f>
        <v/>
      </c>
      <c r="C291">
        <f>Raw_Data!C291</f>
        <v/>
      </c>
      <c r="D291">
        <f>Raw_Data!D291</f>
        <v/>
      </c>
      <c r="E291">
        <f>Raw_Data!E291</f>
        <v/>
      </c>
      <c r="F291">
        <f>Raw_Data!F291</f>
        <v/>
      </c>
      <c r="G291">
        <f>Raw_Data!G291</f>
        <v/>
      </c>
      <c r="H291">
        <f>Raw_Data!H291</f>
        <v/>
      </c>
      <c r="I291">
        <f>Raw_Data!I291</f>
        <v/>
      </c>
      <c r="J291" s="12">
        <f>Raw_Data!J291</f>
        <v/>
      </c>
      <c r="K291" s="13">
        <f>Raw_Data!K291</f>
        <v/>
      </c>
      <c r="L291" s="12">
        <f>Raw_Data!L291</f>
        <v/>
      </c>
      <c r="M291" s="12">
        <f>Raw_Data!M291</f>
        <v/>
      </c>
      <c r="N291" s="12">
        <f>Raw_Data!N291</f>
        <v/>
      </c>
      <c r="O291">
        <f>Raw_Data!O291</f>
        <v/>
      </c>
      <c r="P291">
        <f>Raw_Data!P291</f>
        <v/>
      </c>
      <c r="Q291">
        <f>YEAR(B291)</f>
        <v/>
      </c>
      <c r="R291">
        <f>TEXT(B291,"mmm")</f>
        <v/>
      </c>
      <c r="S291" s="15">
        <f>IFERROR(N291/L291,0)</f>
        <v/>
      </c>
    </row>
    <row r="292">
      <c r="A292">
        <f>Raw_Data!A292</f>
        <v/>
      </c>
      <c r="B292" s="11">
        <f>Raw_Data!B292</f>
        <v/>
      </c>
      <c r="C292">
        <f>Raw_Data!C292</f>
        <v/>
      </c>
      <c r="D292">
        <f>Raw_Data!D292</f>
        <v/>
      </c>
      <c r="E292">
        <f>Raw_Data!E292</f>
        <v/>
      </c>
      <c r="F292">
        <f>Raw_Data!F292</f>
        <v/>
      </c>
      <c r="G292">
        <f>Raw_Data!G292</f>
        <v/>
      </c>
      <c r="H292">
        <f>Raw_Data!H292</f>
        <v/>
      </c>
      <c r="I292">
        <f>Raw_Data!I292</f>
        <v/>
      </c>
      <c r="J292" s="12">
        <f>Raw_Data!J292</f>
        <v/>
      </c>
      <c r="K292" s="13">
        <f>Raw_Data!K292</f>
        <v/>
      </c>
      <c r="L292" s="12">
        <f>Raw_Data!L292</f>
        <v/>
      </c>
      <c r="M292" s="12">
        <f>Raw_Data!M292</f>
        <v/>
      </c>
      <c r="N292" s="12">
        <f>Raw_Data!N292</f>
        <v/>
      </c>
      <c r="O292">
        <f>Raw_Data!O292</f>
        <v/>
      </c>
      <c r="P292">
        <f>Raw_Data!P292</f>
        <v/>
      </c>
      <c r="Q292">
        <f>YEAR(B292)</f>
        <v/>
      </c>
      <c r="R292">
        <f>TEXT(B292,"mmm")</f>
        <v/>
      </c>
      <c r="S292" s="15">
        <f>IFERROR(N292/L292,0)</f>
        <v/>
      </c>
    </row>
    <row r="293">
      <c r="A293">
        <f>Raw_Data!A293</f>
        <v/>
      </c>
      <c r="B293" s="11">
        <f>Raw_Data!B293</f>
        <v/>
      </c>
      <c r="C293">
        <f>Raw_Data!C293</f>
        <v/>
      </c>
      <c r="D293">
        <f>Raw_Data!D293</f>
        <v/>
      </c>
      <c r="E293">
        <f>Raw_Data!E293</f>
        <v/>
      </c>
      <c r="F293">
        <f>Raw_Data!F293</f>
        <v/>
      </c>
      <c r="G293">
        <f>Raw_Data!G293</f>
        <v/>
      </c>
      <c r="H293">
        <f>Raw_Data!H293</f>
        <v/>
      </c>
      <c r="I293">
        <f>Raw_Data!I293</f>
        <v/>
      </c>
      <c r="J293" s="12">
        <f>Raw_Data!J293</f>
        <v/>
      </c>
      <c r="K293" s="13">
        <f>Raw_Data!K293</f>
        <v/>
      </c>
      <c r="L293" s="12">
        <f>Raw_Data!L293</f>
        <v/>
      </c>
      <c r="M293" s="12">
        <f>Raw_Data!M293</f>
        <v/>
      </c>
      <c r="N293" s="12">
        <f>Raw_Data!N293</f>
        <v/>
      </c>
      <c r="O293">
        <f>Raw_Data!O293</f>
        <v/>
      </c>
      <c r="P293">
        <f>Raw_Data!P293</f>
        <v/>
      </c>
      <c r="Q293">
        <f>YEAR(B293)</f>
        <v/>
      </c>
      <c r="R293">
        <f>TEXT(B293,"mmm")</f>
        <v/>
      </c>
      <c r="S293" s="15">
        <f>IFERROR(N293/L293,0)</f>
        <v/>
      </c>
    </row>
    <row r="294">
      <c r="A294">
        <f>Raw_Data!A294</f>
        <v/>
      </c>
      <c r="B294" s="11">
        <f>Raw_Data!B294</f>
        <v/>
      </c>
      <c r="C294">
        <f>Raw_Data!C294</f>
        <v/>
      </c>
      <c r="D294">
        <f>Raw_Data!D294</f>
        <v/>
      </c>
      <c r="E294">
        <f>Raw_Data!E294</f>
        <v/>
      </c>
      <c r="F294">
        <f>Raw_Data!F294</f>
        <v/>
      </c>
      <c r="G294">
        <f>Raw_Data!G294</f>
        <v/>
      </c>
      <c r="H294">
        <f>Raw_Data!H294</f>
        <v/>
      </c>
      <c r="I294">
        <f>Raw_Data!I294</f>
        <v/>
      </c>
      <c r="J294" s="12">
        <f>Raw_Data!J294</f>
        <v/>
      </c>
      <c r="K294" s="13">
        <f>Raw_Data!K294</f>
        <v/>
      </c>
      <c r="L294" s="12">
        <f>Raw_Data!L294</f>
        <v/>
      </c>
      <c r="M294" s="12">
        <f>Raw_Data!M294</f>
        <v/>
      </c>
      <c r="N294" s="12">
        <f>Raw_Data!N294</f>
        <v/>
      </c>
      <c r="O294">
        <f>Raw_Data!O294</f>
        <v/>
      </c>
      <c r="P294">
        <f>Raw_Data!P294</f>
        <v/>
      </c>
      <c r="Q294">
        <f>YEAR(B294)</f>
        <v/>
      </c>
      <c r="R294">
        <f>TEXT(B294,"mmm")</f>
        <v/>
      </c>
      <c r="S294" s="15">
        <f>IFERROR(N294/L294,0)</f>
        <v/>
      </c>
    </row>
    <row r="295">
      <c r="A295">
        <f>Raw_Data!A295</f>
        <v/>
      </c>
      <c r="B295" s="11">
        <f>Raw_Data!B295</f>
        <v/>
      </c>
      <c r="C295">
        <f>Raw_Data!C295</f>
        <v/>
      </c>
      <c r="D295">
        <f>Raw_Data!D295</f>
        <v/>
      </c>
      <c r="E295">
        <f>Raw_Data!E295</f>
        <v/>
      </c>
      <c r="F295">
        <f>Raw_Data!F295</f>
        <v/>
      </c>
      <c r="G295">
        <f>Raw_Data!G295</f>
        <v/>
      </c>
      <c r="H295">
        <f>Raw_Data!H295</f>
        <v/>
      </c>
      <c r="I295">
        <f>Raw_Data!I295</f>
        <v/>
      </c>
      <c r="J295" s="12">
        <f>Raw_Data!J295</f>
        <v/>
      </c>
      <c r="K295" s="13">
        <f>Raw_Data!K295</f>
        <v/>
      </c>
      <c r="L295" s="12">
        <f>Raw_Data!L295</f>
        <v/>
      </c>
      <c r="M295" s="12">
        <f>Raw_Data!M295</f>
        <v/>
      </c>
      <c r="N295" s="12">
        <f>Raw_Data!N295</f>
        <v/>
      </c>
      <c r="O295">
        <f>Raw_Data!O295</f>
        <v/>
      </c>
      <c r="P295">
        <f>Raw_Data!P295</f>
        <v/>
      </c>
      <c r="Q295">
        <f>YEAR(B295)</f>
        <v/>
      </c>
      <c r="R295">
        <f>TEXT(B295,"mmm")</f>
        <v/>
      </c>
      <c r="S295" s="15">
        <f>IFERROR(N295/L295,0)</f>
        <v/>
      </c>
    </row>
    <row r="296">
      <c r="A296">
        <f>Raw_Data!A296</f>
        <v/>
      </c>
      <c r="B296" s="11">
        <f>Raw_Data!B296</f>
        <v/>
      </c>
      <c r="C296">
        <f>Raw_Data!C296</f>
        <v/>
      </c>
      <c r="D296">
        <f>Raw_Data!D296</f>
        <v/>
      </c>
      <c r="E296">
        <f>Raw_Data!E296</f>
        <v/>
      </c>
      <c r="F296">
        <f>Raw_Data!F296</f>
        <v/>
      </c>
      <c r="G296">
        <f>Raw_Data!G296</f>
        <v/>
      </c>
      <c r="H296">
        <f>Raw_Data!H296</f>
        <v/>
      </c>
      <c r="I296">
        <f>Raw_Data!I296</f>
        <v/>
      </c>
      <c r="J296" s="12">
        <f>Raw_Data!J296</f>
        <v/>
      </c>
      <c r="K296" s="13">
        <f>Raw_Data!K296</f>
        <v/>
      </c>
      <c r="L296" s="12">
        <f>Raw_Data!L296</f>
        <v/>
      </c>
      <c r="M296" s="12">
        <f>Raw_Data!M296</f>
        <v/>
      </c>
      <c r="N296" s="12">
        <f>Raw_Data!N296</f>
        <v/>
      </c>
      <c r="O296">
        <f>Raw_Data!O296</f>
        <v/>
      </c>
      <c r="P296">
        <f>Raw_Data!P296</f>
        <v/>
      </c>
      <c r="Q296">
        <f>YEAR(B296)</f>
        <v/>
      </c>
      <c r="R296">
        <f>TEXT(B296,"mmm")</f>
        <v/>
      </c>
      <c r="S296" s="15">
        <f>IFERROR(N296/L296,0)</f>
        <v/>
      </c>
    </row>
    <row r="297">
      <c r="A297">
        <f>Raw_Data!A297</f>
        <v/>
      </c>
      <c r="B297" s="11">
        <f>Raw_Data!B297</f>
        <v/>
      </c>
      <c r="C297">
        <f>Raw_Data!C297</f>
        <v/>
      </c>
      <c r="D297">
        <f>Raw_Data!D297</f>
        <v/>
      </c>
      <c r="E297">
        <f>Raw_Data!E297</f>
        <v/>
      </c>
      <c r="F297">
        <f>Raw_Data!F297</f>
        <v/>
      </c>
      <c r="G297">
        <f>Raw_Data!G297</f>
        <v/>
      </c>
      <c r="H297">
        <f>Raw_Data!H297</f>
        <v/>
      </c>
      <c r="I297">
        <f>Raw_Data!I297</f>
        <v/>
      </c>
      <c r="J297" s="12">
        <f>Raw_Data!J297</f>
        <v/>
      </c>
      <c r="K297" s="13">
        <f>Raw_Data!K297</f>
        <v/>
      </c>
      <c r="L297" s="12">
        <f>Raw_Data!L297</f>
        <v/>
      </c>
      <c r="M297" s="12">
        <f>Raw_Data!M297</f>
        <v/>
      </c>
      <c r="N297" s="12">
        <f>Raw_Data!N297</f>
        <v/>
      </c>
      <c r="O297">
        <f>Raw_Data!O297</f>
        <v/>
      </c>
      <c r="P297">
        <f>Raw_Data!P297</f>
        <v/>
      </c>
      <c r="Q297">
        <f>YEAR(B297)</f>
        <v/>
      </c>
      <c r="R297">
        <f>TEXT(B297,"mmm")</f>
        <v/>
      </c>
      <c r="S297" s="15">
        <f>IFERROR(N297/L297,0)</f>
        <v/>
      </c>
    </row>
    <row r="298">
      <c r="A298">
        <f>Raw_Data!A298</f>
        <v/>
      </c>
      <c r="B298" s="11">
        <f>Raw_Data!B298</f>
        <v/>
      </c>
      <c r="C298">
        <f>Raw_Data!C298</f>
        <v/>
      </c>
      <c r="D298">
        <f>Raw_Data!D298</f>
        <v/>
      </c>
      <c r="E298">
        <f>Raw_Data!E298</f>
        <v/>
      </c>
      <c r="F298">
        <f>Raw_Data!F298</f>
        <v/>
      </c>
      <c r="G298">
        <f>Raw_Data!G298</f>
        <v/>
      </c>
      <c r="H298">
        <f>Raw_Data!H298</f>
        <v/>
      </c>
      <c r="I298">
        <f>Raw_Data!I298</f>
        <v/>
      </c>
      <c r="J298" s="12">
        <f>Raw_Data!J298</f>
        <v/>
      </c>
      <c r="K298" s="13">
        <f>Raw_Data!K298</f>
        <v/>
      </c>
      <c r="L298" s="12">
        <f>Raw_Data!L298</f>
        <v/>
      </c>
      <c r="M298" s="12">
        <f>Raw_Data!M298</f>
        <v/>
      </c>
      <c r="N298" s="12">
        <f>Raw_Data!N298</f>
        <v/>
      </c>
      <c r="O298">
        <f>Raw_Data!O298</f>
        <v/>
      </c>
      <c r="P298">
        <f>Raw_Data!P298</f>
        <v/>
      </c>
      <c r="Q298">
        <f>YEAR(B298)</f>
        <v/>
      </c>
      <c r="R298">
        <f>TEXT(B298,"mmm")</f>
        <v/>
      </c>
      <c r="S298" s="15">
        <f>IFERROR(N298/L298,0)</f>
        <v/>
      </c>
    </row>
    <row r="299">
      <c r="A299">
        <f>Raw_Data!A299</f>
        <v/>
      </c>
      <c r="B299" s="11">
        <f>Raw_Data!B299</f>
        <v/>
      </c>
      <c r="C299">
        <f>Raw_Data!C299</f>
        <v/>
      </c>
      <c r="D299">
        <f>Raw_Data!D299</f>
        <v/>
      </c>
      <c r="E299">
        <f>Raw_Data!E299</f>
        <v/>
      </c>
      <c r="F299">
        <f>Raw_Data!F299</f>
        <v/>
      </c>
      <c r="G299">
        <f>Raw_Data!G299</f>
        <v/>
      </c>
      <c r="H299">
        <f>Raw_Data!H299</f>
        <v/>
      </c>
      <c r="I299">
        <f>Raw_Data!I299</f>
        <v/>
      </c>
      <c r="J299" s="12">
        <f>Raw_Data!J299</f>
        <v/>
      </c>
      <c r="K299" s="13">
        <f>Raw_Data!K299</f>
        <v/>
      </c>
      <c r="L299" s="12">
        <f>Raw_Data!L299</f>
        <v/>
      </c>
      <c r="M299" s="12">
        <f>Raw_Data!M299</f>
        <v/>
      </c>
      <c r="N299" s="12">
        <f>Raw_Data!N299</f>
        <v/>
      </c>
      <c r="O299">
        <f>Raw_Data!O299</f>
        <v/>
      </c>
      <c r="P299">
        <f>Raw_Data!P299</f>
        <v/>
      </c>
      <c r="Q299">
        <f>YEAR(B299)</f>
        <v/>
      </c>
      <c r="R299">
        <f>TEXT(B299,"mmm")</f>
        <v/>
      </c>
      <c r="S299" s="15">
        <f>IFERROR(N299/L299,0)</f>
        <v/>
      </c>
    </row>
    <row r="300">
      <c r="A300">
        <f>Raw_Data!A300</f>
        <v/>
      </c>
      <c r="B300" s="11">
        <f>Raw_Data!B300</f>
        <v/>
      </c>
      <c r="C300">
        <f>Raw_Data!C300</f>
        <v/>
      </c>
      <c r="D300">
        <f>Raw_Data!D300</f>
        <v/>
      </c>
      <c r="E300">
        <f>Raw_Data!E300</f>
        <v/>
      </c>
      <c r="F300">
        <f>Raw_Data!F300</f>
        <v/>
      </c>
      <c r="G300">
        <f>Raw_Data!G300</f>
        <v/>
      </c>
      <c r="H300">
        <f>Raw_Data!H300</f>
        <v/>
      </c>
      <c r="I300">
        <f>Raw_Data!I300</f>
        <v/>
      </c>
      <c r="J300" s="12">
        <f>Raw_Data!J300</f>
        <v/>
      </c>
      <c r="K300" s="13">
        <f>Raw_Data!K300</f>
        <v/>
      </c>
      <c r="L300" s="12">
        <f>Raw_Data!L300</f>
        <v/>
      </c>
      <c r="M300" s="12">
        <f>Raw_Data!M300</f>
        <v/>
      </c>
      <c r="N300" s="12">
        <f>Raw_Data!N300</f>
        <v/>
      </c>
      <c r="O300">
        <f>Raw_Data!O300</f>
        <v/>
      </c>
      <c r="P300">
        <f>Raw_Data!P300</f>
        <v/>
      </c>
      <c r="Q300">
        <f>YEAR(B300)</f>
        <v/>
      </c>
      <c r="R300">
        <f>TEXT(B300,"mmm")</f>
        <v/>
      </c>
      <c r="S300" s="15">
        <f>IFERROR(N300/L300,0)</f>
        <v/>
      </c>
    </row>
    <row r="301">
      <c r="A301">
        <f>Raw_Data!A301</f>
        <v/>
      </c>
      <c r="B301" s="11">
        <f>Raw_Data!B301</f>
        <v/>
      </c>
      <c r="C301">
        <f>Raw_Data!C301</f>
        <v/>
      </c>
      <c r="D301">
        <f>Raw_Data!D301</f>
        <v/>
      </c>
      <c r="E301">
        <f>Raw_Data!E301</f>
        <v/>
      </c>
      <c r="F301">
        <f>Raw_Data!F301</f>
        <v/>
      </c>
      <c r="G301">
        <f>Raw_Data!G301</f>
        <v/>
      </c>
      <c r="H301">
        <f>Raw_Data!H301</f>
        <v/>
      </c>
      <c r="I301">
        <f>Raw_Data!I301</f>
        <v/>
      </c>
      <c r="J301" s="12">
        <f>Raw_Data!J301</f>
        <v/>
      </c>
      <c r="K301" s="13">
        <f>Raw_Data!K301</f>
        <v/>
      </c>
      <c r="L301" s="12">
        <f>Raw_Data!L301</f>
        <v/>
      </c>
      <c r="M301" s="12">
        <f>Raw_Data!M301</f>
        <v/>
      </c>
      <c r="N301" s="12">
        <f>Raw_Data!N301</f>
        <v/>
      </c>
      <c r="O301">
        <f>Raw_Data!O301</f>
        <v/>
      </c>
      <c r="P301">
        <f>Raw_Data!P301</f>
        <v/>
      </c>
      <c r="Q301">
        <f>YEAR(B301)</f>
        <v/>
      </c>
      <c r="R301">
        <f>TEXT(B301,"mmm")</f>
        <v/>
      </c>
      <c r="S301" s="15">
        <f>IFERROR(N301/L301,0)</f>
        <v/>
      </c>
    </row>
    <row r="302">
      <c r="A302">
        <f>Raw_Data!A302</f>
        <v/>
      </c>
      <c r="B302" s="11">
        <f>Raw_Data!B302</f>
        <v/>
      </c>
      <c r="C302">
        <f>Raw_Data!C302</f>
        <v/>
      </c>
      <c r="D302">
        <f>Raw_Data!D302</f>
        <v/>
      </c>
      <c r="E302">
        <f>Raw_Data!E302</f>
        <v/>
      </c>
      <c r="F302">
        <f>Raw_Data!F302</f>
        <v/>
      </c>
      <c r="G302">
        <f>Raw_Data!G302</f>
        <v/>
      </c>
      <c r="H302">
        <f>Raw_Data!H302</f>
        <v/>
      </c>
      <c r="I302">
        <f>Raw_Data!I302</f>
        <v/>
      </c>
      <c r="J302" s="12">
        <f>Raw_Data!J302</f>
        <v/>
      </c>
      <c r="K302" s="13">
        <f>Raw_Data!K302</f>
        <v/>
      </c>
      <c r="L302" s="12">
        <f>Raw_Data!L302</f>
        <v/>
      </c>
      <c r="M302" s="12">
        <f>Raw_Data!M302</f>
        <v/>
      </c>
      <c r="N302" s="12">
        <f>Raw_Data!N302</f>
        <v/>
      </c>
      <c r="O302">
        <f>Raw_Data!O302</f>
        <v/>
      </c>
      <c r="P302">
        <f>Raw_Data!P302</f>
        <v/>
      </c>
      <c r="Q302">
        <f>YEAR(B302)</f>
        <v/>
      </c>
      <c r="R302">
        <f>TEXT(B302,"mmm")</f>
        <v/>
      </c>
      <c r="S302" s="15">
        <f>IFERROR(N302/L302,0)</f>
        <v/>
      </c>
    </row>
    <row r="303">
      <c r="A303">
        <f>Raw_Data!A303</f>
        <v/>
      </c>
      <c r="B303" s="11">
        <f>Raw_Data!B303</f>
        <v/>
      </c>
      <c r="C303">
        <f>Raw_Data!C303</f>
        <v/>
      </c>
      <c r="D303">
        <f>Raw_Data!D303</f>
        <v/>
      </c>
      <c r="E303">
        <f>Raw_Data!E303</f>
        <v/>
      </c>
      <c r="F303">
        <f>Raw_Data!F303</f>
        <v/>
      </c>
      <c r="G303">
        <f>Raw_Data!G303</f>
        <v/>
      </c>
      <c r="H303">
        <f>Raw_Data!H303</f>
        <v/>
      </c>
      <c r="I303">
        <f>Raw_Data!I303</f>
        <v/>
      </c>
      <c r="J303" s="12">
        <f>Raw_Data!J303</f>
        <v/>
      </c>
      <c r="K303" s="13">
        <f>Raw_Data!K303</f>
        <v/>
      </c>
      <c r="L303" s="12">
        <f>Raw_Data!L303</f>
        <v/>
      </c>
      <c r="M303" s="12">
        <f>Raw_Data!M303</f>
        <v/>
      </c>
      <c r="N303" s="12">
        <f>Raw_Data!N303</f>
        <v/>
      </c>
      <c r="O303">
        <f>Raw_Data!O303</f>
        <v/>
      </c>
      <c r="P303">
        <f>Raw_Data!P303</f>
        <v/>
      </c>
      <c r="Q303">
        <f>YEAR(B303)</f>
        <v/>
      </c>
      <c r="R303">
        <f>TEXT(B303,"mmm")</f>
        <v/>
      </c>
      <c r="S303" s="15">
        <f>IFERROR(N303/L303,0)</f>
        <v/>
      </c>
    </row>
    <row r="304">
      <c r="A304">
        <f>Raw_Data!A304</f>
        <v/>
      </c>
      <c r="B304" s="11">
        <f>Raw_Data!B304</f>
        <v/>
      </c>
      <c r="C304">
        <f>Raw_Data!C304</f>
        <v/>
      </c>
      <c r="D304">
        <f>Raw_Data!D304</f>
        <v/>
      </c>
      <c r="E304">
        <f>Raw_Data!E304</f>
        <v/>
      </c>
      <c r="F304">
        <f>Raw_Data!F304</f>
        <v/>
      </c>
      <c r="G304">
        <f>Raw_Data!G304</f>
        <v/>
      </c>
      <c r="H304">
        <f>Raw_Data!H304</f>
        <v/>
      </c>
      <c r="I304">
        <f>Raw_Data!I304</f>
        <v/>
      </c>
      <c r="J304" s="12">
        <f>Raw_Data!J304</f>
        <v/>
      </c>
      <c r="K304" s="13">
        <f>Raw_Data!K304</f>
        <v/>
      </c>
      <c r="L304" s="12">
        <f>Raw_Data!L304</f>
        <v/>
      </c>
      <c r="M304" s="12">
        <f>Raw_Data!M304</f>
        <v/>
      </c>
      <c r="N304" s="12">
        <f>Raw_Data!N304</f>
        <v/>
      </c>
      <c r="O304">
        <f>Raw_Data!O304</f>
        <v/>
      </c>
      <c r="P304">
        <f>Raw_Data!P304</f>
        <v/>
      </c>
      <c r="Q304">
        <f>YEAR(B304)</f>
        <v/>
      </c>
      <c r="R304">
        <f>TEXT(B304,"mmm")</f>
        <v/>
      </c>
      <c r="S304" s="15">
        <f>IFERROR(N304/L304,0)</f>
        <v/>
      </c>
    </row>
    <row r="305">
      <c r="A305">
        <f>Raw_Data!A305</f>
        <v/>
      </c>
      <c r="B305" s="11">
        <f>Raw_Data!B305</f>
        <v/>
      </c>
      <c r="C305">
        <f>Raw_Data!C305</f>
        <v/>
      </c>
      <c r="D305">
        <f>Raw_Data!D305</f>
        <v/>
      </c>
      <c r="E305">
        <f>Raw_Data!E305</f>
        <v/>
      </c>
      <c r="F305">
        <f>Raw_Data!F305</f>
        <v/>
      </c>
      <c r="G305">
        <f>Raw_Data!G305</f>
        <v/>
      </c>
      <c r="H305">
        <f>Raw_Data!H305</f>
        <v/>
      </c>
      <c r="I305">
        <f>Raw_Data!I305</f>
        <v/>
      </c>
      <c r="J305" s="12">
        <f>Raw_Data!J305</f>
        <v/>
      </c>
      <c r="K305" s="13">
        <f>Raw_Data!K305</f>
        <v/>
      </c>
      <c r="L305" s="12">
        <f>Raw_Data!L305</f>
        <v/>
      </c>
      <c r="M305" s="12">
        <f>Raw_Data!M305</f>
        <v/>
      </c>
      <c r="N305" s="12">
        <f>Raw_Data!N305</f>
        <v/>
      </c>
      <c r="O305">
        <f>Raw_Data!O305</f>
        <v/>
      </c>
      <c r="P305">
        <f>Raw_Data!P305</f>
        <v/>
      </c>
      <c r="Q305">
        <f>YEAR(B305)</f>
        <v/>
      </c>
      <c r="R305">
        <f>TEXT(B305,"mmm")</f>
        <v/>
      </c>
      <c r="S305" s="15">
        <f>IFERROR(N305/L305,0)</f>
        <v/>
      </c>
    </row>
    <row r="306">
      <c r="A306">
        <f>Raw_Data!A306</f>
        <v/>
      </c>
      <c r="B306" s="11">
        <f>Raw_Data!B306</f>
        <v/>
      </c>
      <c r="C306">
        <f>Raw_Data!C306</f>
        <v/>
      </c>
      <c r="D306">
        <f>Raw_Data!D306</f>
        <v/>
      </c>
      <c r="E306">
        <f>Raw_Data!E306</f>
        <v/>
      </c>
      <c r="F306">
        <f>Raw_Data!F306</f>
        <v/>
      </c>
      <c r="G306">
        <f>Raw_Data!G306</f>
        <v/>
      </c>
      <c r="H306">
        <f>Raw_Data!H306</f>
        <v/>
      </c>
      <c r="I306">
        <f>Raw_Data!I306</f>
        <v/>
      </c>
      <c r="J306" s="12">
        <f>Raw_Data!J306</f>
        <v/>
      </c>
      <c r="K306" s="13">
        <f>Raw_Data!K306</f>
        <v/>
      </c>
      <c r="L306" s="12">
        <f>Raw_Data!L306</f>
        <v/>
      </c>
      <c r="M306" s="12">
        <f>Raw_Data!M306</f>
        <v/>
      </c>
      <c r="N306" s="12">
        <f>Raw_Data!N306</f>
        <v/>
      </c>
      <c r="O306">
        <f>Raw_Data!O306</f>
        <v/>
      </c>
      <c r="P306">
        <f>Raw_Data!P306</f>
        <v/>
      </c>
      <c r="Q306">
        <f>YEAR(B306)</f>
        <v/>
      </c>
      <c r="R306">
        <f>TEXT(B306,"mmm")</f>
        <v/>
      </c>
      <c r="S306" s="15">
        <f>IFERROR(N306/L306,0)</f>
        <v/>
      </c>
    </row>
    <row r="307">
      <c r="A307">
        <f>Raw_Data!A307</f>
        <v/>
      </c>
      <c r="B307" s="11">
        <f>Raw_Data!B307</f>
        <v/>
      </c>
      <c r="C307">
        <f>Raw_Data!C307</f>
        <v/>
      </c>
      <c r="D307">
        <f>Raw_Data!D307</f>
        <v/>
      </c>
      <c r="E307">
        <f>Raw_Data!E307</f>
        <v/>
      </c>
      <c r="F307">
        <f>Raw_Data!F307</f>
        <v/>
      </c>
      <c r="G307">
        <f>Raw_Data!G307</f>
        <v/>
      </c>
      <c r="H307">
        <f>Raw_Data!H307</f>
        <v/>
      </c>
      <c r="I307">
        <f>Raw_Data!I307</f>
        <v/>
      </c>
      <c r="J307" s="12">
        <f>Raw_Data!J307</f>
        <v/>
      </c>
      <c r="K307" s="13">
        <f>Raw_Data!K307</f>
        <v/>
      </c>
      <c r="L307" s="12">
        <f>Raw_Data!L307</f>
        <v/>
      </c>
      <c r="M307" s="12">
        <f>Raw_Data!M307</f>
        <v/>
      </c>
      <c r="N307" s="12">
        <f>Raw_Data!N307</f>
        <v/>
      </c>
      <c r="O307">
        <f>Raw_Data!O307</f>
        <v/>
      </c>
      <c r="P307">
        <f>Raw_Data!P307</f>
        <v/>
      </c>
      <c r="Q307">
        <f>YEAR(B307)</f>
        <v/>
      </c>
      <c r="R307">
        <f>TEXT(B307,"mmm")</f>
        <v/>
      </c>
      <c r="S307" s="15">
        <f>IFERROR(N307/L307,0)</f>
        <v/>
      </c>
    </row>
    <row r="308">
      <c r="A308">
        <f>Raw_Data!A308</f>
        <v/>
      </c>
      <c r="B308" s="11">
        <f>Raw_Data!B308</f>
        <v/>
      </c>
      <c r="C308">
        <f>Raw_Data!C308</f>
        <v/>
      </c>
      <c r="D308">
        <f>Raw_Data!D308</f>
        <v/>
      </c>
      <c r="E308">
        <f>Raw_Data!E308</f>
        <v/>
      </c>
      <c r="F308">
        <f>Raw_Data!F308</f>
        <v/>
      </c>
      <c r="G308">
        <f>Raw_Data!G308</f>
        <v/>
      </c>
      <c r="H308">
        <f>Raw_Data!H308</f>
        <v/>
      </c>
      <c r="I308">
        <f>Raw_Data!I308</f>
        <v/>
      </c>
      <c r="J308" s="12">
        <f>Raw_Data!J308</f>
        <v/>
      </c>
      <c r="K308" s="13">
        <f>Raw_Data!K308</f>
        <v/>
      </c>
      <c r="L308" s="12">
        <f>Raw_Data!L308</f>
        <v/>
      </c>
      <c r="M308" s="12">
        <f>Raw_Data!M308</f>
        <v/>
      </c>
      <c r="N308" s="12">
        <f>Raw_Data!N308</f>
        <v/>
      </c>
      <c r="O308">
        <f>Raw_Data!O308</f>
        <v/>
      </c>
      <c r="P308">
        <f>Raw_Data!P308</f>
        <v/>
      </c>
      <c r="Q308">
        <f>YEAR(B308)</f>
        <v/>
      </c>
      <c r="R308">
        <f>TEXT(B308,"mmm")</f>
        <v/>
      </c>
      <c r="S308" s="15">
        <f>IFERROR(N308/L308,0)</f>
        <v/>
      </c>
    </row>
    <row r="309">
      <c r="A309">
        <f>Raw_Data!A309</f>
        <v/>
      </c>
      <c r="B309" s="11">
        <f>Raw_Data!B309</f>
        <v/>
      </c>
      <c r="C309">
        <f>Raw_Data!C309</f>
        <v/>
      </c>
      <c r="D309">
        <f>Raw_Data!D309</f>
        <v/>
      </c>
      <c r="E309">
        <f>Raw_Data!E309</f>
        <v/>
      </c>
      <c r="F309">
        <f>Raw_Data!F309</f>
        <v/>
      </c>
      <c r="G309">
        <f>Raw_Data!G309</f>
        <v/>
      </c>
      <c r="H309">
        <f>Raw_Data!H309</f>
        <v/>
      </c>
      <c r="I309">
        <f>Raw_Data!I309</f>
        <v/>
      </c>
      <c r="J309" s="12">
        <f>Raw_Data!J309</f>
        <v/>
      </c>
      <c r="K309" s="13">
        <f>Raw_Data!K309</f>
        <v/>
      </c>
      <c r="L309" s="12">
        <f>Raw_Data!L309</f>
        <v/>
      </c>
      <c r="M309" s="12">
        <f>Raw_Data!M309</f>
        <v/>
      </c>
      <c r="N309" s="12">
        <f>Raw_Data!N309</f>
        <v/>
      </c>
      <c r="O309">
        <f>Raw_Data!O309</f>
        <v/>
      </c>
      <c r="P309">
        <f>Raw_Data!P309</f>
        <v/>
      </c>
      <c r="Q309">
        <f>YEAR(B309)</f>
        <v/>
      </c>
      <c r="R309">
        <f>TEXT(B309,"mmm")</f>
        <v/>
      </c>
      <c r="S309" s="15">
        <f>IFERROR(N309/L309,0)</f>
        <v/>
      </c>
    </row>
    <row r="310">
      <c r="A310">
        <f>Raw_Data!A310</f>
        <v/>
      </c>
      <c r="B310" s="11">
        <f>Raw_Data!B310</f>
        <v/>
      </c>
      <c r="C310">
        <f>Raw_Data!C310</f>
        <v/>
      </c>
      <c r="D310">
        <f>Raw_Data!D310</f>
        <v/>
      </c>
      <c r="E310">
        <f>Raw_Data!E310</f>
        <v/>
      </c>
      <c r="F310">
        <f>Raw_Data!F310</f>
        <v/>
      </c>
      <c r="G310">
        <f>Raw_Data!G310</f>
        <v/>
      </c>
      <c r="H310">
        <f>Raw_Data!H310</f>
        <v/>
      </c>
      <c r="I310">
        <f>Raw_Data!I310</f>
        <v/>
      </c>
      <c r="J310" s="12">
        <f>Raw_Data!J310</f>
        <v/>
      </c>
      <c r="K310" s="13">
        <f>Raw_Data!K310</f>
        <v/>
      </c>
      <c r="L310" s="12">
        <f>Raw_Data!L310</f>
        <v/>
      </c>
      <c r="M310" s="12">
        <f>Raw_Data!M310</f>
        <v/>
      </c>
      <c r="N310" s="12">
        <f>Raw_Data!N310</f>
        <v/>
      </c>
      <c r="O310">
        <f>Raw_Data!O310</f>
        <v/>
      </c>
      <c r="P310">
        <f>Raw_Data!P310</f>
        <v/>
      </c>
      <c r="Q310">
        <f>YEAR(B310)</f>
        <v/>
      </c>
      <c r="R310">
        <f>TEXT(B310,"mmm")</f>
        <v/>
      </c>
      <c r="S310" s="15">
        <f>IFERROR(N310/L310,0)</f>
        <v/>
      </c>
    </row>
    <row r="311">
      <c r="A311">
        <f>Raw_Data!A311</f>
        <v/>
      </c>
      <c r="B311" s="11">
        <f>Raw_Data!B311</f>
        <v/>
      </c>
      <c r="C311">
        <f>Raw_Data!C311</f>
        <v/>
      </c>
      <c r="D311">
        <f>Raw_Data!D311</f>
        <v/>
      </c>
      <c r="E311">
        <f>Raw_Data!E311</f>
        <v/>
      </c>
      <c r="F311">
        <f>Raw_Data!F311</f>
        <v/>
      </c>
      <c r="G311">
        <f>Raw_Data!G311</f>
        <v/>
      </c>
      <c r="H311">
        <f>Raw_Data!H311</f>
        <v/>
      </c>
      <c r="I311">
        <f>Raw_Data!I311</f>
        <v/>
      </c>
      <c r="J311" s="12">
        <f>Raw_Data!J311</f>
        <v/>
      </c>
      <c r="K311" s="13">
        <f>Raw_Data!K311</f>
        <v/>
      </c>
      <c r="L311" s="12">
        <f>Raw_Data!L311</f>
        <v/>
      </c>
      <c r="M311" s="12">
        <f>Raw_Data!M311</f>
        <v/>
      </c>
      <c r="N311" s="12">
        <f>Raw_Data!N311</f>
        <v/>
      </c>
      <c r="O311">
        <f>Raw_Data!O311</f>
        <v/>
      </c>
      <c r="P311">
        <f>Raw_Data!P311</f>
        <v/>
      </c>
      <c r="Q311">
        <f>YEAR(B311)</f>
        <v/>
      </c>
      <c r="R311">
        <f>TEXT(B311,"mmm")</f>
        <v/>
      </c>
      <c r="S311" s="15">
        <f>IFERROR(N311/L311,0)</f>
        <v/>
      </c>
    </row>
    <row r="312">
      <c r="A312">
        <f>Raw_Data!A312</f>
        <v/>
      </c>
      <c r="B312" s="11">
        <f>Raw_Data!B312</f>
        <v/>
      </c>
      <c r="C312">
        <f>Raw_Data!C312</f>
        <v/>
      </c>
      <c r="D312">
        <f>Raw_Data!D312</f>
        <v/>
      </c>
      <c r="E312">
        <f>Raw_Data!E312</f>
        <v/>
      </c>
      <c r="F312">
        <f>Raw_Data!F312</f>
        <v/>
      </c>
      <c r="G312">
        <f>Raw_Data!G312</f>
        <v/>
      </c>
      <c r="H312">
        <f>Raw_Data!H312</f>
        <v/>
      </c>
      <c r="I312">
        <f>Raw_Data!I312</f>
        <v/>
      </c>
      <c r="J312" s="12">
        <f>Raw_Data!J312</f>
        <v/>
      </c>
      <c r="K312" s="13">
        <f>Raw_Data!K312</f>
        <v/>
      </c>
      <c r="L312" s="12">
        <f>Raw_Data!L312</f>
        <v/>
      </c>
      <c r="M312" s="12">
        <f>Raw_Data!M312</f>
        <v/>
      </c>
      <c r="N312" s="12">
        <f>Raw_Data!N312</f>
        <v/>
      </c>
      <c r="O312">
        <f>Raw_Data!O312</f>
        <v/>
      </c>
      <c r="P312">
        <f>Raw_Data!P312</f>
        <v/>
      </c>
      <c r="Q312">
        <f>YEAR(B312)</f>
        <v/>
      </c>
      <c r="R312">
        <f>TEXT(B312,"mmm")</f>
        <v/>
      </c>
      <c r="S312" s="15">
        <f>IFERROR(N312/L312,0)</f>
        <v/>
      </c>
    </row>
    <row r="313">
      <c r="A313">
        <f>Raw_Data!A313</f>
        <v/>
      </c>
      <c r="B313" s="11">
        <f>Raw_Data!B313</f>
        <v/>
      </c>
      <c r="C313">
        <f>Raw_Data!C313</f>
        <v/>
      </c>
      <c r="D313">
        <f>Raw_Data!D313</f>
        <v/>
      </c>
      <c r="E313">
        <f>Raw_Data!E313</f>
        <v/>
      </c>
      <c r="F313">
        <f>Raw_Data!F313</f>
        <v/>
      </c>
      <c r="G313">
        <f>Raw_Data!G313</f>
        <v/>
      </c>
      <c r="H313">
        <f>Raw_Data!H313</f>
        <v/>
      </c>
      <c r="I313">
        <f>Raw_Data!I313</f>
        <v/>
      </c>
      <c r="J313" s="12">
        <f>Raw_Data!J313</f>
        <v/>
      </c>
      <c r="K313" s="13">
        <f>Raw_Data!K313</f>
        <v/>
      </c>
      <c r="L313" s="12">
        <f>Raw_Data!L313</f>
        <v/>
      </c>
      <c r="M313" s="12">
        <f>Raw_Data!M313</f>
        <v/>
      </c>
      <c r="N313" s="12">
        <f>Raw_Data!N313</f>
        <v/>
      </c>
      <c r="O313">
        <f>Raw_Data!O313</f>
        <v/>
      </c>
      <c r="P313">
        <f>Raw_Data!P313</f>
        <v/>
      </c>
      <c r="Q313">
        <f>YEAR(B313)</f>
        <v/>
      </c>
      <c r="R313">
        <f>TEXT(B313,"mmm")</f>
        <v/>
      </c>
      <c r="S313" s="15">
        <f>IFERROR(N313/L313,0)</f>
        <v/>
      </c>
    </row>
    <row r="314">
      <c r="A314">
        <f>Raw_Data!A314</f>
        <v/>
      </c>
      <c r="B314" s="11">
        <f>Raw_Data!B314</f>
        <v/>
      </c>
      <c r="C314">
        <f>Raw_Data!C314</f>
        <v/>
      </c>
      <c r="D314">
        <f>Raw_Data!D314</f>
        <v/>
      </c>
      <c r="E314">
        <f>Raw_Data!E314</f>
        <v/>
      </c>
      <c r="F314">
        <f>Raw_Data!F314</f>
        <v/>
      </c>
      <c r="G314">
        <f>Raw_Data!G314</f>
        <v/>
      </c>
      <c r="H314">
        <f>Raw_Data!H314</f>
        <v/>
      </c>
      <c r="I314">
        <f>Raw_Data!I314</f>
        <v/>
      </c>
      <c r="J314" s="12">
        <f>Raw_Data!J314</f>
        <v/>
      </c>
      <c r="K314" s="13">
        <f>Raw_Data!K314</f>
        <v/>
      </c>
      <c r="L314" s="12">
        <f>Raw_Data!L314</f>
        <v/>
      </c>
      <c r="M314" s="12">
        <f>Raw_Data!M314</f>
        <v/>
      </c>
      <c r="N314" s="12">
        <f>Raw_Data!N314</f>
        <v/>
      </c>
      <c r="O314">
        <f>Raw_Data!O314</f>
        <v/>
      </c>
      <c r="P314">
        <f>Raw_Data!P314</f>
        <v/>
      </c>
      <c r="Q314">
        <f>YEAR(B314)</f>
        <v/>
      </c>
      <c r="R314">
        <f>TEXT(B314,"mmm")</f>
        <v/>
      </c>
      <c r="S314" s="15">
        <f>IFERROR(N314/L314,0)</f>
        <v/>
      </c>
    </row>
    <row r="315">
      <c r="A315">
        <f>Raw_Data!A315</f>
        <v/>
      </c>
      <c r="B315" s="11">
        <f>Raw_Data!B315</f>
        <v/>
      </c>
      <c r="C315">
        <f>Raw_Data!C315</f>
        <v/>
      </c>
      <c r="D315">
        <f>Raw_Data!D315</f>
        <v/>
      </c>
      <c r="E315">
        <f>Raw_Data!E315</f>
        <v/>
      </c>
      <c r="F315">
        <f>Raw_Data!F315</f>
        <v/>
      </c>
      <c r="G315">
        <f>Raw_Data!G315</f>
        <v/>
      </c>
      <c r="H315">
        <f>Raw_Data!H315</f>
        <v/>
      </c>
      <c r="I315">
        <f>Raw_Data!I315</f>
        <v/>
      </c>
      <c r="J315" s="12">
        <f>Raw_Data!J315</f>
        <v/>
      </c>
      <c r="K315" s="13">
        <f>Raw_Data!K315</f>
        <v/>
      </c>
      <c r="L315" s="12">
        <f>Raw_Data!L315</f>
        <v/>
      </c>
      <c r="M315" s="12">
        <f>Raw_Data!M315</f>
        <v/>
      </c>
      <c r="N315" s="12">
        <f>Raw_Data!N315</f>
        <v/>
      </c>
      <c r="O315">
        <f>Raw_Data!O315</f>
        <v/>
      </c>
      <c r="P315">
        <f>Raw_Data!P315</f>
        <v/>
      </c>
      <c r="Q315">
        <f>YEAR(B315)</f>
        <v/>
      </c>
      <c r="R315">
        <f>TEXT(B315,"mmm")</f>
        <v/>
      </c>
      <c r="S315" s="15">
        <f>IFERROR(N315/L315,0)</f>
        <v/>
      </c>
    </row>
    <row r="316">
      <c r="A316">
        <f>Raw_Data!A316</f>
        <v/>
      </c>
      <c r="B316" s="11">
        <f>Raw_Data!B316</f>
        <v/>
      </c>
      <c r="C316">
        <f>Raw_Data!C316</f>
        <v/>
      </c>
      <c r="D316">
        <f>Raw_Data!D316</f>
        <v/>
      </c>
      <c r="E316">
        <f>Raw_Data!E316</f>
        <v/>
      </c>
      <c r="F316">
        <f>Raw_Data!F316</f>
        <v/>
      </c>
      <c r="G316">
        <f>Raw_Data!G316</f>
        <v/>
      </c>
      <c r="H316">
        <f>Raw_Data!H316</f>
        <v/>
      </c>
      <c r="I316">
        <f>Raw_Data!I316</f>
        <v/>
      </c>
      <c r="J316" s="12">
        <f>Raw_Data!J316</f>
        <v/>
      </c>
      <c r="K316" s="13">
        <f>Raw_Data!K316</f>
        <v/>
      </c>
      <c r="L316" s="12">
        <f>Raw_Data!L316</f>
        <v/>
      </c>
      <c r="M316" s="12">
        <f>Raw_Data!M316</f>
        <v/>
      </c>
      <c r="N316" s="12">
        <f>Raw_Data!N316</f>
        <v/>
      </c>
      <c r="O316">
        <f>Raw_Data!O316</f>
        <v/>
      </c>
      <c r="P316">
        <f>Raw_Data!P316</f>
        <v/>
      </c>
      <c r="Q316">
        <f>YEAR(B316)</f>
        <v/>
      </c>
      <c r="R316">
        <f>TEXT(B316,"mmm")</f>
        <v/>
      </c>
      <c r="S316" s="15">
        <f>IFERROR(N316/L316,0)</f>
        <v/>
      </c>
    </row>
    <row r="317">
      <c r="A317">
        <f>Raw_Data!A317</f>
        <v/>
      </c>
      <c r="B317" s="11">
        <f>Raw_Data!B317</f>
        <v/>
      </c>
      <c r="C317">
        <f>Raw_Data!C317</f>
        <v/>
      </c>
      <c r="D317">
        <f>Raw_Data!D317</f>
        <v/>
      </c>
      <c r="E317">
        <f>Raw_Data!E317</f>
        <v/>
      </c>
      <c r="F317">
        <f>Raw_Data!F317</f>
        <v/>
      </c>
      <c r="G317">
        <f>Raw_Data!G317</f>
        <v/>
      </c>
      <c r="H317">
        <f>Raw_Data!H317</f>
        <v/>
      </c>
      <c r="I317">
        <f>Raw_Data!I317</f>
        <v/>
      </c>
      <c r="J317" s="12">
        <f>Raw_Data!J317</f>
        <v/>
      </c>
      <c r="K317" s="13">
        <f>Raw_Data!K317</f>
        <v/>
      </c>
      <c r="L317" s="12">
        <f>Raw_Data!L317</f>
        <v/>
      </c>
      <c r="M317" s="12">
        <f>Raw_Data!M317</f>
        <v/>
      </c>
      <c r="N317" s="12">
        <f>Raw_Data!N317</f>
        <v/>
      </c>
      <c r="O317">
        <f>Raw_Data!O317</f>
        <v/>
      </c>
      <c r="P317">
        <f>Raw_Data!P317</f>
        <v/>
      </c>
      <c r="Q317">
        <f>YEAR(B317)</f>
        <v/>
      </c>
      <c r="R317">
        <f>TEXT(B317,"mmm")</f>
        <v/>
      </c>
      <c r="S317" s="15">
        <f>IFERROR(N317/L317,0)</f>
        <v/>
      </c>
    </row>
    <row r="318">
      <c r="A318">
        <f>Raw_Data!A318</f>
        <v/>
      </c>
      <c r="B318" s="11">
        <f>Raw_Data!B318</f>
        <v/>
      </c>
      <c r="C318">
        <f>Raw_Data!C318</f>
        <v/>
      </c>
      <c r="D318">
        <f>Raw_Data!D318</f>
        <v/>
      </c>
      <c r="E318">
        <f>Raw_Data!E318</f>
        <v/>
      </c>
      <c r="F318">
        <f>Raw_Data!F318</f>
        <v/>
      </c>
      <c r="G318">
        <f>Raw_Data!G318</f>
        <v/>
      </c>
      <c r="H318">
        <f>Raw_Data!H318</f>
        <v/>
      </c>
      <c r="I318">
        <f>Raw_Data!I318</f>
        <v/>
      </c>
      <c r="J318" s="12">
        <f>Raw_Data!J318</f>
        <v/>
      </c>
      <c r="K318" s="13">
        <f>Raw_Data!K318</f>
        <v/>
      </c>
      <c r="L318" s="12">
        <f>Raw_Data!L318</f>
        <v/>
      </c>
      <c r="M318" s="12">
        <f>Raw_Data!M318</f>
        <v/>
      </c>
      <c r="N318" s="12">
        <f>Raw_Data!N318</f>
        <v/>
      </c>
      <c r="O318">
        <f>Raw_Data!O318</f>
        <v/>
      </c>
      <c r="P318">
        <f>Raw_Data!P318</f>
        <v/>
      </c>
      <c r="Q318">
        <f>YEAR(B318)</f>
        <v/>
      </c>
      <c r="R318">
        <f>TEXT(B318,"mmm")</f>
        <v/>
      </c>
      <c r="S318" s="15">
        <f>IFERROR(N318/L318,0)</f>
        <v/>
      </c>
    </row>
    <row r="319">
      <c r="A319">
        <f>Raw_Data!A319</f>
        <v/>
      </c>
      <c r="B319" s="11">
        <f>Raw_Data!B319</f>
        <v/>
      </c>
      <c r="C319">
        <f>Raw_Data!C319</f>
        <v/>
      </c>
      <c r="D319">
        <f>Raw_Data!D319</f>
        <v/>
      </c>
      <c r="E319">
        <f>Raw_Data!E319</f>
        <v/>
      </c>
      <c r="F319">
        <f>Raw_Data!F319</f>
        <v/>
      </c>
      <c r="G319">
        <f>Raw_Data!G319</f>
        <v/>
      </c>
      <c r="H319">
        <f>Raw_Data!H319</f>
        <v/>
      </c>
      <c r="I319">
        <f>Raw_Data!I319</f>
        <v/>
      </c>
      <c r="J319" s="12">
        <f>Raw_Data!J319</f>
        <v/>
      </c>
      <c r="K319" s="13">
        <f>Raw_Data!K319</f>
        <v/>
      </c>
      <c r="L319" s="12">
        <f>Raw_Data!L319</f>
        <v/>
      </c>
      <c r="M319" s="12">
        <f>Raw_Data!M319</f>
        <v/>
      </c>
      <c r="N319" s="12">
        <f>Raw_Data!N319</f>
        <v/>
      </c>
      <c r="O319">
        <f>Raw_Data!O319</f>
        <v/>
      </c>
      <c r="P319">
        <f>Raw_Data!P319</f>
        <v/>
      </c>
      <c r="Q319">
        <f>YEAR(B319)</f>
        <v/>
      </c>
      <c r="R319">
        <f>TEXT(B319,"mmm")</f>
        <v/>
      </c>
      <c r="S319" s="15">
        <f>IFERROR(N319/L319,0)</f>
        <v/>
      </c>
    </row>
    <row r="320">
      <c r="A320">
        <f>Raw_Data!A320</f>
        <v/>
      </c>
      <c r="B320" s="11">
        <f>Raw_Data!B320</f>
        <v/>
      </c>
      <c r="C320">
        <f>Raw_Data!C320</f>
        <v/>
      </c>
      <c r="D320">
        <f>Raw_Data!D320</f>
        <v/>
      </c>
      <c r="E320">
        <f>Raw_Data!E320</f>
        <v/>
      </c>
      <c r="F320">
        <f>Raw_Data!F320</f>
        <v/>
      </c>
      <c r="G320">
        <f>Raw_Data!G320</f>
        <v/>
      </c>
      <c r="H320">
        <f>Raw_Data!H320</f>
        <v/>
      </c>
      <c r="I320">
        <f>Raw_Data!I320</f>
        <v/>
      </c>
      <c r="J320" s="12">
        <f>Raw_Data!J320</f>
        <v/>
      </c>
      <c r="K320" s="13">
        <f>Raw_Data!K320</f>
        <v/>
      </c>
      <c r="L320" s="12">
        <f>Raw_Data!L320</f>
        <v/>
      </c>
      <c r="M320" s="12">
        <f>Raw_Data!M320</f>
        <v/>
      </c>
      <c r="N320" s="12">
        <f>Raw_Data!N320</f>
        <v/>
      </c>
      <c r="O320">
        <f>Raw_Data!O320</f>
        <v/>
      </c>
      <c r="P320">
        <f>Raw_Data!P320</f>
        <v/>
      </c>
      <c r="Q320">
        <f>YEAR(B320)</f>
        <v/>
      </c>
      <c r="R320">
        <f>TEXT(B320,"mmm")</f>
        <v/>
      </c>
      <c r="S320" s="15">
        <f>IFERROR(N320/L320,0)</f>
        <v/>
      </c>
    </row>
    <row r="321">
      <c r="A321">
        <f>Raw_Data!A321</f>
        <v/>
      </c>
      <c r="B321" s="11">
        <f>Raw_Data!B321</f>
        <v/>
      </c>
      <c r="C321">
        <f>Raw_Data!C321</f>
        <v/>
      </c>
      <c r="D321">
        <f>Raw_Data!D321</f>
        <v/>
      </c>
      <c r="E321">
        <f>Raw_Data!E321</f>
        <v/>
      </c>
      <c r="F321">
        <f>Raw_Data!F321</f>
        <v/>
      </c>
      <c r="G321">
        <f>Raw_Data!G321</f>
        <v/>
      </c>
      <c r="H321">
        <f>Raw_Data!H321</f>
        <v/>
      </c>
      <c r="I321">
        <f>Raw_Data!I321</f>
        <v/>
      </c>
      <c r="J321" s="12">
        <f>Raw_Data!J321</f>
        <v/>
      </c>
      <c r="K321" s="13">
        <f>Raw_Data!K321</f>
        <v/>
      </c>
      <c r="L321" s="12">
        <f>Raw_Data!L321</f>
        <v/>
      </c>
      <c r="M321" s="12">
        <f>Raw_Data!M321</f>
        <v/>
      </c>
      <c r="N321" s="12">
        <f>Raw_Data!N321</f>
        <v/>
      </c>
      <c r="O321">
        <f>Raw_Data!O321</f>
        <v/>
      </c>
      <c r="P321">
        <f>Raw_Data!P321</f>
        <v/>
      </c>
      <c r="Q321">
        <f>YEAR(B321)</f>
        <v/>
      </c>
      <c r="R321">
        <f>TEXT(B321,"mmm")</f>
        <v/>
      </c>
      <c r="S321" s="15">
        <f>IFERROR(N321/L321,0)</f>
        <v/>
      </c>
    </row>
    <row r="322">
      <c r="A322">
        <f>Raw_Data!A322</f>
        <v/>
      </c>
      <c r="B322" s="11">
        <f>Raw_Data!B322</f>
        <v/>
      </c>
      <c r="C322">
        <f>Raw_Data!C322</f>
        <v/>
      </c>
      <c r="D322">
        <f>Raw_Data!D322</f>
        <v/>
      </c>
      <c r="E322">
        <f>Raw_Data!E322</f>
        <v/>
      </c>
      <c r="F322">
        <f>Raw_Data!F322</f>
        <v/>
      </c>
      <c r="G322">
        <f>Raw_Data!G322</f>
        <v/>
      </c>
      <c r="H322">
        <f>Raw_Data!H322</f>
        <v/>
      </c>
      <c r="I322">
        <f>Raw_Data!I322</f>
        <v/>
      </c>
      <c r="J322" s="12">
        <f>Raw_Data!J322</f>
        <v/>
      </c>
      <c r="K322" s="13">
        <f>Raw_Data!K322</f>
        <v/>
      </c>
      <c r="L322" s="12">
        <f>Raw_Data!L322</f>
        <v/>
      </c>
      <c r="M322" s="12">
        <f>Raw_Data!M322</f>
        <v/>
      </c>
      <c r="N322" s="12">
        <f>Raw_Data!N322</f>
        <v/>
      </c>
      <c r="O322">
        <f>Raw_Data!O322</f>
        <v/>
      </c>
      <c r="P322">
        <f>Raw_Data!P322</f>
        <v/>
      </c>
      <c r="Q322">
        <f>YEAR(B322)</f>
        <v/>
      </c>
      <c r="R322">
        <f>TEXT(B322,"mmm")</f>
        <v/>
      </c>
      <c r="S322" s="15">
        <f>IFERROR(N322/L322,0)</f>
        <v/>
      </c>
    </row>
    <row r="323">
      <c r="A323">
        <f>Raw_Data!A323</f>
        <v/>
      </c>
      <c r="B323" s="11">
        <f>Raw_Data!B323</f>
        <v/>
      </c>
      <c r="C323">
        <f>Raw_Data!C323</f>
        <v/>
      </c>
      <c r="D323">
        <f>Raw_Data!D323</f>
        <v/>
      </c>
      <c r="E323">
        <f>Raw_Data!E323</f>
        <v/>
      </c>
      <c r="F323">
        <f>Raw_Data!F323</f>
        <v/>
      </c>
      <c r="G323">
        <f>Raw_Data!G323</f>
        <v/>
      </c>
      <c r="H323">
        <f>Raw_Data!H323</f>
        <v/>
      </c>
      <c r="I323">
        <f>Raw_Data!I323</f>
        <v/>
      </c>
      <c r="J323" s="12">
        <f>Raw_Data!J323</f>
        <v/>
      </c>
      <c r="K323" s="13">
        <f>Raw_Data!K323</f>
        <v/>
      </c>
      <c r="L323" s="12">
        <f>Raw_Data!L323</f>
        <v/>
      </c>
      <c r="M323" s="12">
        <f>Raw_Data!M323</f>
        <v/>
      </c>
      <c r="N323" s="12">
        <f>Raw_Data!N323</f>
        <v/>
      </c>
      <c r="O323">
        <f>Raw_Data!O323</f>
        <v/>
      </c>
      <c r="P323">
        <f>Raw_Data!P323</f>
        <v/>
      </c>
      <c r="Q323">
        <f>YEAR(B323)</f>
        <v/>
      </c>
      <c r="R323">
        <f>TEXT(B323,"mmm")</f>
        <v/>
      </c>
      <c r="S323" s="15">
        <f>IFERROR(N323/L323,0)</f>
        <v/>
      </c>
    </row>
    <row r="324">
      <c r="A324">
        <f>Raw_Data!A324</f>
        <v/>
      </c>
      <c r="B324" s="11">
        <f>Raw_Data!B324</f>
        <v/>
      </c>
      <c r="C324">
        <f>Raw_Data!C324</f>
        <v/>
      </c>
      <c r="D324">
        <f>Raw_Data!D324</f>
        <v/>
      </c>
      <c r="E324">
        <f>Raw_Data!E324</f>
        <v/>
      </c>
      <c r="F324">
        <f>Raw_Data!F324</f>
        <v/>
      </c>
      <c r="G324">
        <f>Raw_Data!G324</f>
        <v/>
      </c>
      <c r="H324">
        <f>Raw_Data!H324</f>
        <v/>
      </c>
      <c r="I324">
        <f>Raw_Data!I324</f>
        <v/>
      </c>
      <c r="J324" s="12">
        <f>Raw_Data!J324</f>
        <v/>
      </c>
      <c r="K324" s="13">
        <f>Raw_Data!K324</f>
        <v/>
      </c>
      <c r="L324" s="12">
        <f>Raw_Data!L324</f>
        <v/>
      </c>
      <c r="M324" s="12">
        <f>Raw_Data!M324</f>
        <v/>
      </c>
      <c r="N324" s="12">
        <f>Raw_Data!N324</f>
        <v/>
      </c>
      <c r="O324">
        <f>Raw_Data!O324</f>
        <v/>
      </c>
      <c r="P324">
        <f>Raw_Data!P324</f>
        <v/>
      </c>
      <c r="Q324">
        <f>YEAR(B324)</f>
        <v/>
      </c>
      <c r="R324">
        <f>TEXT(B324,"mmm")</f>
        <v/>
      </c>
      <c r="S324" s="15">
        <f>IFERROR(N324/L324,0)</f>
        <v/>
      </c>
    </row>
    <row r="325">
      <c r="A325">
        <f>Raw_Data!A325</f>
        <v/>
      </c>
      <c r="B325" s="11">
        <f>Raw_Data!B325</f>
        <v/>
      </c>
      <c r="C325">
        <f>Raw_Data!C325</f>
        <v/>
      </c>
      <c r="D325">
        <f>Raw_Data!D325</f>
        <v/>
      </c>
      <c r="E325">
        <f>Raw_Data!E325</f>
        <v/>
      </c>
      <c r="F325">
        <f>Raw_Data!F325</f>
        <v/>
      </c>
      <c r="G325">
        <f>Raw_Data!G325</f>
        <v/>
      </c>
      <c r="H325">
        <f>Raw_Data!H325</f>
        <v/>
      </c>
      <c r="I325">
        <f>Raw_Data!I325</f>
        <v/>
      </c>
      <c r="J325" s="12">
        <f>Raw_Data!J325</f>
        <v/>
      </c>
      <c r="K325" s="13">
        <f>Raw_Data!K325</f>
        <v/>
      </c>
      <c r="L325" s="12">
        <f>Raw_Data!L325</f>
        <v/>
      </c>
      <c r="M325" s="12">
        <f>Raw_Data!M325</f>
        <v/>
      </c>
      <c r="N325" s="12">
        <f>Raw_Data!N325</f>
        <v/>
      </c>
      <c r="O325">
        <f>Raw_Data!O325</f>
        <v/>
      </c>
      <c r="P325">
        <f>Raw_Data!P325</f>
        <v/>
      </c>
      <c r="Q325">
        <f>YEAR(B325)</f>
        <v/>
      </c>
      <c r="R325">
        <f>TEXT(B325,"mmm")</f>
        <v/>
      </c>
      <c r="S325" s="15">
        <f>IFERROR(N325/L325,0)</f>
        <v/>
      </c>
    </row>
    <row r="326">
      <c r="A326">
        <f>Raw_Data!A326</f>
        <v/>
      </c>
      <c r="B326" s="11">
        <f>Raw_Data!B326</f>
        <v/>
      </c>
      <c r="C326">
        <f>Raw_Data!C326</f>
        <v/>
      </c>
      <c r="D326">
        <f>Raw_Data!D326</f>
        <v/>
      </c>
      <c r="E326">
        <f>Raw_Data!E326</f>
        <v/>
      </c>
      <c r="F326">
        <f>Raw_Data!F326</f>
        <v/>
      </c>
      <c r="G326">
        <f>Raw_Data!G326</f>
        <v/>
      </c>
      <c r="H326">
        <f>Raw_Data!H326</f>
        <v/>
      </c>
      <c r="I326">
        <f>Raw_Data!I326</f>
        <v/>
      </c>
      <c r="J326" s="12">
        <f>Raw_Data!J326</f>
        <v/>
      </c>
      <c r="K326" s="13">
        <f>Raw_Data!K326</f>
        <v/>
      </c>
      <c r="L326" s="12">
        <f>Raw_Data!L326</f>
        <v/>
      </c>
      <c r="M326" s="12">
        <f>Raw_Data!M326</f>
        <v/>
      </c>
      <c r="N326" s="12">
        <f>Raw_Data!N326</f>
        <v/>
      </c>
      <c r="O326">
        <f>Raw_Data!O326</f>
        <v/>
      </c>
      <c r="P326">
        <f>Raw_Data!P326</f>
        <v/>
      </c>
      <c r="Q326">
        <f>YEAR(B326)</f>
        <v/>
      </c>
      <c r="R326">
        <f>TEXT(B326,"mmm")</f>
        <v/>
      </c>
      <c r="S326" s="15">
        <f>IFERROR(N326/L326,0)</f>
        <v/>
      </c>
    </row>
    <row r="327">
      <c r="A327">
        <f>Raw_Data!A327</f>
        <v/>
      </c>
      <c r="B327" s="11">
        <f>Raw_Data!B327</f>
        <v/>
      </c>
      <c r="C327">
        <f>Raw_Data!C327</f>
        <v/>
      </c>
      <c r="D327">
        <f>Raw_Data!D327</f>
        <v/>
      </c>
      <c r="E327">
        <f>Raw_Data!E327</f>
        <v/>
      </c>
      <c r="F327">
        <f>Raw_Data!F327</f>
        <v/>
      </c>
      <c r="G327">
        <f>Raw_Data!G327</f>
        <v/>
      </c>
      <c r="H327">
        <f>Raw_Data!H327</f>
        <v/>
      </c>
      <c r="I327">
        <f>Raw_Data!I327</f>
        <v/>
      </c>
      <c r="J327" s="12">
        <f>Raw_Data!J327</f>
        <v/>
      </c>
      <c r="K327" s="13">
        <f>Raw_Data!K327</f>
        <v/>
      </c>
      <c r="L327" s="12">
        <f>Raw_Data!L327</f>
        <v/>
      </c>
      <c r="M327" s="12">
        <f>Raw_Data!M327</f>
        <v/>
      </c>
      <c r="N327" s="12">
        <f>Raw_Data!N327</f>
        <v/>
      </c>
      <c r="O327">
        <f>Raw_Data!O327</f>
        <v/>
      </c>
      <c r="P327">
        <f>Raw_Data!P327</f>
        <v/>
      </c>
      <c r="Q327">
        <f>YEAR(B327)</f>
        <v/>
      </c>
      <c r="R327">
        <f>TEXT(B327,"mmm")</f>
        <v/>
      </c>
      <c r="S327" s="15">
        <f>IFERROR(N327/L327,0)</f>
        <v/>
      </c>
    </row>
    <row r="328">
      <c r="A328">
        <f>Raw_Data!A328</f>
        <v/>
      </c>
      <c r="B328" s="11">
        <f>Raw_Data!B328</f>
        <v/>
      </c>
      <c r="C328">
        <f>Raw_Data!C328</f>
        <v/>
      </c>
      <c r="D328">
        <f>Raw_Data!D328</f>
        <v/>
      </c>
      <c r="E328">
        <f>Raw_Data!E328</f>
        <v/>
      </c>
      <c r="F328">
        <f>Raw_Data!F328</f>
        <v/>
      </c>
      <c r="G328">
        <f>Raw_Data!G328</f>
        <v/>
      </c>
      <c r="H328">
        <f>Raw_Data!H328</f>
        <v/>
      </c>
      <c r="I328">
        <f>Raw_Data!I328</f>
        <v/>
      </c>
      <c r="J328" s="12">
        <f>Raw_Data!J328</f>
        <v/>
      </c>
      <c r="K328" s="13">
        <f>Raw_Data!K328</f>
        <v/>
      </c>
      <c r="L328" s="12">
        <f>Raw_Data!L328</f>
        <v/>
      </c>
      <c r="M328" s="12">
        <f>Raw_Data!M328</f>
        <v/>
      </c>
      <c r="N328" s="12">
        <f>Raw_Data!N328</f>
        <v/>
      </c>
      <c r="O328">
        <f>Raw_Data!O328</f>
        <v/>
      </c>
      <c r="P328">
        <f>Raw_Data!P328</f>
        <v/>
      </c>
      <c r="Q328">
        <f>YEAR(B328)</f>
        <v/>
      </c>
      <c r="R328">
        <f>TEXT(B328,"mmm")</f>
        <v/>
      </c>
      <c r="S328" s="15">
        <f>IFERROR(N328/L328,0)</f>
        <v/>
      </c>
    </row>
    <row r="329">
      <c r="A329">
        <f>Raw_Data!A329</f>
        <v/>
      </c>
      <c r="B329" s="11">
        <f>Raw_Data!B329</f>
        <v/>
      </c>
      <c r="C329">
        <f>Raw_Data!C329</f>
        <v/>
      </c>
      <c r="D329">
        <f>Raw_Data!D329</f>
        <v/>
      </c>
      <c r="E329">
        <f>Raw_Data!E329</f>
        <v/>
      </c>
      <c r="F329">
        <f>Raw_Data!F329</f>
        <v/>
      </c>
      <c r="G329">
        <f>Raw_Data!G329</f>
        <v/>
      </c>
      <c r="H329">
        <f>Raw_Data!H329</f>
        <v/>
      </c>
      <c r="I329">
        <f>Raw_Data!I329</f>
        <v/>
      </c>
      <c r="J329" s="12">
        <f>Raw_Data!J329</f>
        <v/>
      </c>
      <c r="K329" s="13">
        <f>Raw_Data!K329</f>
        <v/>
      </c>
      <c r="L329" s="12">
        <f>Raw_Data!L329</f>
        <v/>
      </c>
      <c r="M329" s="12">
        <f>Raw_Data!M329</f>
        <v/>
      </c>
      <c r="N329" s="12">
        <f>Raw_Data!N329</f>
        <v/>
      </c>
      <c r="O329">
        <f>Raw_Data!O329</f>
        <v/>
      </c>
      <c r="P329">
        <f>Raw_Data!P329</f>
        <v/>
      </c>
      <c r="Q329">
        <f>YEAR(B329)</f>
        <v/>
      </c>
      <c r="R329">
        <f>TEXT(B329,"mmm")</f>
        <v/>
      </c>
      <c r="S329" s="15">
        <f>IFERROR(N329/L329,0)</f>
        <v/>
      </c>
    </row>
    <row r="330">
      <c r="A330">
        <f>Raw_Data!A330</f>
        <v/>
      </c>
      <c r="B330" s="11">
        <f>Raw_Data!B330</f>
        <v/>
      </c>
      <c r="C330">
        <f>Raw_Data!C330</f>
        <v/>
      </c>
      <c r="D330">
        <f>Raw_Data!D330</f>
        <v/>
      </c>
      <c r="E330">
        <f>Raw_Data!E330</f>
        <v/>
      </c>
      <c r="F330">
        <f>Raw_Data!F330</f>
        <v/>
      </c>
      <c r="G330">
        <f>Raw_Data!G330</f>
        <v/>
      </c>
      <c r="H330">
        <f>Raw_Data!H330</f>
        <v/>
      </c>
      <c r="I330">
        <f>Raw_Data!I330</f>
        <v/>
      </c>
      <c r="J330" s="12">
        <f>Raw_Data!J330</f>
        <v/>
      </c>
      <c r="K330" s="13">
        <f>Raw_Data!K330</f>
        <v/>
      </c>
      <c r="L330" s="12">
        <f>Raw_Data!L330</f>
        <v/>
      </c>
      <c r="M330" s="12">
        <f>Raw_Data!M330</f>
        <v/>
      </c>
      <c r="N330" s="12">
        <f>Raw_Data!N330</f>
        <v/>
      </c>
      <c r="O330">
        <f>Raw_Data!O330</f>
        <v/>
      </c>
      <c r="P330">
        <f>Raw_Data!P330</f>
        <v/>
      </c>
      <c r="Q330">
        <f>YEAR(B330)</f>
        <v/>
      </c>
      <c r="R330">
        <f>TEXT(B330,"mmm")</f>
        <v/>
      </c>
      <c r="S330" s="15">
        <f>IFERROR(N330/L330,0)</f>
        <v/>
      </c>
    </row>
    <row r="331">
      <c r="A331">
        <f>Raw_Data!A331</f>
        <v/>
      </c>
      <c r="B331" s="11">
        <f>Raw_Data!B331</f>
        <v/>
      </c>
      <c r="C331">
        <f>Raw_Data!C331</f>
        <v/>
      </c>
      <c r="D331">
        <f>Raw_Data!D331</f>
        <v/>
      </c>
      <c r="E331">
        <f>Raw_Data!E331</f>
        <v/>
      </c>
      <c r="F331">
        <f>Raw_Data!F331</f>
        <v/>
      </c>
      <c r="G331">
        <f>Raw_Data!G331</f>
        <v/>
      </c>
      <c r="H331">
        <f>Raw_Data!H331</f>
        <v/>
      </c>
      <c r="I331">
        <f>Raw_Data!I331</f>
        <v/>
      </c>
      <c r="J331" s="12">
        <f>Raw_Data!J331</f>
        <v/>
      </c>
      <c r="K331" s="13">
        <f>Raw_Data!K331</f>
        <v/>
      </c>
      <c r="L331" s="12">
        <f>Raw_Data!L331</f>
        <v/>
      </c>
      <c r="M331" s="12">
        <f>Raw_Data!M331</f>
        <v/>
      </c>
      <c r="N331" s="12">
        <f>Raw_Data!N331</f>
        <v/>
      </c>
      <c r="O331">
        <f>Raw_Data!O331</f>
        <v/>
      </c>
      <c r="P331">
        <f>Raw_Data!P331</f>
        <v/>
      </c>
      <c r="Q331">
        <f>YEAR(B331)</f>
        <v/>
      </c>
      <c r="R331">
        <f>TEXT(B331,"mmm")</f>
        <v/>
      </c>
      <c r="S331" s="15">
        <f>IFERROR(N331/L331,0)</f>
        <v/>
      </c>
    </row>
    <row r="332">
      <c r="A332">
        <f>Raw_Data!A332</f>
        <v/>
      </c>
      <c r="B332" s="11">
        <f>Raw_Data!B332</f>
        <v/>
      </c>
      <c r="C332">
        <f>Raw_Data!C332</f>
        <v/>
      </c>
      <c r="D332">
        <f>Raw_Data!D332</f>
        <v/>
      </c>
      <c r="E332">
        <f>Raw_Data!E332</f>
        <v/>
      </c>
      <c r="F332">
        <f>Raw_Data!F332</f>
        <v/>
      </c>
      <c r="G332">
        <f>Raw_Data!G332</f>
        <v/>
      </c>
      <c r="H332">
        <f>Raw_Data!H332</f>
        <v/>
      </c>
      <c r="I332">
        <f>Raw_Data!I332</f>
        <v/>
      </c>
      <c r="J332" s="12">
        <f>Raw_Data!J332</f>
        <v/>
      </c>
      <c r="K332" s="13">
        <f>Raw_Data!K332</f>
        <v/>
      </c>
      <c r="L332" s="12">
        <f>Raw_Data!L332</f>
        <v/>
      </c>
      <c r="M332" s="12">
        <f>Raw_Data!M332</f>
        <v/>
      </c>
      <c r="N332" s="12">
        <f>Raw_Data!N332</f>
        <v/>
      </c>
      <c r="O332">
        <f>Raw_Data!O332</f>
        <v/>
      </c>
      <c r="P332">
        <f>Raw_Data!P332</f>
        <v/>
      </c>
      <c r="Q332">
        <f>YEAR(B332)</f>
        <v/>
      </c>
      <c r="R332">
        <f>TEXT(B332,"mmm")</f>
        <v/>
      </c>
      <c r="S332" s="15">
        <f>IFERROR(N332/L332,0)</f>
        <v/>
      </c>
    </row>
    <row r="333">
      <c r="A333">
        <f>Raw_Data!A333</f>
        <v/>
      </c>
      <c r="B333" s="11">
        <f>Raw_Data!B333</f>
        <v/>
      </c>
      <c r="C333">
        <f>Raw_Data!C333</f>
        <v/>
      </c>
      <c r="D333">
        <f>Raw_Data!D333</f>
        <v/>
      </c>
      <c r="E333">
        <f>Raw_Data!E333</f>
        <v/>
      </c>
      <c r="F333">
        <f>Raw_Data!F333</f>
        <v/>
      </c>
      <c r="G333">
        <f>Raw_Data!G333</f>
        <v/>
      </c>
      <c r="H333">
        <f>Raw_Data!H333</f>
        <v/>
      </c>
      <c r="I333">
        <f>Raw_Data!I333</f>
        <v/>
      </c>
      <c r="J333" s="12">
        <f>Raw_Data!J333</f>
        <v/>
      </c>
      <c r="K333" s="13">
        <f>Raw_Data!K333</f>
        <v/>
      </c>
      <c r="L333" s="12">
        <f>Raw_Data!L333</f>
        <v/>
      </c>
      <c r="M333" s="12">
        <f>Raw_Data!M333</f>
        <v/>
      </c>
      <c r="N333" s="12">
        <f>Raw_Data!N333</f>
        <v/>
      </c>
      <c r="O333">
        <f>Raw_Data!O333</f>
        <v/>
      </c>
      <c r="P333">
        <f>Raw_Data!P333</f>
        <v/>
      </c>
      <c r="Q333">
        <f>YEAR(B333)</f>
        <v/>
      </c>
      <c r="R333">
        <f>TEXT(B333,"mmm")</f>
        <v/>
      </c>
      <c r="S333" s="15">
        <f>IFERROR(N333/L333,0)</f>
        <v/>
      </c>
    </row>
    <row r="334">
      <c r="A334">
        <f>Raw_Data!A334</f>
        <v/>
      </c>
      <c r="B334" s="11">
        <f>Raw_Data!B334</f>
        <v/>
      </c>
      <c r="C334">
        <f>Raw_Data!C334</f>
        <v/>
      </c>
      <c r="D334">
        <f>Raw_Data!D334</f>
        <v/>
      </c>
      <c r="E334">
        <f>Raw_Data!E334</f>
        <v/>
      </c>
      <c r="F334">
        <f>Raw_Data!F334</f>
        <v/>
      </c>
      <c r="G334">
        <f>Raw_Data!G334</f>
        <v/>
      </c>
      <c r="H334">
        <f>Raw_Data!H334</f>
        <v/>
      </c>
      <c r="I334">
        <f>Raw_Data!I334</f>
        <v/>
      </c>
      <c r="J334" s="12">
        <f>Raw_Data!J334</f>
        <v/>
      </c>
      <c r="K334" s="13">
        <f>Raw_Data!K334</f>
        <v/>
      </c>
      <c r="L334" s="12">
        <f>Raw_Data!L334</f>
        <v/>
      </c>
      <c r="M334" s="12">
        <f>Raw_Data!M334</f>
        <v/>
      </c>
      <c r="N334" s="12">
        <f>Raw_Data!N334</f>
        <v/>
      </c>
      <c r="O334">
        <f>Raw_Data!O334</f>
        <v/>
      </c>
      <c r="P334">
        <f>Raw_Data!P334</f>
        <v/>
      </c>
      <c r="Q334">
        <f>YEAR(B334)</f>
        <v/>
      </c>
      <c r="R334">
        <f>TEXT(B334,"mmm")</f>
        <v/>
      </c>
      <c r="S334" s="15">
        <f>IFERROR(N334/L334,0)</f>
        <v/>
      </c>
    </row>
    <row r="335">
      <c r="A335">
        <f>Raw_Data!A335</f>
        <v/>
      </c>
      <c r="B335" s="11">
        <f>Raw_Data!B335</f>
        <v/>
      </c>
      <c r="C335">
        <f>Raw_Data!C335</f>
        <v/>
      </c>
      <c r="D335">
        <f>Raw_Data!D335</f>
        <v/>
      </c>
      <c r="E335">
        <f>Raw_Data!E335</f>
        <v/>
      </c>
      <c r="F335">
        <f>Raw_Data!F335</f>
        <v/>
      </c>
      <c r="G335">
        <f>Raw_Data!G335</f>
        <v/>
      </c>
      <c r="H335">
        <f>Raw_Data!H335</f>
        <v/>
      </c>
      <c r="I335">
        <f>Raw_Data!I335</f>
        <v/>
      </c>
      <c r="J335" s="12">
        <f>Raw_Data!J335</f>
        <v/>
      </c>
      <c r="K335" s="13">
        <f>Raw_Data!K335</f>
        <v/>
      </c>
      <c r="L335" s="12">
        <f>Raw_Data!L335</f>
        <v/>
      </c>
      <c r="M335" s="12">
        <f>Raw_Data!M335</f>
        <v/>
      </c>
      <c r="N335" s="12">
        <f>Raw_Data!N335</f>
        <v/>
      </c>
      <c r="O335">
        <f>Raw_Data!O335</f>
        <v/>
      </c>
      <c r="P335">
        <f>Raw_Data!P335</f>
        <v/>
      </c>
      <c r="Q335">
        <f>YEAR(B335)</f>
        <v/>
      </c>
      <c r="R335">
        <f>TEXT(B335,"mmm")</f>
        <v/>
      </c>
      <c r="S335" s="15">
        <f>IFERROR(N335/L335,0)</f>
        <v/>
      </c>
    </row>
    <row r="336">
      <c r="A336">
        <f>Raw_Data!A336</f>
        <v/>
      </c>
      <c r="B336" s="11">
        <f>Raw_Data!B336</f>
        <v/>
      </c>
      <c r="C336">
        <f>Raw_Data!C336</f>
        <v/>
      </c>
      <c r="D336">
        <f>Raw_Data!D336</f>
        <v/>
      </c>
      <c r="E336">
        <f>Raw_Data!E336</f>
        <v/>
      </c>
      <c r="F336">
        <f>Raw_Data!F336</f>
        <v/>
      </c>
      <c r="G336">
        <f>Raw_Data!G336</f>
        <v/>
      </c>
      <c r="H336">
        <f>Raw_Data!H336</f>
        <v/>
      </c>
      <c r="I336">
        <f>Raw_Data!I336</f>
        <v/>
      </c>
      <c r="J336" s="12">
        <f>Raw_Data!J336</f>
        <v/>
      </c>
      <c r="K336" s="13">
        <f>Raw_Data!K336</f>
        <v/>
      </c>
      <c r="L336" s="12">
        <f>Raw_Data!L336</f>
        <v/>
      </c>
      <c r="M336" s="12">
        <f>Raw_Data!M336</f>
        <v/>
      </c>
      <c r="N336" s="12">
        <f>Raw_Data!N336</f>
        <v/>
      </c>
      <c r="O336">
        <f>Raw_Data!O336</f>
        <v/>
      </c>
      <c r="P336">
        <f>Raw_Data!P336</f>
        <v/>
      </c>
      <c r="Q336">
        <f>YEAR(B336)</f>
        <v/>
      </c>
      <c r="R336">
        <f>TEXT(B336,"mmm")</f>
        <v/>
      </c>
      <c r="S336" s="15">
        <f>IFERROR(N336/L336,0)</f>
        <v/>
      </c>
    </row>
    <row r="337">
      <c r="A337">
        <f>Raw_Data!A337</f>
        <v/>
      </c>
      <c r="B337" s="11">
        <f>Raw_Data!B337</f>
        <v/>
      </c>
      <c r="C337">
        <f>Raw_Data!C337</f>
        <v/>
      </c>
      <c r="D337">
        <f>Raw_Data!D337</f>
        <v/>
      </c>
      <c r="E337">
        <f>Raw_Data!E337</f>
        <v/>
      </c>
      <c r="F337">
        <f>Raw_Data!F337</f>
        <v/>
      </c>
      <c r="G337">
        <f>Raw_Data!G337</f>
        <v/>
      </c>
      <c r="H337">
        <f>Raw_Data!H337</f>
        <v/>
      </c>
      <c r="I337">
        <f>Raw_Data!I337</f>
        <v/>
      </c>
      <c r="J337" s="12">
        <f>Raw_Data!J337</f>
        <v/>
      </c>
      <c r="K337" s="13">
        <f>Raw_Data!K337</f>
        <v/>
      </c>
      <c r="L337" s="12">
        <f>Raw_Data!L337</f>
        <v/>
      </c>
      <c r="M337" s="12">
        <f>Raw_Data!M337</f>
        <v/>
      </c>
      <c r="N337" s="12">
        <f>Raw_Data!N337</f>
        <v/>
      </c>
      <c r="O337">
        <f>Raw_Data!O337</f>
        <v/>
      </c>
      <c r="P337">
        <f>Raw_Data!P337</f>
        <v/>
      </c>
      <c r="Q337">
        <f>YEAR(B337)</f>
        <v/>
      </c>
      <c r="R337">
        <f>TEXT(B337,"mmm")</f>
        <v/>
      </c>
      <c r="S337" s="15">
        <f>IFERROR(N337/L337,0)</f>
        <v/>
      </c>
    </row>
    <row r="338">
      <c r="A338">
        <f>Raw_Data!A338</f>
        <v/>
      </c>
      <c r="B338" s="11">
        <f>Raw_Data!B338</f>
        <v/>
      </c>
      <c r="C338">
        <f>Raw_Data!C338</f>
        <v/>
      </c>
      <c r="D338">
        <f>Raw_Data!D338</f>
        <v/>
      </c>
      <c r="E338">
        <f>Raw_Data!E338</f>
        <v/>
      </c>
      <c r="F338">
        <f>Raw_Data!F338</f>
        <v/>
      </c>
      <c r="G338">
        <f>Raw_Data!G338</f>
        <v/>
      </c>
      <c r="H338">
        <f>Raw_Data!H338</f>
        <v/>
      </c>
      <c r="I338">
        <f>Raw_Data!I338</f>
        <v/>
      </c>
      <c r="J338" s="12">
        <f>Raw_Data!J338</f>
        <v/>
      </c>
      <c r="K338" s="13">
        <f>Raw_Data!K338</f>
        <v/>
      </c>
      <c r="L338" s="12">
        <f>Raw_Data!L338</f>
        <v/>
      </c>
      <c r="M338" s="12">
        <f>Raw_Data!M338</f>
        <v/>
      </c>
      <c r="N338" s="12">
        <f>Raw_Data!N338</f>
        <v/>
      </c>
      <c r="O338">
        <f>Raw_Data!O338</f>
        <v/>
      </c>
      <c r="P338">
        <f>Raw_Data!P338</f>
        <v/>
      </c>
      <c r="Q338">
        <f>YEAR(B338)</f>
        <v/>
      </c>
      <c r="R338">
        <f>TEXT(B338,"mmm")</f>
        <v/>
      </c>
      <c r="S338" s="15">
        <f>IFERROR(N338/L338,0)</f>
        <v/>
      </c>
    </row>
    <row r="339">
      <c r="A339">
        <f>Raw_Data!A339</f>
        <v/>
      </c>
      <c r="B339" s="11">
        <f>Raw_Data!B339</f>
        <v/>
      </c>
      <c r="C339">
        <f>Raw_Data!C339</f>
        <v/>
      </c>
      <c r="D339">
        <f>Raw_Data!D339</f>
        <v/>
      </c>
      <c r="E339">
        <f>Raw_Data!E339</f>
        <v/>
      </c>
      <c r="F339">
        <f>Raw_Data!F339</f>
        <v/>
      </c>
      <c r="G339">
        <f>Raw_Data!G339</f>
        <v/>
      </c>
      <c r="H339">
        <f>Raw_Data!H339</f>
        <v/>
      </c>
      <c r="I339">
        <f>Raw_Data!I339</f>
        <v/>
      </c>
      <c r="J339" s="12">
        <f>Raw_Data!J339</f>
        <v/>
      </c>
      <c r="K339" s="13">
        <f>Raw_Data!K339</f>
        <v/>
      </c>
      <c r="L339" s="12">
        <f>Raw_Data!L339</f>
        <v/>
      </c>
      <c r="M339" s="12">
        <f>Raw_Data!M339</f>
        <v/>
      </c>
      <c r="N339" s="12">
        <f>Raw_Data!N339</f>
        <v/>
      </c>
      <c r="O339">
        <f>Raw_Data!O339</f>
        <v/>
      </c>
      <c r="P339">
        <f>Raw_Data!P339</f>
        <v/>
      </c>
      <c r="Q339">
        <f>YEAR(B339)</f>
        <v/>
      </c>
      <c r="R339">
        <f>TEXT(B339,"mmm")</f>
        <v/>
      </c>
      <c r="S339" s="15">
        <f>IFERROR(N339/L339,0)</f>
        <v/>
      </c>
    </row>
    <row r="340">
      <c r="A340">
        <f>Raw_Data!A340</f>
        <v/>
      </c>
      <c r="B340" s="11">
        <f>Raw_Data!B340</f>
        <v/>
      </c>
      <c r="C340">
        <f>Raw_Data!C340</f>
        <v/>
      </c>
      <c r="D340">
        <f>Raw_Data!D340</f>
        <v/>
      </c>
      <c r="E340">
        <f>Raw_Data!E340</f>
        <v/>
      </c>
      <c r="F340">
        <f>Raw_Data!F340</f>
        <v/>
      </c>
      <c r="G340">
        <f>Raw_Data!G340</f>
        <v/>
      </c>
      <c r="H340">
        <f>Raw_Data!H340</f>
        <v/>
      </c>
      <c r="I340">
        <f>Raw_Data!I340</f>
        <v/>
      </c>
      <c r="J340" s="12">
        <f>Raw_Data!J340</f>
        <v/>
      </c>
      <c r="K340" s="13">
        <f>Raw_Data!K340</f>
        <v/>
      </c>
      <c r="L340" s="12">
        <f>Raw_Data!L340</f>
        <v/>
      </c>
      <c r="M340" s="12">
        <f>Raw_Data!M340</f>
        <v/>
      </c>
      <c r="N340" s="12">
        <f>Raw_Data!N340</f>
        <v/>
      </c>
      <c r="O340">
        <f>Raw_Data!O340</f>
        <v/>
      </c>
      <c r="P340">
        <f>Raw_Data!P340</f>
        <v/>
      </c>
      <c r="Q340">
        <f>YEAR(B340)</f>
        <v/>
      </c>
      <c r="R340">
        <f>TEXT(B340,"mmm")</f>
        <v/>
      </c>
      <c r="S340" s="15">
        <f>IFERROR(N340/L340,0)</f>
        <v/>
      </c>
    </row>
    <row r="341">
      <c r="A341">
        <f>Raw_Data!A341</f>
        <v/>
      </c>
      <c r="B341" s="11">
        <f>Raw_Data!B341</f>
        <v/>
      </c>
      <c r="C341">
        <f>Raw_Data!C341</f>
        <v/>
      </c>
      <c r="D341">
        <f>Raw_Data!D341</f>
        <v/>
      </c>
      <c r="E341">
        <f>Raw_Data!E341</f>
        <v/>
      </c>
      <c r="F341">
        <f>Raw_Data!F341</f>
        <v/>
      </c>
      <c r="G341">
        <f>Raw_Data!G341</f>
        <v/>
      </c>
      <c r="H341">
        <f>Raw_Data!H341</f>
        <v/>
      </c>
      <c r="I341">
        <f>Raw_Data!I341</f>
        <v/>
      </c>
      <c r="J341" s="12">
        <f>Raw_Data!J341</f>
        <v/>
      </c>
      <c r="K341" s="13">
        <f>Raw_Data!K341</f>
        <v/>
      </c>
      <c r="L341" s="12">
        <f>Raw_Data!L341</f>
        <v/>
      </c>
      <c r="M341" s="12">
        <f>Raw_Data!M341</f>
        <v/>
      </c>
      <c r="N341" s="12">
        <f>Raw_Data!N341</f>
        <v/>
      </c>
      <c r="O341">
        <f>Raw_Data!O341</f>
        <v/>
      </c>
      <c r="P341">
        <f>Raw_Data!P341</f>
        <v/>
      </c>
      <c r="Q341">
        <f>YEAR(B341)</f>
        <v/>
      </c>
      <c r="R341">
        <f>TEXT(B341,"mmm")</f>
        <v/>
      </c>
      <c r="S341" s="15">
        <f>IFERROR(N341/L341,0)</f>
        <v/>
      </c>
    </row>
    <row r="342">
      <c r="A342">
        <f>Raw_Data!A342</f>
        <v/>
      </c>
      <c r="B342" s="11">
        <f>Raw_Data!B342</f>
        <v/>
      </c>
      <c r="C342">
        <f>Raw_Data!C342</f>
        <v/>
      </c>
      <c r="D342">
        <f>Raw_Data!D342</f>
        <v/>
      </c>
      <c r="E342">
        <f>Raw_Data!E342</f>
        <v/>
      </c>
      <c r="F342">
        <f>Raw_Data!F342</f>
        <v/>
      </c>
      <c r="G342">
        <f>Raw_Data!G342</f>
        <v/>
      </c>
      <c r="H342">
        <f>Raw_Data!H342</f>
        <v/>
      </c>
      <c r="I342">
        <f>Raw_Data!I342</f>
        <v/>
      </c>
      <c r="J342" s="12">
        <f>Raw_Data!J342</f>
        <v/>
      </c>
      <c r="K342" s="13">
        <f>Raw_Data!K342</f>
        <v/>
      </c>
      <c r="L342" s="12">
        <f>Raw_Data!L342</f>
        <v/>
      </c>
      <c r="M342" s="12">
        <f>Raw_Data!M342</f>
        <v/>
      </c>
      <c r="N342" s="12">
        <f>Raw_Data!N342</f>
        <v/>
      </c>
      <c r="O342">
        <f>Raw_Data!O342</f>
        <v/>
      </c>
      <c r="P342">
        <f>Raw_Data!P342</f>
        <v/>
      </c>
      <c r="Q342">
        <f>YEAR(B342)</f>
        <v/>
      </c>
      <c r="R342">
        <f>TEXT(B342,"mmm")</f>
        <v/>
      </c>
      <c r="S342" s="15">
        <f>IFERROR(N342/L342,0)</f>
        <v/>
      </c>
    </row>
    <row r="343">
      <c r="A343">
        <f>Raw_Data!A343</f>
        <v/>
      </c>
      <c r="B343" s="11">
        <f>Raw_Data!B343</f>
        <v/>
      </c>
      <c r="C343">
        <f>Raw_Data!C343</f>
        <v/>
      </c>
      <c r="D343">
        <f>Raw_Data!D343</f>
        <v/>
      </c>
      <c r="E343">
        <f>Raw_Data!E343</f>
        <v/>
      </c>
      <c r="F343">
        <f>Raw_Data!F343</f>
        <v/>
      </c>
      <c r="G343">
        <f>Raw_Data!G343</f>
        <v/>
      </c>
      <c r="H343">
        <f>Raw_Data!H343</f>
        <v/>
      </c>
      <c r="I343">
        <f>Raw_Data!I343</f>
        <v/>
      </c>
      <c r="J343" s="12">
        <f>Raw_Data!J343</f>
        <v/>
      </c>
      <c r="K343" s="13">
        <f>Raw_Data!K343</f>
        <v/>
      </c>
      <c r="L343" s="12">
        <f>Raw_Data!L343</f>
        <v/>
      </c>
      <c r="M343" s="12">
        <f>Raw_Data!M343</f>
        <v/>
      </c>
      <c r="N343" s="12">
        <f>Raw_Data!N343</f>
        <v/>
      </c>
      <c r="O343">
        <f>Raw_Data!O343</f>
        <v/>
      </c>
      <c r="P343">
        <f>Raw_Data!P343</f>
        <v/>
      </c>
      <c r="Q343">
        <f>YEAR(B343)</f>
        <v/>
      </c>
      <c r="R343">
        <f>TEXT(B343,"mmm")</f>
        <v/>
      </c>
      <c r="S343" s="15">
        <f>IFERROR(N343/L343,0)</f>
        <v/>
      </c>
    </row>
    <row r="344">
      <c r="A344">
        <f>Raw_Data!A344</f>
        <v/>
      </c>
      <c r="B344" s="11">
        <f>Raw_Data!B344</f>
        <v/>
      </c>
      <c r="C344">
        <f>Raw_Data!C344</f>
        <v/>
      </c>
      <c r="D344">
        <f>Raw_Data!D344</f>
        <v/>
      </c>
      <c r="E344">
        <f>Raw_Data!E344</f>
        <v/>
      </c>
      <c r="F344">
        <f>Raw_Data!F344</f>
        <v/>
      </c>
      <c r="G344">
        <f>Raw_Data!G344</f>
        <v/>
      </c>
      <c r="H344">
        <f>Raw_Data!H344</f>
        <v/>
      </c>
      <c r="I344">
        <f>Raw_Data!I344</f>
        <v/>
      </c>
      <c r="J344" s="12">
        <f>Raw_Data!J344</f>
        <v/>
      </c>
      <c r="K344" s="13">
        <f>Raw_Data!K344</f>
        <v/>
      </c>
      <c r="L344" s="12">
        <f>Raw_Data!L344</f>
        <v/>
      </c>
      <c r="M344" s="12">
        <f>Raw_Data!M344</f>
        <v/>
      </c>
      <c r="N344" s="12">
        <f>Raw_Data!N344</f>
        <v/>
      </c>
      <c r="O344">
        <f>Raw_Data!O344</f>
        <v/>
      </c>
      <c r="P344">
        <f>Raw_Data!P344</f>
        <v/>
      </c>
      <c r="Q344">
        <f>YEAR(B344)</f>
        <v/>
      </c>
      <c r="R344">
        <f>TEXT(B344,"mmm")</f>
        <v/>
      </c>
      <c r="S344" s="15">
        <f>IFERROR(N344/L344,0)</f>
        <v/>
      </c>
    </row>
    <row r="345">
      <c r="A345">
        <f>Raw_Data!A345</f>
        <v/>
      </c>
      <c r="B345" s="11">
        <f>Raw_Data!B345</f>
        <v/>
      </c>
      <c r="C345">
        <f>Raw_Data!C345</f>
        <v/>
      </c>
      <c r="D345">
        <f>Raw_Data!D345</f>
        <v/>
      </c>
      <c r="E345">
        <f>Raw_Data!E345</f>
        <v/>
      </c>
      <c r="F345">
        <f>Raw_Data!F345</f>
        <v/>
      </c>
      <c r="G345">
        <f>Raw_Data!G345</f>
        <v/>
      </c>
      <c r="H345">
        <f>Raw_Data!H345</f>
        <v/>
      </c>
      <c r="I345">
        <f>Raw_Data!I345</f>
        <v/>
      </c>
      <c r="J345" s="12">
        <f>Raw_Data!J345</f>
        <v/>
      </c>
      <c r="K345" s="13">
        <f>Raw_Data!K345</f>
        <v/>
      </c>
      <c r="L345" s="12">
        <f>Raw_Data!L345</f>
        <v/>
      </c>
      <c r="M345" s="12">
        <f>Raw_Data!M345</f>
        <v/>
      </c>
      <c r="N345" s="12">
        <f>Raw_Data!N345</f>
        <v/>
      </c>
      <c r="O345">
        <f>Raw_Data!O345</f>
        <v/>
      </c>
      <c r="P345">
        <f>Raw_Data!P345</f>
        <v/>
      </c>
      <c r="Q345">
        <f>YEAR(B345)</f>
        <v/>
      </c>
      <c r="R345">
        <f>TEXT(B345,"mmm")</f>
        <v/>
      </c>
      <c r="S345" s="15">
        <f>IFERROR(N345/L345,0)</f>
        <v/>
      </c>
    </row>
    <row r="346">
      <c r="A346">
        <f>Raw_Data!A346</f>
        <v/>
      </c>
      <c r="B346" s="11">
        <f>Raw_Data!B346</f>
        <v/>
      </c>
      <c r="C346">
        <f>Raw_Data!C346</f>
        <v/>
      </c>
      <c r="D346">
        <f>Raw_Data!D346</f>
        <v/>
      </c>
      <c r="E346">
        <f>Raw_Data!E346</f>
        <v/>
      </c>
      <c r="F346">
        <f>Raw_Data!F346</f>
        <v/>
      </c>
      <c r="G346">
        <f>Raw_Data!G346</f>
        <v/>
      </c>
      <c r="H346">
        <f>Raw_Data!H346</f>
        <v/>
      </c>
      <c r="I346">
        <f>Raw_Data!I346</f>
        <v/>
      </c>
      <c r="J346" s="12">
        <f>Raw_Data!J346</f>
        <v/>
      </c>
      <c r="K346" s="13">
        <f>Raw_Data!K346</f>
        <v/>
      </c>
      <c r="L346" s="12">
        <f>Raw_Data!L346</f>
        <v/>
      </c>
      <c r="M346" s="12">
        <f>Raw_Data!M346</f>
        <v/>
      </c>
      <c r="N346" s="12">
        <f>Raw_Data!N346</f>
        <v/>
      </c>
      <c r="O346">
        <f>Raw_Data!O346</f>
        <v/>
      </c>
      <c r="P346">
        <f>Raw_Data!P346</f>
        <v/>
      </c>
      <c r="Q346">
        <f>YEAR(B346)</f>
        <v/>
      </c>
      <c r="R346">
        <f>TEXT(B346,"mmm")</f>
        <v/>
      </c>
      <c r="S346" s="15">
        <f>IFERROR(N346/L346,0)</f>
        <v/>
      </c>
    </row>
    <row r="347">
      <c r="A347">
        <f>Raw_Data!A347</f>
        <v/>
      </c>
      <c r="B347" s="11">
        <f>Raw_Data!B347</f>
        <v/>
      </c>
      <c r="C347">
        <f>Raw_Data!C347</f>
        <v/>
      </c>
      <c r="D347">
        <f>Raw_Data!D347</f>
        <v/>
      </c>
      <c r="E347">
        <f>Raw_Data!E347</f>
        <v/>
      </c>
      <c r="F347">
        <f>Raw_Data!F347</f>
        <v/>
      </c>
      <c r="G347">
        <f>Raw_Data!G347</f>
        <v/>
      </c>
      <c r="H347">
        <f>Raw_Data!H347</f>
        <v/>
      </c>
      <c r="I347">
        <f>Raw_Data!I347</f>
        <v/>
      </c>
      <c r="J347" s="12">
        <f>Raw_Data!J347</f>
        <v/>
      </c>
      <c r="K347" s="13">
        <f>Raw_Data!K347</f>
        <v/>
      </c>
      <c r="L347" s="12">
        <f>Raw_Data!L347</f>
        <v/>
      </c>
      <c r="M347" s="12">
        <f>Raw_Data!M347</f>
        <v/>
      </c>
      <c r="N347" s="12">
        <f>Raw_Data!N347</f>
        <v/>
      </c>
      <c r="O347">
        <f>Raw_Data!O347</f>
        <v/>
      </c>
      <c r="P347">
        <f>Raw_Data!P347</f>
        <v/>
      </c>
      <c r="Q347">
        <f>YEAR(B347)</f>
        <v/>
      </c>
      <c r="R347">
        <f>TEXT(B347,"mmm")</f>
        <v/>
      </c>
      <c r="S347" s="15">
        <f>IFERROR(N347/L347,0)</f>
        <v/>
      </c>
    </row>
    <row r="348">
      <c r="A348">
        <f>Raw_Data!A348</f>
        <v/>
      </c>
      <c r="B348" s="11">
        <f>Raw_Data!B348</f>
        <v/>
      </c>
      <c r="C348">
        <f>Raw_Data!C348</f>
        <v/>
      </c>
      <c r="D348">
        <f>Raw_Data!D348</f>
        <v/>
      </c>
      <c r="E348">
        <f>Raw_Data!E348</f>
        <v/>
      </c>
      <c r="F348">
        <f>Raw_Data!F348</f>
        <v/>
      </c>
      <c r="G348">
        <f>Raw_Data!G348</f>
        <v/>
      </c>
      <c r="H348">
        <f>Raw_Data!H348</f>
        <v/>
      </c>
      <c r="I348">
        <f>Raw_Data!I348</f>
        <v/>
      </c>
      <c r="J348" s="12">
        <f>Raw_Data!J348</f>
        <v/>
      </c>
      <c r="K348" s="13">
        <f>Raw_Data!K348</f>
        <v/>
      </c>
      <c r="L348" s="12">
        <f>Raw_Data!L348</f>
        <v/>
      </c>
      <c r="M348" s="12">
        <f>Raw_Data!M348</f>
        <v/>
      </c>
      <c r="N348" s="12">
        <f>Raw_Data!N348</f>
        <v/>
      </c>
      <c r="O348">
        <f>Raw_Data!O348</f>
        <v/>
      </c>
      <c r="P348">
        <f>Raw_Data!P348</f>
        <v/>
      </c>
      <c r="Q348">
        <f>YEAR(B348)</f>
        <v/>
      </c>
      <c r="R348">
        <f>TEXT(B348,"mmm")</f>
        <v/>
      </c>
      <c r="S348" s="15">
        <f>IFERROR(N348/L348,0)</f>
        <v/>
      </c>
    </row>
    <row r="349">
      <c r="A349">
        <f>Raw_Data!A349</f>
        <v/>
      </c>
      <c r="B349" s="11">
        <f>Raw_Data!B349</f>
        <v/>
      </c>
      <c r="C349">
        <f>Raw_Data!C349</f>
        <v/>
      </c>
      <c r="D349">
        <f>Raw_Data!D349</f>
        <v/>
      </c>
      <c r="E349">
        <f>Raw_Data!E349</f>
        <v/>
      </c>
      <c r="F349">
        <f>Raw_Data!F349</f>
        <v/>
      </c>
      <c r="G349">
        <f>Raw_Data!G349</f>
        <v/>
      </c>
      <c r="H349">
        <f>Raw_Data!H349</f>
        <v/>
      </c>
      <c r="I349">
        <f>Raw_Data!I349</f>
        <v/>
      </c>
      <c r="J349" s="12">
        <f>Raw_Data!J349</f>
        <v/>
      </c>
      <c r="K349" s="13">
        <f>Raw_Data!K349</f>
        <v/>
      </c>
      <c r="L349" s="12">
        <f>Raw_Data!L349</f>
        <v/>
      </c>
      <c r="M349" s="12">
        <f>Raw_Data!M349</f>
        <v/>
      </c>
      <c r="N349" s="12">
        <f>Raw_Data!N349</f>
        <v/>
      </c>
      <c r="O349">
        <f>Raw_Data!O349</f>
        <v/>
      </c>
      <c r="P349">
        <f>Raw_Data!P349</f>
        <v/>
      </c>
      <c r="Q349">
        <f>YEAR(B349)</f>
        <v/>
      </c>
      <c r="R349">
        <f>TEXT(B349,"mmm")</f>
        <v/>
      </c>
      <c r="S349" s="15">
        <f>IFERROR(N349/L349,0)</f>
        <v/>
      </c>
    </row>
    <row r="350">
      <c r="A350">
        <f>Raw_Data!A350</f>
        <v/>
      </c>
      <c r="B350" s="11">
        <f>Raw_Data!B350</f>
        <v/>
      </c>
      <c r="C350">
        <f>Raw_Data!C350</f>
        <v/>
      </c>
      <c r="D350">
        <f>Raw_Data!D350</f>
        <v/>
      </c>
      <c r="E350">
        <f>Raw_Data!E350</f>
        <v/>
      </c>
      <c r="F350">
        <f>Raw_Data!F350</f>
        <v/>
      </c>
      <c r="G350">
        <f>Raw_Data!G350</f>
        <v/>
      </c>
      <c r="H350">
        <f>Raw_Data!H350</f>
        <v/>
      </c>
      <c r="I350">
        <f>Raw_Data!I350</f>
        <v/>
      </c>
      <c r="J350" s="12">
        <f>Raw_Data!J350</f>
        <v/>
      </c>
      <c r="K350" s="13">
        <f>Raw_Data!K350</f>
        <v/>
      </c>
      <c r="L350" s="12">
        <f>Raw_Data!L350</f>
        <v/>
      </c>
      <c r="M350" s="12">
        <f>Raw_Data!M350</f>
        <v/>
      </c>
      <c r="N350" s="12">
        <f>Raw_Data!N350</f>
        <v/>
      </c>
      <c r="O350">
        <f>Raw_Data!O350</f>
        <v/>
      </c>
      <c r="P350">
        <f>Raw_Data!P350</f>
        <v/>
      </c>
      <c r="Q350">
        <f>YEAR(B350)</f>
        <v/>
      </c>
      <c r="R350">
        <f>TEXT(B350,"mmm")</f>
        <v/>
      </c>
      <c r="S350" s="15">
        <f>IFERROR(N350/L350,0)</f>
        <v/>
      </c>
    </row>
    <row r="351">
      <c r="A351">
        <f>Raw_Data!A351</f>
        <v/>
      </c>
      <c r="B351" s="11">
        <f>Raw_Data!B351</f>
        <v/>
      </c>
      <c r="C351">
        <f>Raw_Data!C351</f>
        <v/>
      </c>
      <c r="D351">
        <f>Raw_Data!D351</f>
        <v/>
      </c>
      <c r="E351">
        <f>Raw_Data!E351</f>
        <v/>
      </c>
      <c r="F351">
        <f>Raw_Data!F351</f>
        <v/>
      </c>
      <c r="G351">
        <f>Raw_Data!G351</f>
        <v/>
      </c>
      <c r="H351">
        <f>Raw_Data!H351</f>
        <v/>
      </c>
      <c r="I351">
        <f>Raw_Data!I351</f>
        <v/>
      </c>
      <c r="J351" s="12">
        <f>Raw_Data!J351</f>
        <v/>
      </c>
      <c r="K351" s="13">
        <f>Raw_Data!K351</f>
        <v/>
      </c>
      <c r="L351" s="12">
        <f>Raw_Data!L351</f>
        <v/>
      </c>
      <c r="M351" s="12">
        <f>Raw_Data!M351</f>
        <v/>
      </c>
      <c r="N351" s="12">
        <f>Raw_Data!N351</f>
        <v/>
      </c>
      <c r="O351">
        <f>Raw_Data!O351</f>
        <v/>
      </c>
      <c r="P351">
        <f>Raw_Data!P351</f>
        <v/>
      </c>
      <c r="Q351">
        <f>YEAR(B351)</f>
        <v/>
      </c>
      <c r="R351">
        <f>TEXT(B351,"mmm")</f>
        <v/>
      </c>
      <c r="S351" s="15">
        <f>IFERROR(N351/L351,0)</f>
        <v/>
      </c>
    </row>
    <row r="352">
      <c r="A352">
        <f>Raw_Data!A352</f>
        <v/>
      </c>
      <c r="B352" s="11">
        <f>Raw_Data!B352</f>
        <v/>
      </c>
      <c r="C352">
        <f>Raw_Data!C352</f>
        <v/>
      </c>
      <c r="D352">
        <f>Raw_Data!D352</f>
        <v/>
      </c>
      <c r="E352">
        <f>Raw_Data!E352</f>
        <v/>
      </c>
      <c r="F352">
        <f>Raw_Data!F352</f>
        <v/>
      </c>
      <c r="G352">
        <f>Raw_Data!G352</f>
        <v/>
      </c>
      <c r="H352">
        <f>Raw_Data!H352</f>
        <v/>
      </c>
      <c r="I352">
        <f>Raw_Data!I352</f>
        <v/>
      </c>
      <c r="J352" s="12">
        <f>Raw_Data!J352</f>
        <v/>
      </c>
      <c r="K352" s="13">
        <f>Raw_Data!K352</f>
        <v/>
      </c>
      <c r="L352" s="12">
        <f>Raw_Data!L352</f>
        <v/>
      </c>
      <c r="M352" s="12">
        <f>Raw_Data!M352</f>
        <v/>
      </c>
      <c r="N352" s="12">
        <f>Raw_Data!N352</f>
        <v/>
      </c>
      <c r="O352">
        <f>Raw_Data!O352</f>
        <v/>
      </c>
      <c r="P352">
        <f>Raw_Data!P352</f>
        <v/>
      </c>
      <c r="Q352">
        <f>YEAR(B352)</f>
        <v/>
      </c>
      <c r="R352">
        <f>TEXT(B352,"mmm")</f>
        <v/>
      </c>
      <c r="S352" s="15">
        <f>IFERROR(N352/L352,0)</f>
        <v/>
      </c>
    </row>
    <row r="353">
      <c r="A353">
        <f>Raw_Data!A353</f>
        <v/>
      </c>
      <c r="B353" s="11">
        <f>Raw_Data!B353</f>
        <v/>
      </c>
      <c r="C353">
        <f>Raw_Data!C353</f>
        <v/>
      </c>
      <c r="D353">
        <f>Raw_Data!D353</f>
        <v/>
      </c>
      <c r="E353">
        <f>Raw_Data!E353</f>
        <v/>
      </c>
      <c r="F353">
        <f>Raw_Data!F353</f>
        <v/>
      </c>
      <c r="G353">
        <f>Raw_Data!G353</f>
        <v/>
      </c>
      <c r="H353">
        <f>Raw_Data!H353</f>
        <v/>
      </c>
      <c r="I353">
        <f>Raw_Data!I353</f>
        <v/>
      </c>
      <c r="J353" s="12">
        <f>Raw_Data!J353</f>
        <v/>
      </c>
      <c r="K353" s="13">
        <f>Raw_Data!K353</f>
        <v/>
      </c>
      <c r="L353" s="12">
        <f>Raw_Data!L353</f>
        <v/>
      </c>
      <c r="M353" s="12">
        <f>Raw_Data!M353</f>
        <v/>
      </c>
      <c r="N353" s="12">
        <f>Raw_Data!N353</f>
        <v/>
      </c>
      <c r="O353">
        <f>Raw_Data!O353</f>
        <v/>
      </c>
      <c r="P353">
        <f>Raw_Data!P353</f>
        <v/>
      </c>
      <c r="Q353">
        <f>YEAR(B353)</f>
        <v/>
      </c>
      <c r="R353">
        <f>TEXT(B353,"mmm")</f>
        <v/>
      </c>
      <c r="S353" s="15">
        <f>IFERROR(N353/L353,0)</f>
        <v/>
      </c>
    </row>
    <row r="354">
      <c r="A354">
        <f>Raw_Data!A354</f>
        <v/>
      </c>
      <c r="B354" s="11">
        <f>Raw_Data!B354</f>
        <v/>
      </c>
      <c r="C354">
        <f>Raw_Data!C354</f>
        <v/>
      </c>
      <c r="D354">
        <f>Raw_Data!D354</f>
        <v/>
      </c>
      <c r="E354">
        <f>Raw_Data!E354</f>
        <v/>
      </c>
      <c r="F354">
        <f>Raw_Data!F354</f>
        <v/>
      </c>
      <c r="G354">
        <f>Raw_Data!G354</f>
        <v/>
      </c>
      <c r="H354">
        <f>Raw_Data!H354</f>
        <v/>
      </c>
      <c r="I354">
        <f>Raw_Data!I354</f>
        <v/>
      </c>
      <c r="J354" s="12">
        <f>Raw_Data!J354</f>
        <v/>
      </c>
      <c r="K354" s="13">
        <f>Raw_Data!K354</f>
        <v/>
      </c>
      <c r="L354" s="12">
        <f>Raw_Data!L354</f>
        <v/>
      </c>
      <c r="M354" s="12">
        <f>Raw_Data!M354</f>
        <v/>
      </c>
      <c r="N354" s="12">
        <f>Raw_Data!N354</f>
        <v/>
      </c>
      <c r="O354">
        <f>Raw_Data!O354</f>
        <v/>
      </c>
      <c r="P354">
        <f>Raw_Data!P354</f>
        <v/>
      </c>
      <c r="Q354">
        <f>YEAR(B354)</f>
        <v/>
      </c>
      <c r="R354">
        <f>TEXT(B354,"mmm")</f>
        <v/>
      </c>
      <c r="S354" s="15">
        <f>IFERROR(N354/L354,0)</f>
        <v/>
      </c>
    </row>
    <row r="355">
      <c r="A355">
        <f>Raw_Data!A355</f>
        <v/>
      </c>
      <c r="B355" s="11">
        <f>Raw_Data!B355</f>
        <v/>
      </c>
      <c r="C355">
        <f>Raw_Data!C355</f>
        <v/>
      </c>
      <c r="D355">
        <f>Raw_Data!D355</f>
        <v/>
      </c>
      <c r="E355">
        <f>Raw_Data!E355</f>
        <v/>
      </c>
      <c r="F355">
        <f>Raw_Data!F355</f>
        <v/>
      </c>
      <c r="G355">
        <f>Raw_Data!G355</f>
        <v/>
      </c>
      <c r="H355">
        <f>Raw_Data!H355</f>
        <v/>
      </c>
      <c r="I355">
        <f>Raw_Data!I355</f>
        <v/>
      </c>
      <c r="J355" s="12">
        <f>Raw_Data!J355</f>
        <v/>
      </c>
      <c r="K355" s="13">
        <f>Raw_Data!K355</f>
        <v/>
      </c>
      <c r="L355" s="12">
        <f>Raw_Data!L355</f>
        <v/>
      </c>
      <c r="M355" s="12">
        <f>Raw_Data!M355</f>
        <v/>
      </c>
      <c r="N355" s="12">
        <f>Raw_Data!N355</f>
        <v/>
      </c>
      <c r="O355">
        <f>Raw_Data!O355</f>
        <v/>
      </c>
      <c r="P355">
        <f>Raw_Data!P355</f>
        <v/>
      </c>
      <c r="Q355">
        <f>YEAR(B355)</f>
        <v/>
      </c>
      <c r="R355">
        <f>TEXT(B355,"mmm")</f>
        <v/>
      </c>
      <c r="S355" s="15">
        <f>IFERROR(N355/L355,0)</f>
        <v/>
      </c>
    </row>
    <row r="356">
      <c r="A356">
        <f>Raw_Data!A356</f>
        <v/>
      </c>
      <c r="B356" s="11">
        <f>Raw_Data!B356</f>
        <v/>
      </c>
      <c r="C356">
        <f>Raw_Data!C356</f>
        <v/>
      </c>
      <c r="D356">
        <f>Raw_Data!D356</f>
        <v/>
      </c>
      <c r="E356">
        <f>Raw_Data!E356</f>
        <v/>
      </c>
      <c r="F356">
        <f>Raw_Data!F356</f>
        <v/>
      </c>
      <c r="G356">
        <f>Raw_Data!G356</f>
        <v/>
      </c>
      <c r="H356">
        <f>Raw_Data!H356</f>
        <v/>
      </c>
      <c r="I356">
        <f>Raw_Data!I356</f>
        <v/>
      </c>
      <c r="J356" s="12">
        <f>Raw_Data!J356</f>
        <v/>
      </c>
      <c r="K356" s="13">
        <f>Raw_Data!K356</f>
        <v/>
      </c>
      <c r="L356" s="12">
        <f>Raw_Data!L356</f>
        <v/>
      </c>
      <c r="M356" s="12">
        <f>Raw_Data!M356</f>
        <v/>
      </c>
      <c r="N356" s="12">
        <f>Raw_Data!N356</f>
        <v/>
      </c>
      <c r="O356">
        <f>Raw_Data!O356</f>
        <v/>
      </c>
      <c r="P356">
        <f>Raw_Data!P356</f>
        <v/>
      </c>
      <c r="Q356">
        <f>YEAR(B356)</f>
        <v/>
      </c>
      <c r="R356">
        <f>TEXT(B356,"mmm")</f>
        <v/>
      </c>
      <c r="S356" s="15">
        <f>IFERROR(N356/L356,0)</f>
        <v/>
      </c>
    </row>
    <row r="357">
      <c r="A357">
        <f>Raw_Data!A357</f>
        <v/>
      </c>
      <c r="B357" s="11">
        <f>Raw_Data!B357</f>
        <v/>
      </c>
      <c r="C357">
        <f>Raw_Data!C357</f>
        <v/>
      </c>
      <c r="D357">
        <f>Raw_Data!D357</f>
        <v/>
      </c>
      <c r="E357">
        <f>Raw_Data!E357</f>
        <v/>
      </c>
      <c r="F357">
        <f>Raw_Data!F357</f>
        <v/>
      </c>
      <c r="G357">
        <f>Raw_Data!G357</f>
        <v/>
      </c>
      <c r="H357">
        <f>Raw_Data!H357</f>
        <v/>
      </c>
      <c r="I357">
        <f>Raw_Data!I357</f>
        <v/>
      </c>
      <c r="J357" s="12">
        <f>Raw_Data!J357</f>
        <v/>
      </c>
      <c r="K357" s="13">
        <f>Raw_Data!K357</f>
        <v/>
      </c>
      <c r="L357" s="12">
        <f>Raw_Data!L357</f>
        <v/>
      </c>
      <c r="M357" s="12">
        <f>Raw_Data!M357</f>
        <v/>
      </c>
      <c r="N357" s="12">
        <f>Raw_Data!N357</f>
        <v/>
      </c>
      <c r="O357">
        <f>Raw_Data!O357</f>
        <v/>
      </c>
      <c r="P357">
        <f>Raw_Data!P357</f>
        <v/>
      </c>
      <c r="Q357">
        <f>YEAR(B357)</f>
        <v/>
      </c>
      <c r="R357">
        <f>TEXT(B357,"mmm")</f>
        <v/>
      </c>
      <c r="S357" s="15">
        <f>IFERROR(N357/L357,0)</f>
        <v/>
      </c>
    </row>
    <row r="358">
      <c r="A358">
        <f>Raw_Data!A358</f>
        <v/>
      </c>
      <c r="B358" s="11">
        <f>Raw_Data!B358</f>
        <v/>
      </c>
      <c r="C358">
        <f>Raw_Data!C358</f>
        <v/>
      </c>
      <c r="D358">
        <f>Raw_Data!D358</f>
        <v/>
      </c>
      <c r="E358">
        <f>Raw_Data!E358</f>
        <v/>
      </c>
      <c r="F358">
        <f>Raw_Data!F358</f>
        <v/>
      </c>
      <c r="G358">
        <f>Raw_Data!G358</f>
        <v/>
      </c>
      <c r="H358">
        <f>Raw_Data!H358</f>
        <v/>
      </c>
      <c r="I358">
        <f>Raw_Data!I358</f>
        <v/>
      </c>
      <c r="J358" s="12">
        <f>Raw_Data!J358</f>
        <v/>
      </c>
      <c r="K358" s="13">
        <f>Raw_Data!K358</f>
        <v/>
      </c>
      <c r="L358" s="12">
        <f>Raw_Data!L358</f>
        <v/>
      </c>
      <c r="M358" s="12">
        <f>Raw_Data!M358</f>
        <v/>
      </c>
      <c r="N358" s="12">
        <f>Raw_Data!N358</f>
        <v/>
      </c>
      <c r="O358">
        <f>Raw_Data!O358</f>
        <v/>
      </c>
      <c r="P358">
        <f>Raw_Data!P358</f>
        <v/>
      </c>
      <c r="Q358">
        <f>YEAR(B358)</f>
        <v/>
      </c>
      <c r="R358">
        <f>TEXT(B358,"mmm")</f>
        <v/>
      </c>
      <c r="S358" s="15">
        <f>IFERROR(N358/L358,0)</f>
        <v/>
      </c>
    </row>
    <row r="359">
      <c r="A359">
        <f>Raw_Data!A359</f>
        <v/>
      </c>
      <c r="B359" s="11">
        <f>Raw_Data!B359</f>
        <v/>
      </c>
      <c r="C359">
        <f>Raw_Data!C359</f>
        <v/>
      </c>
      <c r="D359">
        <f>Raw_Data!D359</f>
        <v/>
      </c>
      <c r="E359">
        <f>Raw_Data!E359</f>
        <v/>
      </c>
      <c r="F359">
        <f>Raw_Data!F359</f>
        <v/>
      </c>
      <c r="G359">
        <f>Raw_Data!G359</f>
        <v/>
      </c>
      <c r="H359">
        <f>Raw_Data!H359</f>
        <v/>
      </c>
      <c r="I359">
        <f>Raw_Data!I359</f>
        <v/>
      </c>
      <c r="J359" s="12">
        <f>Raw_Data!J359</f>
        <v/>
      </c>
      <c r="K359" s="13">
        <f>Raw_Data!K359</f>
        <v/>
      </c>
      <c r="L359" s="12">
        <f>Raw_Data!L359</f>
        <v/>
      </c>
      <c r="M359" s="12">
        <f>Raw_Data!M359</f>
        <v/>
      </c>
      <c r="N359" s="12">
        <f>Raw_Data!N359</f>
        <v/>
      </c>
      <c r="O359">
        <f>Raw_Data!O359</f>
        <v/>
      </c>
      <c r="P359">
        <f>Raw_Data!P359</f>
        <v/>
      </c>
      <c r="Q359">
        <f>YEAR(B359)</f>
        <v/>
      </c>
      <c r="R359">
        <f>TEXT(B359,"mmm")</f>
        <v/>
      </c>
      <c r="S359" s="15">
        <f>IFERROR(N359/L359,0)</f>
        <v/>
      </c>
    </row>
    <row r="360">
      <c r="A360">
        <f>Raw_Data!A360</f>
        <v/>
      </c>
      <c r="B360" s="11">
        <f>Raw_Data!B360</f>
        <v/>
      </c>
      <c r="C360">
        <f>Raw_Data!C360</f>
        <v/>
      </c>
      <c r="D360">
        <f>Raw_Data!D360</f>
        <v/>
      </c>
      <c r="E360">
        <f>Raw_Data!E360</f>
        <v/>
      </c>
      <c r="F360">
        <f>Raw_Data!F360</f>
        <v/>
      </c>
      <c r="G360">
        <f>Raw_Data!G360</f>
        <v/>
      </c>
      <c r="H360">
        <f>Raw_Data!H360</f>
        <v/>
      </c>
      <c r="I360">
        <f>Raw_Data!I360</f>
        <v/>
      </c>
      <c r="J360" s="12">
        <f>Raw_Data!J360</f>
        <v/>
      </c>
      <c r="K360" s="13">
        <f>Raw_Data!K360</f>
        <v/>
      </c>
      <c r="L360" s="12">
        <f>Raw_Data!L360</f>
        <v/>
      </c>
      <c r="M360" s="12">
        <f>Raw_Data!M360</f>
        <v/>
      </c>
      <c r="N360" s="12">
        <f>Raw_Data!N360</f>
        <v/>
      </c>
      <c r="O360">
        <f>Raw_Data!O360</f>
        <v/>
      </c>
      <c r="P360">
        <f>Raw_Data!P360</f>
        <v/>
      </c>
      <c r="Q360">
        <f>YEAR(B360)</f>
        <v/>
      </c>
      <c r="R360">
        <f>TEXT(B360,"mmm")</f>
        <v/>
      </c>
      <c r="S360" s="15">
        <f>IFERROR(N360/L360,0)</f>
        <v/>
      </c>
    </row>
    <row r="361">
      <c r="A361">
        <f>Raw_Data!A361</f>
        <v/>
      </c>
      <c r="B361" s="11">
        <f>Raw_Data!B361</f>
        <v/>
      </c>
      <c r="C361">
        <f>Raw_Data!C361</f>
        <v/>
      </c>
      <c r="D361">
        <f>Raw_Data!D361</f>
        <v/>
      </c>
      <c r="E361">
        <f>Raw_Data!E361</f>
        <v/>
      </c>
      <c r="F361">
        <f>Raw_Data!F361</f>
        <v/>
      </c>
      <c r="G361">
        <f>Raw_Data!G361</f>
        <v/>
      </c>
      <c r="H361">
        <f>Raw_Data!H361</f>
        <v/>
      </c>
      <c r="I361">
        <f>Raw_Data!I361</f>
        <v/>
      </c>
      <c r="J361" s="12">
        <f>Raw_Data!J361</f>
        <v/>
      </c>
      <c r="K361" s="13">
        <f>Raw_Data!K361</f>
        <v/>
      </c>
      <c r="L361" s="12">
        <f>Raw_Data!L361</f>
        <v/>
      </c>
      <c r="M361" s="12">
        <f>Raw_Data!M361</f>
        <v/>
      </c>
      <c r="N361" s="12">
        <f>Raw_Data!N361</f>
        <v/>
      </c>
      <c r="O361">
        <f>Raw_Data!O361</f>
        <v/>
      </c>
      <c r="P361">
        <f>Raw_Data!P361</f>
        <v/>
      </c>
      <c r="Q361">
        <f>YEAR(B361)</f>
        <v/>
      </c>
      <c r="R361">
        <f>TEXT(B361,"mmm")</f>
        <v/>
      </c>
      <c r="S361" s="15">
        <f>IFERROR(N361/L361,0)</f>
        <v/>
      </c>
    </row>
    <row r="362">
      <c r="A362">
        <f>Raw_Data!A362</f>
        <v/>
      </c>
      <c r="B362" s="11">
        <f>Raw_Data!B362</f>
        <v/>
      </c>
      <c r="C362">
        <f>Raw_Data!C362</f>
        <v/>
      </c>
      <c r="D362">
        <f>Raw_Data!D362</f>
        <v/>
      </c>
      <c r="E362">
        <f>Raw_Data!E362</f>
        <v/>
      </c>
      <c r="F362">
        <f>Raw_Data!F362</f>
        <v/>
      </c>
      <c r="G362">
        <f>Raw_Data!G362</f>
        <v/>
      </c>
      <c r="H362">
        <f>Raw_Data!H362</f>
        <v/>
      </c>
      <c r="I362">
        <f>Raw_Data!I362</f>
        <v/>
      </c>
      <c r="J362" s="12">
        <f>Raw_Data!J362</f>
        <v/>
      </c>
      <c r="K362" s="13">
        <f>Raw_Data!K362</f>
        <v/>
      </c>
      <c r="L362" s="12">
        <f>Raw_Data!L362</f>
        <v/>
      </c>
      <c r="M362" s="12">
        <f>Raw_Data!M362</f>
        <v/>
      </c>
      <c r="N362" s="12">
        <f>Raw_Data!N362</f>
        <v/>
      </c>
      <c r="O362">
        <f>Raw_Data!O362</f>
        <v/>
      </c>
      <c r="P362">
        <f>Raw_Data!P362</f>
        <v/>
      </c>
      <c r="Q362">
        <f>YEAR(B362)</f>
        <v/>
      </c>
      <c r="R362">
        <f>TEXT(B362,"mmm")</f>
        <v/>
      </c>
      <c r="S362" s="15">
        <f>IFERROR(N362/L362,0)</f>
        <v/>
      </c>
    </row>
    <row r="363">
      <c r="A363">
        <f>Raw_Data!A363</f>
        <v/>
      </c>
      <c r="B363" s="11">
        <f>Raw_Data!B363</f>
        <v/>
      </c>
      <c r="C363">
        <f>Raw_Data!C363</f>
        <v/>
      </c>
      <c r="D363">
        <f>Raw_Data!D363</f>
        <v/>
      </c>
      <c r="E363">
        <f>Raw_Data!E363</f>
        <v/>
      </c>
      <c r="F363">
        <f>Raw_Data!F363</f>
        <v/>
      </c>
      <c r="G363">
        <f>Raw_Data!G363</f>
        <v/>
      </c>
      <c r="H363">
        <f>Raw_Data!H363</f>
        <v/>
      </c>
      <c r="I363">
        <f>Raw_Data!I363</f>
        <v/>
      </c>
      <c r="J363" s="12">
        <f>Raw_Data!J363</f>
        <v/>
      </c>
      <c r="K363" s="13">
        <f>Raw_Data!K363</f>
        <v/>
      </c>
      <c r="L363" s="12">
        <f>Raw_Data!L363</f>
        <v/>
      </c>
      <c r="M363" s="12">
        <f>Raw_Data!M363</f>
        <v/>
      </c>
      <c r="N363" s="12">
        <f>Raw_Data!N363</f>
        <v/>
      </c>
      <c r="O363">
        <f>Raw_Data!O363</f>
        <v/>
      </c>
      <c r="P363">
        <f>Raw_Data!P363</f>
        <v/>
      </c>
      <c r="Q363">
        <f>YEAR(B363)</f>
        <v/>
      </c>
      <c r="R363">
        <f>TEXT(B363,"mmm")</f>
        <v/>
      </c>
      <c r="S363" s="15">
        <f>IFERROR(N363/L363,0)</f>
        <v/>
      </c>
    </row>
    <row r="364">
      <c r="A364">
        <f>Raw_Data!A364</f>
        <v/>
      </c>
      <c r="B364" s="11">
        <f>Raw_Data!B364</f>
        <v/>
      </c>
      <c r="C364">
        <f>Raw_Data!C364</f>
        <v/>
      </c>
      <c r="D364">
        <f>Raw_Data!D364</f>
        <v/>
      </c>
      <c r="E364">
        <f>Raw_Data!E364</f>
        <v/>
      </c>
      <c r="F364">
        <f>Raw_Data!F364</f>
        <v/>
      </c>
      <c r="G364">
        <f>Raw_Data!G364</f>
        <v/>
      </c>
      <c r="H364">
        <f>Raw_Data!H364</f>
        <v/>
      </c>
      <c r="I364">
        <f>Raw_Data!I364</f>
        <v/>
      </c>
      <c r="J364" s="12">
        <f>Raw_Data!J364</f>
        <v/>
      </c>
      <c r="K364" s="13">
        <f>Raw_Data!K364</f>
        <v/>
      </c>
      <c r="L364" s="12">
        <f>Raw_Data!L364</f>
        <v/>
      </c>
      <c r="M364" s="12">
        <f>Raw_Data!M364</f>
        <v/>
      </c>
      <c r="N364" s="12">
        <f>Raw_Data!N364</f>
        <v/>
      </c>
      <c r="O364">
        <f>Raw_Data!O364</f>
        <v/>
      </c>
      <c r="P364">
        <f>Raw_Data!P364</f>
        <v/>
      </c>
      <c r="Q364">
        <f>YEAR(B364)</f>
        <v/>
      </c>
      <c r="R364">
        <f>TEXT(B364,"mmm")</f>
        <v/>
      </c>
      <c r="S364" s="15">
        <f>IFERROR(N364/L364,0)</f>
        <v/>
      </c>
    </row>
    <row r="365">
      <c r="A365">
        <f>Raw_Data!A365</f>
        <v/>
      </c>
      <c r="B365" s="11">
        <f>Raw_Data!B365</f>
        <v/>
      </c>
      <c r="C365">
        <f>Raw_Data!C365</f>
        <v/>
      </c>
      <c r="D365">
        <f>Raw_Data!D365</f>
        <v/>
      </c>
      <c r="E365">
        <f>Raw_Data!E365</f>
        <v/>
      </c>
      <c r="F365">
        <f>Raw_Data!F365</f>
        <v/>
      </c>
      <c r="G365">
        <f>Raw_Data!G365</f>
        <v/>
      </c>
      <c r="H365">
        <f>Raw_Data!H365</f>
        <v/>
      </c>
      <c r="I365">
        <f>Raw_Data!I365</f>
        <v/>
      </c>
      <c r="J365" s="12">
        <f>Raw_Data!J365</f>
        <v/>
      </c>
      <c r="K365" s="13">
        <f>Raw_Data!K365</f>
        <v/>
      </c>
      <c r="L365" s="12">
        <f>Raw_Data!L365</f>
        <v/>
      </c>
      <c r="M365" s="12">
        <f>Raw_Data!M365</f>
        <v/>
      </c>
      <c r="N365" s="12">
        <f>Raw_Data!N365</f>
        <v/>
      </c>
      <c r="O365">
        <f>Raw_Data!O365</f>
        <v/>
      </c>
      <c r="P365">
        <f>Raw_Data!P365</f>
        <v/>
      </c>
      <c r="Q365">
        <f>YEAR(B365)</f>
        <v/>
      </c>
      <c r="R365">
        <f>TEXT(B365,"mmm")</f>
        <v/>
      </c>
      <c r="S365" s="15">
        <f>IFERROR(N365/L365,0)</f>
        <v/>
      </c>
    </row>
    <row r="366">
      <c r="A366">
        <f>Raw_Data!A366</f>
        <v/>
      </c>
      <c r="B366" s="11">
        <f>Raw_Data!B366</f>
        <v/>
      </c>
      <c r="C366">
        <f>Raw_Data!C366</f>
        <v/>
      </c>
      <c r="D366">
        <f>Raw_Data!D366</f>
        <v/>
      </c>
      <c r="E366">
        <f>Raw_Data!E366</f>
        <v/>
      </c>
      <c r="F366">
        <f>Raw_Data!F366</f>
        <v/>
      </c>
      <c r="G366">
        <f>Raw_Data!G366</f>
        <v/>
      </c>
      <c r="H366">
        <f>Raw_Data!H366</f>
        <v/>
      </c>
      <c r="I366">
        <f>Raw_Data!I366</f>
        <v/>
      </c>
      <c r="J366" s="12">
        <f>Raw_Data!J366</f>
        <v/>
      </c>
      <c r="K366" s="13">
        <f>Raw_Data!K366</f>
        <v/>
      </c>
      <c r="L366" s="12">
        <f>Raw_Data!L366</f>
        <v/>
      </c>
      <c r="M366" s="12">
        <f>Raw_Data!M366</f>
        <v/>
      </c>
      <c r="N366" s="12">
        <f>Raw_Data!N366</f>
        <v/>
      </c>
      <c r="O366">
        <f>Raw_Data!O366</f>
        <v/>
      </c>
      <c r="P366">
        <f>Raw_Data!P366</f>
        <v/>
      </c>
      <c r="Q366">
        <f>YEAR(B366)</f>
        <v/>
      </c>
      <c r="R366">
        <f>TEXT(B366,"mmm")</f>
        <v/>
      </c>
      <c r="S366" s="15">
        <f>IFERROR(N366/L366,0)</f>
        <v/>
      </c>
    </row>
    <row r="367">
      <c r="A367">
        <f>Raw_Data!A367</f>
        <v/>
      </c>
      <c r="B367" s="11">
        <f>Raw_Data!B367</f>
        <v/>
      </c>
      <c r="C367">
        <f>Raw_Data!C367</f>
        <v/>
      </c>
      <c r="D367">
        <f>Raw_Data!D367</f>
        <v/>
      </c>
      <c r="E367">
        <f>Raw_Data!E367</f>
        <v/>
      </c>
      <c r="F367">
        <f>Raw_Data!F367</f>
        <v/>
      </c>
      <c r="G367">
        <f>Raw_Data!G367</f>
        <v/>
      </c>
      <c r="H367">
        <f>Raw_Data!H367</f>
        <v/>
      </c>
      <c r="I367">
        <f>Raw_Data!I367</f>
        <v/>
      </c>
      <c r="J367" s="12">
        <f>Raw_Data!J367</f>
        <v/>
      </c>
      <c r="K367" s="13">
        <f>Raw_Data!K367</f>
        <v/>
      </c>
      <c r="L367" s="12">
        <f>Raw_Data!L367</f>
        <v/>
      </c>
      <c r="M367" s="12">
        <f>Raw_Data!M367</f>
        <v/>
      </c>
      <c r="N367" s="12">
        <f>Raw_Data!N367</f>
        <v/>
      </c>
      <c r="O367">
        <f>Raw_Data!O367</f>
        <v/>
      </c>
      <c r="P367">
        <f>Raw_Data!P367</f>
        <v/>
      </c>
      <c r="Q367">
        <f>YEAR(B367)</f>
        <v/>
      </c>
      <c r="R367">
        <f>TEXT(B367,"mmm")</f>
        <v/>
      </c>
      <c r="S367" s="15">
        <f>IFERROR(N367/L367,0)</f>
        <v/>
      </c>
    </row>
    <row r="368">
      <c r="A368">
        <f>Raw_Data!A368</f>
        <v/>
      </c>
      <c r="B368" s="11">
        <f>Raw_Data!B368</f>
        <v/>
      </c>
      <c r="C368">
        <f>Raw_Data!C368</f>
        <v/>
      </c>
      <c r="D368">
        <f>Raw_Data!D368</f>
        <v/>
      </c>
      <c r="E368">
        <f>Raw_Data!E368</f>
        <v/>
      </c>
      <c r="F368">
        <f>Raw_Data!F368</f>
        <v/>
      </c>
      <c r="G368">
        <f>Raw_Data!G368</f>
        <v/>
      </c>
      <c r="H368">
        <f>Raw_Data!H368</f>
        <v/>
      </c>
      <c r="I368">
        <f>Raw_Data!I368</f>
        <v/>
      </c>
      <c r="J368" s="12">
        <f>Raw_Data!J368</f>
        <v/>
      </c>
      <c r="K368" s="13">
        <f>Raw_Data!K368</f>
        <v/>
      </c>
      <c r="L368" s="12">
        <f>Raw_Data!L368</f>
        <v/>
      </c>
      <c r="M368" s="12">
        <f>Raw_Data!M368</f>
        <v/>
      </c>
      <c r="N368" s="12">
        <f>Raw_Data!N368</f>
        <v/>
      </c>
      <c r="O368">
        <f>Raw_Data!O368</f>
        <v/>
      </c>
      <c r="P368">
        <f>Raw_Data!P368</f>
        <v/>
      </c>
      <c r="Q368">
        <f>YEAR(B368)</f>
        <v/>
      </c>
      <c r="R368">
        <f>TEXT(B368,"mmm")</f>
        <v/>
      </c>
      <c r="S368" s="15">
        <f>IFERROR(N368/L368,0)</f>
        <v/>
      </c>
    </row>
    <row r="369">
      <c r="A369">
        <f>Raw_Data!A369</f>
        <v/>
      </c>
      <c r="B369" s="11">
        <f>Raw_Data!B369</f>
        <v/>
      </c>
      <c r="C369">
        <f>Raw_Data!C369</f>
        <v/>
      </c>
      <c r="D369">
        <f>Raw_Data!D369</f>
        <v/>
      </c>
      <c r="E369">
        <f>Raw_Data!E369</f>
        <v/>
      </c>
      <c r="F369">
        <f>Raw_Data!F369</f>
        <v/>
      </c>
      <c r="G369">
        <f>Raw_Data!G369</f>
        <v/>
      </c>
      <c r="H369">
        <f>Raw_Data!H369</f>
        <v/>
      </c>
      <c r="I369">
        <f>Raw_Data!I369</f>
        <v/>
      </c>
      <c r="J369" s="12">
        <f>Raw_Data!J369</f>
        <v/>
      </c>
      <c r="K369" s="13">
        <f>Raw_Data!K369</f>
        <v/>
      </c>
      <c r="L369" s="12">
        <f>Raw_Data!L369</f>
        <v/>
      </c>
      <c r="M369" s="12">
        <f>Raw_Data!M369</f>
        <v/>
      </c>
      <c r="N369" s="12">
        <f>Raw_Data!N369</f>
        <v/>
      </c>
      <c r="O369">
        <f>Raw_Data!O369</f>
        <v/>
      </c>
      <c r="P369">
        <f>Raw_Data!P369</f>
        <v/>
      </c>
      <c r="Q369">
        <f>YEAR(B369)</f>
        <v/>
      </c>
      <c r="R369">
        <f>TEXT(B369,"mmm")</f>
        <v/>
      </c>
      <c r="S369" s="15">
        <f>IFERROR(N369/L369,0)</f>
        <v/>
      </c>
    </row>
    <row r="370">
      <c r="A370">
        <f>Raw_Data!A370</f>
        <v/>
      </c>
      <c r="B370" s="11">
        <f>Raw_Data!B370</f>
        <v/>
      </c>
      <c r="C370">
        <f>Raw_Data!C370</f>
        <v/>
      </c>
      <c r="D370">
        <f>Raw_Data!D370</f>
        <v/>
      </c>
      <c r="E370">
        <f>Raw_Data!E370</f>
        <v/>
      </c>
      <c r="F370">
        <f>Raw_Data!F370</f>
        <v/>
      </c>
      <c r="G370">
        <f>Raw_Data!G370</f>
        <v/>
      </c>
      <c r="H370">
        <f>Raw_Data!H370</f>
        <v/>
      </c>
      <c r="I370">
        <f>Raw_Data!I370</f>
        <v/>
      </c>
      <c r="J370" s="12">
        <f>Raw_Data!J370</f>
        <v/>
      </c>
      <c r="K370" s="13">
        <f>Raw_Data!K370</f>
        <v/>
      </c>
      <c r="L370" s="12">
        <f>Raw_Data!L370</f>
        <v/>
      </c>
      <c r="M370" s="12">
        <f>Raw_Data!M370</f>
        <v/>
      </c>
      <c r="N370" s="12">
        <f>Raw_Data!N370</f>
        <v/>
      </c>
      <c r="O370">
        <f>Raw_Data!O370</f>
        <v/>
      </c>
      <c r="P370">
        <f>Raw_Data!P370</f>
        <v/>
      </c>
      <c r="Q370">
        <f>YEAR(B370)</f>
        <v/>
      </c>
      <c r="R370">
        <f>TEXT(B370,"mmm")</f>
        <v/>
      </c>
      <c r="S370" s="15">
        <f>IFERROR(N370/L370,0)</f>
        <v/>
      </c>
    </row>
    <row r="371">
      <c r="A371">
        <f>Raw_Data!A371</f>
        <v/>
      </c>
      <c r="B371" s="11">
        <f>Raw_Data!B371</f>
        <v/>
      </c>
      <c r="C371">
        <f>Raw_Data!C371</f>
        <v/>
      </c>
      <c r="D371">
        <f>Raw_Data!D371</f>
        <v/>
      </c>
      <c r="E371">
        <f>Raw_Data!E371</f>
        <v/>
      </c>
      <c r="F371">
        <f>Raw_Data!F371</f>
        <v/>
      </c>
      <c r="G371">
        <f>Raw_Data!G371</f>
        <v/>
      </c>
      <c r="H371">
        <f>Raw_Data!H371</f>
        <v/>
      </c>
      <c r="I371">
        <f>Raw_Data!I371</f>
        <v/>
      </c>
      <c r="J371" s="12">
        <f>Raw_Data!J371</f>
        <v/>
      </c>
      <c r="K371" s="13">
        <f>Raw_Data!K371</f>
        <v/>
      </c>
      <c r="L371" s="12">
        <f>Raw_Data!L371</f>
        <v/>
      </c>
      <c r="M371" s="12">
        <f>Raw_Data!M371</f>
        <v/>
      </c>
      <c r="N371" s="12">
        <f>Raw_Data!N371</f>
        <v/>
      </c>
      <c r="O371">
        <f>Raw_Data!O371</f>
        <v/>
      </c>
      <c r="P371">
        <f>Raw_Data!P371</f>
        <v/>
      </c>
      <c r="Q371">
        <f>YEAR(B371)</f>
        <v/>
      </c>
      <c r="R371">
        <f>TEXT(B371,"mmm")</f>
        <v/>
      </c>
      <c r="S371" s="15">
        <f>IFERROR(N371/L371,0)</f>
        <v/>
      </c>
    </row>
    <row r="372">
      <c r="A372">
        <f>Raw_Data!A372</f>
        <v/>
      </c>
      <c r="B372" s="11">
        <f>Raw_Data!B372</f>
        <v/>
      </c>
      <c r="C372">
        <f>Raw_Data!C372</f>
        <v/>
      </c>
      <c r="D372">
        <f>Raw_Data!D372</f>
        <v/>
      </c>
      <c r="E372">
        <f>Raw_Data!E372</f>
        <v/>
      </c>
      <c r="F372">
        <f>Raw_Data!F372</f>
        <v/>
      </c>
      <c r="G372">
        <f>Raw_Data!G372</f>
        <v/>
      </c>
      <c r="H372">
        <f>Raw_Data!H372</f>
        <v/>
      </c>
      <c r="I372">
        <f>Raw_Data!I372</f>
        <v/>
      </c>
      <c r="J372" s="12">
        <f>Raw_Data!J372</f>
        <v/>
      </c>
      <c r="K372" s="13">
        <f>Raw_Data!K372</f>
        <v/>
      </c>
      <c r="L372" s="12">
        <f>Raw_Data!L372</f>
        <v/>
      </c>
      <c r="M372" s="12">
        <f>Raw_Data!M372</f>
        <v/>
      </c>
      <c r="N372" s="12">
        <f>Raw_Data!N372</f>
        <v/>
      </c>
      <c r="O372">
        <f>Raw_Data!O372</f>
        <v/>
      </c>
      <c r="P372">
        <f>Raw_Data!P372</f>
        <v/>
      </c>
      <c r="Q372">
        <f>YEAR(B372)</f>
        <v/>
      </c>
      <c r="R372">
        <f>TEXT(B372,"mmm")</f>
        <v/>
      </c>
      <c r="S372" s="15">
        <f>IFERROR(N372/L372,0)</f>
        <v/>
      </c>
    </row>
    <row r="373">
      <c r="A373">
        <f>Raw_Data!A373</f>
        <v/>
      </c>
      <c r="B373" s="11">
        <f>Raw_Data!B373</f>
        <v/>
      </c>
      <c r="C373">
        <f>Raw_Data!C373</f>
        <v/>
      </c>
      <c r="D373">
        <f>Raw_Data!D373</f>
        <v/>
      </c>
      <c r="E373">
        <f>Raw_Data!E373</f>
        <v/>
      </c>
      <c r="F373">
        <f>Raw_Data!F373</f>
        <v/>
      </c>
      <c r="G373">
        <f>Raw_Data!G373</f>
        <v/>
      </c>
      <c r="H373">
        <f>Raw_Data!H373</f>
        <v/>
      </c>
      <c r="I373">
        <f>Raw_Data!I373</f>
        <v/>
      </c>
      <c r="J373" s="12">
        <f>Raw_Data!J373</f>
        <v/>
      </c>
      <c r="K373" s="13">
        <f>Raw_Data!K373</f>
        <v/>
      </c>
      <c r="L373" s="12">
        <f>Raw_Data!L373</f>
        <v/>
      </c>
      <c r="M373" s="12">
        <f>Raw_Data!M373</f>
        <v/>
      </c>
      <c r="N373" s="12">
        <f>Raw_Data!N373</f>
        <v/>
      </c>
      <c r="O373">
        <f>Raw_Data!O373</f>
        <v/>
      </c>
      <c r="P373">
        <f>Raw_Data!P373</f>
        <v/>
      </c>
      <c r="Q373">
        <f>YEAR(B373)</f>
        <v/>
      </c>
      <c r="R373">
        <f>TEXT(B373,"mmm")</f>
        <v/>
      </c>
      <c r="S373" s="15">
        <f>IFERROR(N373/L373,0)</f>
        <v/>
      </c>
    </row>
    <row r="374">
      <c r="A374">
        <f>Raw_Data!A374</f>
        <v/>
      </c>
      <c r="B374" s="11">
        <f>Raw_Data!B374</f>
        <v/>
      </c>
      <c r="C374">
        <f>Raw_Data!C374</f>
        <v/>
      </c>
      <c r="D374">
        <f>Raw_Data!D374</f>
        <v/>
      </c>
      <c r="E374">
        <f>Raw_Data!E374</f>
        <v/>
      </c>
      <c r="F374">
        <f>Raw_Data!F374</f>
        <v/>
      </c>
      <c r="G374">
        <f>Raw_Data!G374</f>
        <v/>
      </c>
      <c r="H374">
        <f>Raw_Data!H374</f>
        <v/>
      </c>
      <c r="I374">
        <f>Raw_Data!I374</f>
        <v/>
      </c>
      <c r="J374" s="12">
        <f>Raw_Data!J374</f>
        <v/>
      </c>
      <c r="K374" s="13">
        <f>Raw_Data!K374</f>
        <v/>
      </c>
      <c r="L374" s="12">
        <f>Raw_Data!L374</f>
        <v/>
      </c>
      <c r="M374" s="12">
        <f>Raw_Data!M374</f>
        <v/>
      </c>
      <c r="N374" s="12">
        <f>Raw_Data!N374</f>
        <v/>
      </c>
      <c r="O374">
        <f>Raw_Data!O374</f>
        <v/>
      </c>
      <c r="P374">
        <f>Raw_Data!P374</f>
        <v/>
      </c>
      <c r="Q374">
        <f>YEAR(B374)</f>
        <v/>
      </c>
      <c r="R374">
        <f>TEXT(B374,"mmm")</f>
        <v/>
      </c>
      <c r="S374" s="15">
        <f>IFERROR(N374/L374,0)</f>
        <v/>
      </c>
    </row>
    <row r="375">
      <c r="A375">
        <f>Raw_Data!A375</f>
        <v/>
      </c>
      <c r="B375" s="11">
        <f>Raw_Data!B375</f>
        <v/>
      </c>
      <c r="C375">
        <f>Raw_Data!C375</f>
        <v/>
      </c>
      <c r="D375">
        <f>Raw_Data!D375</f>
        <v/>
      </c>
      <c r="E375">
        <f>Raw_Data!E375</f>
        <v/>
      </c>
      <c r="F375">
        <f>Raw_Data!F375</f>
        <v/>
      </c>
      <c r="G375">
        <f>Raw_Data!G375</f>
        <v/>
      </c>
      <c r="H375">
        <f>Raw_Data!H375</f>
        <v/>
      </c>
      <c r="I375">
        <f>Raw_Data!I375</f>
        <v/>
      </c>
      <c r="J375" s="12">
        <f>Raw_Data!J375</f>
        <v/>
      </c>
      <c r="K375" s="13">
        <f>Raw_Data!K375</f>
        <v/>
      </c>
      <c r="L375" s="12">
        <f>Raw_Data!L375</f>
        <v/>
      </c>
      <c r="M375" s="12">
        <f>Raw_Data!M375</f>
        <v/>
      </c>
      <c r="N375" s="12">
        <f>Raw_Data!N375</f>
        <v/>
      </c>
      <c r="O375">
        <f>Raw_Data!O375</f>
        <v/>
      </c>
      <c r="P375">
        <f>Raw_Data!P375</f>
        <v/>
      </c>
      <c r="Q375">
        <f>YEAR(B375)</f>
        <v/>
      </c>
      <c r="R375">
        <f>TEXT(B375,"mmm")</f>
        <v/>
      </c>
      <c r="S375" s="15">
        <f>IFERROR(N375/L375,0)</f>
        <v/>
      </c>
    </row>
    <row r="376">
      <c r="A376">
        <f>Raw_Data!A376</f>
        <v/>
      </c>
      <c r="B376" s="11">
        <f>Raw_Data!B376</f>
        <v/>
      </c>
      <c r="C376">
        <f>Raw_Data!C376</f>
        <v/>
      </c>
      <c r="D376">
        <f>Raw_Data!D376</f>
        <v/>
      </c>
      <c r="E376">
        <f>Raw_Data!E376</f>
        <v/>
      </c>
      <c r="F376">
        <f>Raw_Data!F376</f>
        <v/>
      </c>
      <c r="G376">
        <f>Raw_Data!G376</f>
        <v/>
      </c>
      <c r="H376">
        <f>Raw_Data!H376</f>
        <v/>
      </c>
      <c r="I376">
        <f>Raw_Data!I376</f>
        <v/>
      </c>
      <c r="J376" s="12">
        <f>Raw_Data!J376</f>
        <v/>
      </c>
      <c r="K376" s="13">
        <f>Raw_Data!K376</f>
        <v/>
      </c>
      <c r="L376" s="12">
        <f>Raw_Data!L376</f>
        <v/>
      </c>
      <c r="M376" s="12">
        <f>Raw_Data!M376</f>
        <v/>
      </c>
      <c r="N376" s="12">
        <f>Raw_Data!N376</f>
        <v/>
      </c>
      <c r="O376">
        <f>Raw_Data!O376</f>
        <v/>
      </c>
      <c r="P376">
        <f>Raw_Data!P376</f>
        <v/>
      </c>
      <c r="Q376">
        <f>YEAR(B376)</f>
        <v/>
      </c>
      <c r="R376">
        <f>TEXT(B376,"mmm")</f>
        <v/>
      </c>
      <c r="S376" s="15">
        <f>IFERROR(N376/L376,0)</f>
        <v/>
      </c>
    </row>
    <row r="377">
      <c r="A377">
        <f>Raw_Data!A377</f>
        <v/>
      </c>
      <c r="B377" s="11">
        <f>Raw_Data!B377</f>
        <v/>
      </c>
      <c r="C377">
        <f>Raw_Data!C377</f>
        <v/>
      </c>
      <c r="D377">
        <f>Raw_Data!D377</f>
        <v/>
      </c>
      <c r="E377">
        <f>Raw_Data!E377</f>
        <v/>
      </c>
      <c r="F377">
        <f>Raw_Data!F377</f>
        <v/>
      </c>
      <c r="G377">
        <f>Raw_Data!G377</f>
        <v/>
      </c>
      <c r="H377">
        <f>Raw_Data!H377</f>
        <v/>
      </c>
      <c r="I377">
        <f>Raw_Data!I377</f>
        <v/>
      </c>
      <c r="J377" s="12">
        <f>Raw_Data!J377</f>
        <v/>
      </c>
      <c r="K377" s="13">
        <f>Raw_Data!K377</f>
        <v/>
      </c>
      <c r="L377" s="12">
        <f>Raw_Data!L377</f>
        <v/>
      </c>
      <c r="M377" s="12">
        <f>Raw_Data!M377</f>
        <v/>
      </c>
      <c r="N377" s="12">
        <f>Raw_Data!N377</f>
        <v/>
      </c>
      <c r="O377">
        <f>Raw_Data!O377</f>
        <v/>
      </c>
      <c r="P377">
        <f>Raw_Data!P377</f>
        <v/>
      </c>
      <c r="Q377">
        <f>YEAR(B377)</f>
        <v/>
      </c>
      <c r="R377">
        <f>TEXT(B377,"mmm")</f>
        <v/>
      </c>
      <c r="S377" s="15">
        <f>IFERROR(N377/L377,0)</f>
        <v/>
      </c>
    </row>
    <row r="378">
      <c r="A378">
        <f>Raw_Data!A378</f>
        <v/>
      </c>
      <c r="B378" s="11">
        <f>Raw_Data!B378</f>
        <v/>
      </c>
      <c r="C378">
        <f>Raw_Data!C378</f>
        <v/>
      </c>
      <c r="D378">
        <f>Raw_Data!D378</f>
        <v/>
      </c>
      <c r="E378">
        <f>Raw_Data!E378</f>
        <v/>
      </c>
      <c r="F378">
        <f>Raw_Data!F378</f>
        <v/>
      </c>
      <c r="G378">
        <f>Raw_Data!G378</f>
        <v/>
      </c>
      <c r="H378">
        <f>Raw_Data!H378</f>
        <v/>
      </c>
      <c r="I378">
        <f>Raw_Data!I378</f>
        <v/>
      </c>
      <c r="J378" s="12">
        <f>Raw_Data!J378</f>
        <v/>
      </c>
      <c r="K378" s="13">
        <f>Raw_Data!K378</f>
        <v/>
      </c>
      <c r="L378" s="12">
        <f>Raw_Data!L378</f>
        <v/>
      </c>
      <c r="M378" s="12">
        <f>Raw_Data!M378</f>
        <v/>
      </c>
      <c r="N378" s="12">
        <f>Raw_Data!N378</f>
        <v/>
      </c>
      <c r="O378">
        <f>Raw_Data!O378</f>
        <v/>
      </c>
      <c r="P378">
        <f>Raw_Data!P378</f>
        <v/>
      </c>
      <c r="Q378">
        <f>YEAR(B378)</f>
        <v/>
      </c>
      <c r="R378">
        <f>TEXT(B378,"mmm")</f>
        <v/>
      </c>
      <c r="S378" s="15">
        <f>IFERROR(N378/L378,0)</f>
        <v/>
      </c>
    </row>
    <row r="379">
      <c r="A379">
        <f>Raw_Data!A379</f>
        <v/>
      </c>
      <c r="B379" s="11">
        <f>Raw_Data!B379</f>
        <v/>
      </c>
      <c r="C379">
        <f>Raw_Data!C379</f>
        <v/>
      </c>
      <c r="D379">
        <f>Raw_Data!D379</f>
        <v/>
      </c>
      <c r="E379">
        <f>Raw_Data!E379</f>
        <v/>
      </c>
      <c r="F379">
        <f>Raw_Data!F379</f>
        <v/>
      </c>
      <c r="G379">
        <f>Raw_Data!G379</f>
        <v/>
      </c>
      <c r="H379">
        <f>Raw_Data!H379</f>
        <v/>
      </c>
      <c r="I379">
        <f>Raw_Data!I379</f>
        <v/>
      </c>
      <c r="J379" s="12">
        <f>Raw_Data!J379</f>
        <v/>
      </c>
      <c r="K379" s="13">
        <f>Raw_Data!K379</f>
        <v/>
      </c>
      <c r="L379" s="12">
        <f>Raw_Data!L379</f>
        <v/>
      </c>
      <c r="M379" s="12">
        <f>Raw_Data!M379</f>
        <v/>
      </c>
      <c r="N379" s="12">
        <f>Raw_Data!N379</f>
        <v/>
      </c>
      <c r="O379">
        <f>Raw_Data!O379</f>
        <v/>
      </c>
      <c r="P379">
        <f>Raw_Data!P379</f>
        <v/>
      </c>
      <c r="Q379">
        <f>YEAR(B379)</f>
        <v/>
      </c>
      <c r="R379">
        <f>TEXT(B379,"mmm")</f>
        <v/>
      </c>
      <c r="S379" s="15">
        <f>IFERROR(N379/L379,0)</f>
        <v/>
      </c>
    </row>
    <row r="380">
      <c r="A380">
        <f>Raw_Data!A380</f>
        <v/>
      </c>
      <c r="B380" s="11">
        <f>Raw_Data!B380</f>
        <v/>
      </c>
      <c r="C380">
        <f>Raw_Data!C380</f>
        <v/>
      </c>
      <c r="D380">
        <f>Raw_Data!D380</f>
        <v/>
      </c>
      <c r="E380">
        <f>Raw_Data!E380</f>
        <v/>
      </c>
      <c r="F380">
        <f>Raw_Data!F380</f>
        <v/>
      </c>
      <c r="G380">
        <f>Raw_Data!G380</f>
        <v/>
      </c>
      <c r="H380">
        <f>Raw_Data!H380</f>
        <v/>
      </c>
      <c r="I380">
        <f>Raw_Data!I380</f>
        <v/>
      </c>
      <c r="J380" s="12">
        <f>Raw_Data!J380</f>
        <v/>
      </c>
      <c r="K380" s="13">
        <f>Raw_Data!K380</f>
        <v/>
      </c>
      <c r="L380" s="12">
        <f>Raw_Data!L380</f>
        <v/>
      </c>
      <c r="M380" s="12">
        <f>Raw_Data!M380</f>
        <v/>
      </c>
      <c r="N380" s="12">
        <f>Raw_Data!N380</f>
        <v/>
      </c>
      <c r="O380">
        <f>Raw_Data!O380</f>
        <v/>
      </c>
      <c r="P380">
        <f>Raw_Data!P380</f>
        <v/>
      </c>
      <c r="Q380">
        <f>YEAR(B380)</f>
        <v/>
      </c>
      <c r="R380">
        <f>TEXT(B380,"mmm")</f>
        <v/>
      </c>
      <c r="S380" s="15">
        <f>IFERROR(N380/L380,0)</f>
        <v/>
      </c>
    </row>
    <row r="381">
      <c r="A381">
        <f>Raw_Data!A381</f>
        <v/>
      </c>
      <c r="B381" s="11">
        <f>Raw_Data!B381</f>
        <v/>
      </c>
      <c r="C381">
        <f>Raw_Data!C381</f>
        <v/>
      </c>
      <c r="D381">
        <f>Raw_Data!D381</f>
        <v/>
      </c>
      <c r="E381">
        <f>Raw_Data!E381</f>
        <v/>
      </c>
      <c r="F381">
        <f>Raw_Data!F381</f>
        <v/>
      </c>
      <c r="G381">
        <f>Raw_Data!G381</f>
        <v/>
      </c>
      <c r="H381">
        <f>Raw_Data!H381</f>
        <v/>
      </c>
      <c r="I381">
        <f>Raw_Data!I381</f>
        <v/>
      </c>
      <c r="J381" s="12">
        <f>Raw_Data!J381</f>
        <v/>
      </c>
      <c r="K381" s="13">
        <f>Raw_Data!K381</f>
        <v/>
      </c>
      <c r="L381" s="12">
        <f>Raw_Data!L381</f>
        <v/>
      </c>
      <c r="M381" s="12">
        <f>Raw_Data!M381</f>
        <v/>
      </c>
      <c r="N381" s="12">
        <f>Raw_Data!N381</f>
        <v/>
      </c>
      <c r="O381">
        <f>Raw_Data!O381</f>
        <v/>
      </c>
      <c r="P381">
        <f>Raw_Data!P381</f>
        <v/>
      </c>
      <c r="Q381">
        <f>YEAR(B381)</f>
        <v/>
      </c>
      <c r="R381">
        <f>TEXT(B381,"mmm")</f>
        <v/>
      </c>
      <c r="S381" s="15">
        <f>IFERROR(N381/L381,0)</f>
        <v/>
      </c>
    </row>
    <row r="382">
      <c r="A382">
        <f>Raw_Data!A382</f>
        <v/>
      </c>
      <c r="B382" s="11">
        <f>Raw_Data!B382</f>
        <v/>
      </c>
      <c r="C382">
        <f>Raw_Data!C382</f>
        <v/>
      </c>
      <c r="D382">
        <f>Raw_Data!D382</f>
        <v/>
      </c>
      <c r="E382">
        <f>Raw_Data!E382</f>
        <v/>
      </c>
      <c r="F382">
        <f>Raw_Data!F382</f>
        <v/>
      </c>
      <c r="G382">
        <f>Raw_Data!G382</f>
        <v/>
      </c>
      <c r="H382">
        <f>Raw_Data!H382</f>
        <v/>
      </c>
      <c r="I382">
        <f>Raw_Data!I382</f>
        <v/>
      </c>
      <c r="J382" s="12">
        <f>Raw_Data!J382</f>
        <v/>
      </c>
      <c r="K382" s="13">
        <f>Raw_Data!K382</f>
        <v/>
      </c>
      <c r="L382" s="12">
        <f>Raw_Data!L382</f>
        <v/>
      </c>
      <c r="M382" s="12">
        <f>Raw_Data!M382</f>
        <v/>
      </c>
      <c r="N382" s="12">
        <f>Raw_Data!N382</f>
        <v/>
      </c>
      <c r="O382">
        <f>Raw_Data!O382</f>
        <v/>
      </c>
      <c r="P382">
        <f>Raw_Data!P382</f>
        <v/>
      </c>
      <c r="Q382">
        <f>YEAR(B382)</f>
        <v/>
      </c>
      <c r="R382">
        <f>TEXT(B382,"mmm")</f>
        <v/>
      </c>
      <c r="S382" s="15">
        <f>IFERROR(N382/L382,0)</f>
        <v/>
      </c>
    </row>
    <row r="383">
      <c r="A383">
        <f>Raw_Data!A383</f>
        <v/>
      </c>
      <c r="B383" s="11">
        <f>Raw_Data!B383</f>
        <v/>
      </c>
      <c r="C383">
        <f>Raw_Data!C383</f>
        <v/>
      </c>
      <c r="D383">
        <f>Raw_Data!D383</f>
        <v/>
      </c>
      <c r="E383">
        <f>Raw_Data!E383</f>
        <v/>
      </c>
      <c r="F383">
        <f>Raw_Data!F383</f>
        <v/>
      </c>
      <c r="G383">
        <f>Raw_Data!G383</f>
        <v/>
      </c>
      <c r="H383">
        <f>Raw_Data!H383</f>
        <v/>
      </c>
      <c r="I383">
        <f>Raw_Data!I383</f>
        <v/>
      </c>
      <c r="J383" s="12">
        <f>Raw_Data!J383</f>
        <v/>
      </c>
      <c r="K383" s="13">
        <f>Raw_Data!K383</f>
        <v/>
      </c>
      <c r="L383" s="12">
        <f>Raw_Data!L383</f>
        <v/>
      </c>
      <c r="M383" s="12">
        <f>Raw_Data!M383</f>
        <v/>
      </c>
      <c r="N383" s="12">
        <f>Raw_Data!N383</f>
        <v/>
      </c>
      <c r="O383">
        <f>Raw_Data!O383</f>
        <v/>
      </c>
      <c r="P383">
        <f>Raw_Data!P383</f>
        <v/>
      </c>
      <c r="Q383">
        <f>YEAR(B383)</f>
        <v/>
      </c>
      <c r="R383">
        <f>TEXT(B383,"mmm")</f>
        <v/>
      </c>
      <c r="S383" s="15">
        <f>IFERROR(N383/L383,0)</f>
        <v/>
      </c>
    </row>
    <row r="384">
      <c r="A384">
        <f>Raw_Data!A384</f>
        <v/>
      </c>
      <c r="B384" s="11">
        <f>Raw_Data!B384</f>
        <v/>
      </c>
      <c r="C384">
        <f>Raw_Data!C384</f>
        <v/>
      </c>
      <c r="D384">
        <f>Raw_Data!D384</f>
        <v/>
      </c>
      <c r="E384">
        <f>Raw_Data!E384</f>
        <v/>
      </c>
      <c r="F384">
        <f>Raw_Data!F384</f>
        <v/>
      </c>
      <c r="G384">
        <f>Raw_Data!G384</f>
        <v/>
      </c>
      <c r="H384">
        <f>Raw_Data!H384</f>
        <v/>
      </c>
      <c r="I384">
        <f>Raw_Data!I384</f>
        <v/>
      </c>
      <c r="J384" s="12">
        <f>Raw_Data!J384</f>
        <v/>
      </c>
      <c r="K384" s="13">
        <f>Raw_Data!K384</f>
        <v/>
      </c>
      <c r="L384" s="12">
        <f>Raw_Data!L384</f>
        <v/>
      </c>
      <c r="M384" s="12">
        <f>Raw_Data!M384</f>
        <v/>
      </c>
      <c r="N384" s="12">
        <f>Raw_Data!N384</f>
        <v/>
      </c>
      <c r="O384">
        <f>Raw_Data!O384</f>
        <v/>
      </c>
      <c r="P384">
        <f>Raw_Data!P384</f>
        <v/>
      </c>
      <c r="Q384">
        <f>YEAR(B384)</f>
        <v/>
      </c>
      <c r="R384">
        <f>TEXT(B384,"mmm")</f>
        <v/>
      </c>
      <c r="S384" s="15">
        <f>IFERROR(N384/L384,0)</f>
        <v/>
      </c>
    </row>
    <row r="385">
      <c r="A385">
        <f>Raw_Data!A385</f>
        <v/>
      </c>
      <c r="B385" s="11">
        <f>Raw_Data!B385</f>
        <v/>
      </c>
      <c r="C385">
        <f>Raw_Data!C385</f>
        <v/>
      </c>
      <c r="D385">
        <f>Raw_Data!D385</f>
        <v/>
      </c>
      <c r="E385">
        <f>Raw_Data!E385</f>
        <v/>
      </c>
      <c r="F385">
        <f>Raw_Data!F385</f>
        <v/>
      </c>
      <c r="G385">
        <f>Raw_Data!G385</f>
        <v/>
      </c>
      <c r="H385">
        <f>Raw_Data!H385</f>
        <v/>
      </c>
      <c r="I385">
        <f>Raw_Data!I385</f>
        <v/>
      </c>
      <c r="J385" s="12">
        <f>Raw_Data!J385</f>
        <v/>
      </c>
      <c r="K385" s="13">
        <f>Raw_Data!K385</f>
        <v/>
      </c>
      <c r="L385" s="12">
        <f>Raw_Data!L385</f>
        <v/>
      </c>
      <c r="M385" s="12">
        <f>Raw_Data!M385</f>
        <v/>
      </c>
      <c r="N385" s="12">
        <f>Raw_Data!N385</f>
        <v/>
      </c>
      <c r="O385">
        <f>Raw_Data!O385</f>
        <v/>
      </c>
      <c r="P385">
        <f>Raw_Data!P385</f>
        <v/>
      </c>
      <c r="Q385">
        <f>YEAR(B385)</f>
        <v/>
      </c>
      <c r="R385">
        <f>TEXT(B385,"mmm")</f>
        <v/>
      </c>
      <c r="S385" s="15">
        <f>IFERROR(N385/L385,0)</f>
        <v/>
      </c>
    </row>
    <row r="386">
      <c r="A386">
        <f>Raw_Data!A386</f>
        <v/>
      </c>
      <c r="B386" s="11">
        <f>Raw_Data!B386</f>
        <v/>
      </c>
      <c r="C386">
        <f>Raw_Data!C386</f>
        <v/>
      </c>
      <c r="D386">
        <f>Raw_Data!D386</f>
        <v/>
      </c>
      <c r="E386">
        <f>Raw_Data!E386</f>
        <v/>
      </c>
      <c r="F386">
        <f>Raw_Data!F386</f>
        <v/>
      </c>
      <c r="G386">
        <f>Raw_Data!G386</f>
        <v/>
      </c>
      <c r="H386">
        <f>Raw_Data!H386</f>
        <v/>
      </c>
      <c r="I386">
        <f>Raw_Data!I386</f>
        <v/>
      </c>
      <c r="J386" s="12">
        <f>Raw_Data!J386</f>
        <v/>
      </c>
      <c r="K386" s="13">
        <f>Raw_Data!K386</f>
        <v/>
      </c>
      <c r="L386" s="12">
        <f>Raw_Data!L386</f>
        <v/>
      </c>
      <c r="M386" s="12">
        <f>Raw_Data!M386</f>
        <v/>
      </c>
      <c r="N386" s="12">
        <f>Raw_Data!N386</f>
        <v/>
      </c>
      <c r="O386">
        <f>Raw_Data!O386</f>
        <v/>
      </c>
      <c r="P386">
        <f>Raw_Data!P386</f>
        <v/>
      </c>
      <c r="Q386">
        <f>YEAR(B386)</f>
        <v/>
      </c>
      <c r="R386">
        <f>TEXT(B386,"mmm")</f>
        <v/>
      </c>
      <c r="S386" s="15">
        <f>IFERROR(N386/L386,0)</f>
        <v/>
      </c>
    </row>
    <row r="387">
      <c r="A387">
        <f>Raw_Data!A387</f>
        <v/>
      </c>
      <c r="B387" s="11">
        <f>Raw_Data!B387</f>
        <v/>
      </c>
      <c r="C387">
        <f>Raw_Data!C387</f>
        <v/>
      </c>
      <c r="D387">
        <f>Raw_Data!D387</f>
        <v/>
      </c>
      <c r="E387">
        <f>Raw_Data!E387</f>
        <v/>
      </c>
      <c r="F387">
        <f>Raw_Data!F387</f>
        <v/>
      </c>
      <c r="G387">
        <f>Raw_Data!G387</f>
        <v/>
      </c>
      <c r="H387">
        <f>Raw_Data!H387</f>
        <v/>
      </c>
      <c r="I387">
        <f>Raw_Data!I387</f>
        <v/>
      </c>
      <c r="J387" s="12">
        <f>Raw_Data!J387</f>
        <v/>
      </c>
      <c r="K387" s="13">
        <f>Raw_Data!K387</f>
        <v/>
      </c>
      <c r="L387" s="12">
        <f>Raw_Data!L387</f>
        <v/>
      </c>
      <c r="M387" s="12">
        <f>Raw_Data!M387</f>
        <v/>
      </c>
      <c r="N387" s="12">
        <f>Raw_Data!N387</f>
        <v/>
      </c>
      <c r="O387">
        <f>Raw_Data!O387</f>
        <v/>
      </c>
      <c r="P387">
        <f>Raw_Data!P387</f>
        <v/>
      </c>
      <c r="Q387">
        <f>YEAR(B387)</f>
        <v/>
      </c>
      <c r="R387">
        <f>TEXT(B387,"mmm")</f>
        <v/>
      </c>
      <c r="S387" s="15">
        <f>IFERROR(N387/L387,0)</f>
        <v/>
      </c>
    </row>
    <row r="388">
      <c r="A388">
        <f>Raw_Data!A388</f>
        <v/>
      </c>
      <c r="B388" s="11">
        <f>Raw_Data!B388</f>
        <v/>
      </c>
      <c r="C388">
        <f>Raw_Data!C388</f>
        <v/>
      </c>
      <c r="D388">
        <f>Raw_Data!D388</f>
        <v/>
      </c>
      <c r="E388">
        <f>Raw_Data!E388</f>
        <v/>
      </c>
      <c r="F388">
        <f>Raw_Data!F388</f>
        <v/>
      </c>
      <c r="G388">
        <f>Raw_Data!G388</f>
        <v/>
      </c>
      <c r="H388">
        <f>Raw_Data!H388</f>
        <v/>
      </c>
      <c r="I388">
        <f>Raw_Data!I388</f>
        <v/>
      </c>
      <c r="J388" s="12">
        <f>Raw_Data!J388</f>
        <v/>
      </c>
      <c r="K388" s="13">
        <f>Raw_Data!K388</f>
        <v/>
      </c>
      <c r="L388" s="12">
        <f>Raw_Data!L388</f>
        <v/>
      </c>
      <c r="M388" s="12">
        <f>Raw_Data!M388</f>
        <v/>
      </c>
      <c r="N388" s="12">
        <f>Raw_Data!N388</f>
        <v/>
      </c>
      <c r="O388">
        <f>Raw_Data!O388</f>
        <v/>
      </c>
      <c r="P388">
        <f>Raw_Data!P388</f>
        <v/>
      </c>
      <c r="Q388">
        <f>YEAR(B388)</f>
        <v/>
      </c>
      <c r="R388">
        <f>TEXT(B388,"mmm")</f>
        <v/>
      </c>
      <c r="S388" s="15">
        <f>IFERROR(N388/L388,0)</f>
        <v/>
      </c>
    </row>
    <row r="389">
      <c r="A389">
        <f>Raw_Data!A389</f>
        <v/>
      </c>
      <c r="B389" s="11">
        <f>Raw_Data!B389</f>
        <v/>
      </c>
      <c r="C389">
        <f>Raw_Data!C389</f>
        <v/>
      </c>
      <c r="D389">
        <f>Raw_Data!D389</f>
        <v/>
      </c>
      <c r="E389">
        <f>Raw_Data!E389</f>
        <v/>
      </c>
      <c r="F389">
        <f>Raw_Data!F389</f>
        <v/>
      </c>
      <c r="G389">
        <f>Raw_Data!G389</f>
        <v/>
      </c>
      <c r="H389">
        <f>Raw_Data!H389</f>
        <v/>
      </c>
      <c r="I389">
        <f>Raw_Data!I389</f>
        <v/>
      </c>
      <c r="J389" s="12">
        <f>Raw_Data!J389</f>
        <v/>
      </c>
      <c r="K389" s="13">
        <f>Raw_Data!K389</f>
        <v/>
      </c>
      <c r="L389" s="12">
        <f>Raw_Data!L389</f>
        <v/>
      </c>
      <c r="M389" s="12">
        <f>Raw_Data!M389</f>
        <v/>
      </c>
      <c r="N389" s="12">
        <f>Raw_Data!N389</f>
        <v/>
      </c>
      <c r="O389">
        <f>Raw_Data!O389</f>
        <v/>
      </c>
      <c r="P389">
        <f>Raw_Data!P389</f>
        <v/>
      </c>
      <c r="Q389">
        <f>YEAR(B389)</f>
        <v/>
      </c>
      <c r="R389">
        <f>TEXT(B389,"mmm")</f>
        <v/>
      </c>
      <c r="S389" s="15">
        <f>IFERROR(N389/L389,0)</f>
        <v/>
      </c>
    </row>
    <row r="390">
      <c r="A390">
        <f>Raw_Data!A390</f>
        <v/>
      </c>
      <c r="B390" s="11">
        <f>Raw_Data!B390</f>
        <v/>
      </c>
      <c r="C390">
        <f>Raw_Data!C390</f>
        <v/>
      </c>
      <c r="D390">
        <f>Raw_Data!D390</f>
        <v/>
      </c>
      <c r="E390">
        <f>Raw_Data!E390</f>
        <v/>
      </c>
      <c r="F390">
        <f>Raw_Data!F390</f>
        <v/>
      </c>
      <c r="G390">
        <f>Raw_Data!G390</f>
        <v/>
      </c>
      <c r="H390">
        <f>Raw_Data!H390</f>
        <v/>
      </c>
      <c r="I390">
        <f>Raw_Data!I390</f>
        <v/>
      </c>
      <c r="J390" s="12">
        <f>Raw_Data!J390</f>
        <v/>
      </c>
      <c r="K390" s="13">
        <f>Raw_Data!K390</f>
        <v/>
      </c>
      <c r="L390" s="12">
        <f>Raw_Data!L390</f>
        <v/>
      </c>
      <c r="M390" s="12">
        <f>Raw_Data!M390</f>
        <v/>
      </c>
      <c r="N390" s="12">
        <f>Raw_Data!N390</f>
        <v/>
      </c>
      <c r="O390">
        <f>Raw_Data!O390</f>
        <v/>
      </c>
      <c r="P390">
        <f>Raw_Data!P390</f>
        <v/>
      </c>
      <c r="Q390">
        <f>YEAR(B390)</f>
        <v/>
      </c>
      <c r="R390">
        <f>TEXT(B390,"mmm")</f>
        <v/>
      </c>
      <c r="S390" s="15">
        <f>IFERROR(N390/L390,0)</f>
        <v/>
      </c>
    </row>
    <row r="391">
      <c r="A391">
        <f>Raw_Data!A391</f>
        <v/>
      </c>
      <c r="B391" s="11">
        <f>Raw_Data!B391</f>
        <v/>
      </c>
      <c r="C391">
        <f>Raw_Data!C391</f>
        <v/>
      </c>
      <c r="D391">
        <f>Raw_Data!D391</f>
        <v/>
      </c>
      <c r="E391">
        <f>Raw_Data!E391</f>
        <v/>
      </c>
      <c r="F391">
        <f>Raw_Data!F391</f>
        <v/>
      </c>
      <c r="G391">
        <f>Raw_Data!G391</f>
        <v/>
      </c>
      <c r="H391">
        <f>Raw_Data!H391</f>
        <v/>
      </c>
      <c r="I391">
        <f>Raw_Data!I391</f>
        <v/>
      </c>
      <c r="J391" s="12">
        <f>Raw_Data!J391</f>
        <v/>
      </c>
      <c r="K391" s="13">
        <f>Raw_Data!K391</f>
        <v/>
      </c>
      <c r="L391" s="12">
        <f>Raw_Data!L391</f>
        <v/>
      </c>
      <c r="M391" s="12">
        <f>Raw_Data!M391</f>
        <v/>
      </c>
      <c r="N391" s="12">
        <f>Raw_Data!N391</f>
        <v/>
      </c>
      <c r="O391">
        <f>Raw_Data!O391</f>
        <v/>
      </c>
      <c r="P391">
        <f>Raw_Data!P391</f>
        <v/>
      </c>
      <c r="Q391">
        <f>YEAR(B391)</f>
        <v/>
      </c>
      <c r="R391">
        <f>TEXT(B391,"mmm")</f>
        <v/>
      </c>
      <c r="S391" s="15">
        <f>IFERROR(N391/L391,0)</f>
        <v/>
      </c>
    </row>
    <row r="392">
      <c r="A392">
        <f>Raw_Data!A392</f>
        <v/>
      </c>
      <c r="B392" s="11">
        <f>Raw_Data!B392</f>
        <v/>
      </c>
      <c r="C392">
        <f>Raw_Data!C392</f>
        <v/>
      </c>
      <c r="D392">
        <f>Raw_Data!D392</f>
        <v/>
      </c>
      <c r="E392">
        <f>Raw_Data!E392</f>
        <v/>
      </c>
      <c r="F392">
        <f>Raw_Data!F392</f>
        <v/>
      </c>
      <c r="G392">
        <f>Raw_Data!G392</f>
        <v/>
      </c>
      <c r="H392">
        <f>Raw_Data!H392</f>
        <v/>
      </c>
      <c r="I392">
        <f>Raw_Data!I392</f>
        <v/>
      </c>
      <c r="J392" s="12">
        <f>Raw_Data!J392</f>
        <v/>
      </c>
      <c r="K392" s="13">
        <f>Raw_Data!K392</f>
        <v/>
      </c>
      <c r="L392" s="12">
        <f>Raw_Data!L392</f>
        <v/>
      </c>
      <c r="M392" s="12">
        <f>Raw_Data!M392</f>
        <v/>
      </c>
      <c r="N392" s="12">
        <f>Raw_Data!N392</f>
        <v/>
      </c>
      <c r="O392">
        <f>Raw_Data!O392</f>
        <v/>
      </c>
      <c r="P392">
        <f>Raw_Data!P392</f>
        <v/>
      </c>
      <c r="Q392">
        <f>YEAR(B392)</f>
        <v/>
      </c>
      <c r="R392">
        <f>TEXT(B392,"mmm")</f>
        <v/>
      </c>
      <c r="S392" s="15">
        <f>IFERROR(N392/L392,0)</f>
        <v/>
      </c>
    </row>
    <row r="393">
      <c r="A393">
        <f>Raw_Data!A393</f>
        <v/>
      </c>
      <c r="B393" s="11">
        <f>Raw_Data!B393</f>
        <v/>
      </c>
      <c r="C393">
        <f>Raw_Data!C393</f>
        <v/>
      </c>
      <c r="D393">
        <f>Raw_Data!D393</f>
        <v/>
      </c>
      <c r="E393">
        <f>Raw_Data!E393</f>
        <v/>
      </c>
      <c r="F393">
        <f>Raw_Data!F393</f>
        <v/>
      </c>
      <c r="G393">
        <f>Raw_Data!G393</f>
        <v/>
      </c>
      <c r="H393">
        <f>Raw_Data!H393</f>
        <v/>
      </c>
      <c r="I393">
        <f>Raw_Data!I393</f>
        <v/>
      </c>
      <c r="J393" s="12">
        <f>Raw_Data!J393</f>
        <v/>
      </c>
      <c r="K393" s="13">
        <f>Raw_Data!K393</f>
        <v/>
      </c>
      <c r="L393" s="12">
        <f>Raw_Data!L393</f>
        <v/>
      </c>
      <c r="M393" s="12">
        <f>Raw_Data!M393</f>
        <v/>
      </c>
      <c r="N393" s="12">
        <f>Raw_Data!N393</f>
        <v/>
      </c>
      <c r="O393">
        <f>Raw_Data!O393</f>
        <v/>
      </c>
      <c r="P393">
        <f>Raw_Data!P393</f>
        <v/>
      </c>
      <c r="Q393">
        <f>YEAR(B393)</f>
        <v/>
      </c>
      <c r="R393">
        <f>TEXT(B393,"mmm")</f>
        <v/>
      </c>
      <c r="S393" s="15">
        <f>IFERROR(N393/L393,0)</f>
        <v/>
      </c>
    </row>
    <row r="394">
      <c r="A394">
        <f>Raw_Data!A394</f>
        <v/>
      </c>
      <c r="B394" s="11">
        <f>Raw_Data!B394</f>
        <v/>
      </c>
      <c r="C394">
        <f>Raw_Data!C394</f>
        <v/>
      </c>
      <c r="D394">
        <f>Raw_Data!D394</f>
        <v/>
      </c>
      <c r="E394">
        <f>Raw_Data!E394</f>
        <v/>
      </c>
      <c r="F394">
        <f>Raw_Data!F394</f>
        <v/>
      </c>
      <c r="G394">
        <f>Raw_Data!G394</f>
        <v/>
      </c>
      <c r="H394">
        <f>Raw_Data!H394</f>
        <v/>
      </c>
      <c r="I394">
        <f>Raw_Data!I394</f>
        <v/>
      </c>
      <c r="J394" s="12">
        <f>Raw_Data!J394</f>
        <v/>
      </c>
      <c r="K394" s="13">
        <f>Raw_Data!K394</f>
        <v/>
      </c>
      <c r="L394" s="12">
        <f>Raw_Data!L394</f>
        <v/>
      </c>
      <c r="M394" s="12">
        <f>Raw_Data!M394</f>
        <v/>
      </c>
      <c r="N394" s="12">
        <f>Raw_Data!N394</f>
        <v/>
      </c>
      <c r="O394">
        <f>Raw_Data!O394</f>
        <v/>
      </c>
      <c r="P394">
        <f>Raw_Data!P394</f>
        <v/>
      </c>
      <c r="Q394">
        <f>YEAR(B394)</f>
        <v/>
      </c>
      <c r="R394">
        <f>TEXT(B394,"mmm")</f>
        <v/>
      </c>
      <c r="S394" s="15">
        <f>IFERROR(N394/L394,0)</f>
        <v/>
      </c>
    </row>
    <row r="395">
      <c r="A395">
        <f>Raw_Data!A395</f>
        <v/>
      </c>
      <c r="B395" s="11">
        <f>Raw_Data!B395</f>
        <v/>
      </c>
      <c r="C395">
        <f>Raw_Data!C395</f>
        <v/>
      </c>
      <c r="D395">
        <f>Raw_Data!D395</f>
        <v/>
      </c>
      <c r="E395">
        <f>Raw_Data!E395</f>
        <v/>
      </c>
      <c r="F395">
        <f>Raw_Data!F395</f>
        <v/>
      </c>
      <c r="G395">
        <f>Raw_Data!G395</f>
        <v/>
      </c>
      <c r="H395">
        <f>Raw_Data!H395</f>
        <v/>
      </c>
      <c r="I395">
        <f>Raw_Data!I395</f>
        <v/>
      </c>
      <c r="J395" s="12">
        <f>Raw_Data!J395</f>
        <v/>
      </c>
      <c r="K395" s="13">
        <f>Raw_Data!K395</f>
        <v/>
      </c>
      <c r="L395" s="12">
        <f>Raw_Data!L395</f>
        <v/>
      </c>
      <c r="M395" s="12">
        <f>Raw_Data!M395</f>
        <v/>
      </c>
      <c r="N395" s="12">
        <f>Raw_Data!N395</f>
        <v/>
      </c>
      <c r="O395">
        <f>Raw_Data!O395</f>
        <v/>
      </c>
      <c r="P395">
        <f>Raw_Data!P395</f>
        <v/>
      </c>
      <c r="Q395">
        <f>YEAR(B395)</f>
        <v/>
      </c>
      <c r="R395">
        <f>TEXT(B395,"mmm")</f>
        <v/>
      </c>
      <c r="S395" s="15">
        <f>IFERROR(N395/L395,0)</f>
        <v/>
      </c>
    </row>
    <row r="396">
      <c r="A396">
        <f>Raw_Data!A396</f>
        <v/>
      </c>
      <c r="B396" s="11">
        <f>Raw_Data!B396</f>
        <v/>
      </c>
      <c r="C396">
        <f>Raw_Data!C396</f>
        <v/>
      </c>
      <c r="D396">
        <f>Raw_Data!D396</f>
        <v/>
      </c>
      <c r="E396">
        <f>Raw_Data!E396</f>
        <v/>
      </c>
      <c r="F396">
        <f>Raw_Data!F396</f>
        <v/>
      </c>
      <c r="G396">
        <f>Raw_Data!G396</f>
        <v/>
      </c>
      <c r="H396">
        <f>Raw_Data!H396</f>
        <v/>
      </c>
      <c r="I396">
        <f>Raw_Data!I396</f>
        <v/>
      </c>
      <c r="J396" s="12">
        <f>Raw_Data!J396</f>
        <v/>
      </c>
      <c r="K396" s="13">
        <f>Raw_Data!K396</f>
        <v/>
      </c>
      <c r="L396" s="12">
        <f>Raw_Data!L396</f>
        <v/>
      </c>
      <c r="M396" s="12">
        <f>Raw_Data!M396</f>
        <v/>
      </c>
      <c r="N396" s="12">
        <f>Raw_Data!N396</f>
        <v/>
      </c>
      <c r="O396">
        <f>Raw_Data!O396</f>
        <v/>
      </c>
      <c r="P396">
        <f>Raw_Data!P396</f>
        <v/>
      </c>
      <c r="Q396">
        <f>YEAR(B396)</f>
        <v/>
      </c>
      <c r="R396">
        <f>TEXT(B396,"mmm")</f>
        <v/>
      </c>
      <c r="S396" s="15">
        <f>IFERROR(N396/L396,0)</f>
        <v/>
      </c>
    </row>
    <row r="397">
      <c r="A397">
        <f>Raw_Data!A397</f>
        <v/>
      </c>
      <c r="B397" s="11">
        <f>Raw_Data!B397</f>
        <v/>
      </c>
      <c r="C397">
        <f>Raw_Data!C397</f>
        <v/>
      </c>
      <c r="D397">
        <f>Raw_Data!D397</f>
        <v/>
      </c>
      <c r="E397">
        <f>Raw_Data!E397</f>
        <v/>
      </c>
      <c r="F397">
        <f>Raw_Data!F397</f>
        <v/>
      </c>
      <c r="G397">
        <f>Raw_Data!G397</f>
        <v/>
      </c>
      <c r="H397">
        <f>Raw_Data!H397</f>
        <v/>
      </c>
      <c r="I397">
        <f>Raw_Data!I397</f>
        <v/>
      </c>
      <c r="J397" s="12">
        <f>Raw_Data!J397</f>
        <v/>
      </c>
      <c r="K397" s="13">
        <f>Raw_Data!K397</f>
        <v/>
      </c>
      <c r="L397" s="12">
        <f>Raw_Data!L397</f>
        <v/>
      </c>
      <c r="M397" s="12">
        <f>Raw_Data!M397</f>
        <v/>
      </c>
      <c r="N397" s="12">
        <f>Raw_Data!N397</f>
        <v/>
      </c>
      <c r="O397">
        <f>Raw_Data!O397</f>
        <v/>
      </c>
      <c r="P397">
        <f>Raw_Data!P397</f>
        <v/>
      </c>
      <c r="Q397">
        <f>YEAR(B397)</f>
        <v/>
      </c>
      <c r="R397">
        <f>TEXT(B397,"mmm")</f>
        <v/>
      </c>
      <c r="S397" s="15">
        <f>IFERROR(N397/L397,0)</f>
        <v/>
      </c>
    </row>
    <row r="398">
      <c r="A398">
        <f>Raw_Data!A398</f>
        <v/>
      </c>
      <c r="B398" s="11">
        <f>Raw_Data!B398</f>
        <v/>
      </c>
      <c r="C398">
        <f>Raw_Data!C398</f>
        <v/>
      </c>
      <c r="D398">
        <f>Raw_Data!D398</f>
        <v/>
      </c>
      <c r="E398">
        <f>Raw_Data!E398</f>
        <v/>
      </c>
      <c r="F398">
        <f>Raw_Data!F398</f>
        <v/>
      </c>
      <c r="G398">
        <f>Raw_Data!G398</f>
        <v/>
      </c>
      <c r="H398">
        <f>Raw_Data!H398</f>
        <v/>
      </c>
      <c r="I398">
        <f>Raw_Data!I398</f>
        <v/>
      </c>
      <c r="J398" s="12">
        <f>Raw_Data!J398</f>
        <v/>
      </c>
      <c r="K398" s="13">
        <f>Raw_Data!K398</f>
        <v/>
      </c>
      <c r="L398" s="12">
        <f>Raw_Data!L398</f>
        <v/>
      </c>
      <c r="M398" s="12">
        <f>Raw_Data!M398</f>
        <v/>
      </c>
      <c r="N398" s="12">
        <f>Raw_Data!N398</f>
        <v/>
      </c>
      <c r="O398">
        <f>Raw_Data!O398</f>
        <v/>
      </c>
      <c r="P398">
        <f>Raw_Data!P398</f>
        <v/>
      </c>
      <c r="Q398">
        <f>YEAR(B398)</f>
        <v/>
      </c>
      <c r="R398">
        <f>TEXT(B398,"mmm")</f>
        <v/>
      </c>
      <c r="S398" s="15">
        <f>IFERROR(N398/L398,0)</f>
        <v/>
      </c>
    </row>
    <row r="399">
      <c r="A399">
        <f>Raw_Data!A399</f>
        <v/>
      </c>
      <c r="B399" s="11">
        <f>Raw_Data!B399</f>
        <v/>
      </c>
      <c r="C399">
        <f>Raw_Data!C399</f>
        <v/>
      </c>
      <c r="D399">
        <f>Raw_Data!D399</f>
        <v/>
      </c>
      <c r="E399">
        <f>Raw_Data!E399</f>
        <v/>
      </c>
      <c r="F399">
        <f>Raw_Data!F399</f>
        <v/>
      </c>
      <c r="G399">
        <f>Raw_Data!G399</f>
        <v/>
      </c>
      <c r="H399">
        <f>Raw_Data!H399</f>
        <v/>
      </c>
      <c r="I399">
        <f>Raw_Data!I399</f>
        <v/>
      </c>
      <c r="J399" s="12">
        <f>Raw_Data!J399</f>
        <v/>
      </c>
      <c r="K399" s="13">
        <f>Raw_Data!K399</f>
        <v/>
      </c>
      <c r="L399" s="12">
        <f>Raw_Data!L399</f>
        <v/>
      </c>
      <c r="M399" s="12">
        <f>Raw_Data!M399</f>
        <v/>
      </c>
      <c r="N399" s="12">
        <f>Raw_Data!N399</f>
        <v/>
      </c>
      <c r="O399">
        <f>Raw_Data!O399</f>
        <v/>
      </c>
      <c r="P399">
        <f>Raw_Data!P399</f>
        <v/>
      </c>
      <c r="Q399">
        <f>YEAR(B399)</f>
        <v/>
      </c>
      <c r="R399">
        <f>TEXT(B399,"mmm")</f>
        <v/>
      </c>
      <c r="S399" s="15">
        <f>IFERROR(N399/L399,0)</f>
        <v/>
      </c>
    </row>
    <row r="400">
      <c r="A400">
        <f>Raw_Data!A400</f>
        <v/>
      </c>
      <c r="B400" s="11">
        <f>Raw_Data!B400</f>
        <v/>
      </c>
      <c r="C400">
        <f>Raw_Data!C400</f>
        <v/>
      </c>
      <c r="D400">
        <f>Raw_Data!D400</f>
        <v/>
      </c>
      <c r="E400">
        <f>Raw_Data!E400</f>
        <v/>
      </c>
      <c r="F400">
        <f>Raw_Data!F400</f>
        <v/>
      </c>
      <c r="G400">
        <f>Raw_Data!G400</f>
        <v/>
      </c>
      <c r="H400">
        <f>Raw_Data!H400</f>
        <v/>
      </c>
      <c r="I400">
        <f>Raw_Data!I400</f>
        <v/>
      </c>
      <c r="J400" s="12">
        <f>Raw_Data!J400</f>
        <v/>
      </c>
      <c r="K400" s="13">
        <f>Raw_Data!K400</f>
        <v/>
      </c>
      <c r="L400" s="12">
        <f>Raw_Data!L400</f>
        <v/>
      </c>
      <c r="M400" s="12">
        <f>Raw_Data!M400</f>
        <v/>
      </c>
      <c r="N400" s="12">
        <f>Raw_Data!N400</f>
        <v/>
      </c>
      <c r="O400">
        <f>Raw_Data!O400</f>
        <v/>
      </c>
      <c r="P400">
        <f>Raw_Data!P400</f>
        <v/>
      </c>
      <c r="Q400">
        <f>YEAR(B400)</f>
        <v/>
      </c>
      <c r="R400">
        <f>TEXT(B400,"mmm")</f>
        <v/>
      </c>
      <c r="S400" s="15">
        <f>IFERROR(N400/L400,0)</f>
        <v/>
      </c>
    </row>
    <row r="401">
      <c r="A401">
        <f>Raw_Data!A401</f>
        <v/>
      </c>
      <c r="B401" s="11">
        <f>Raw_Data!B401</f>
        <v/>
      </c>
      <c r="C401">
        <f>Raw_Data!C401</f>
        <v/>
      </c>
      <c r="D401">
        <f>Raw_Data!D401</f>
        <v/>
      </c>
      <c r="E401">
        <f>Raw_Data!E401</f>
        <v/>
      </c>
      <c r="F401">
        <f>Raw_Data!F401</f>
        <v/>
      </c>
      <c r="G401">
        <f>Raw_Data!G401</f>
        <v/>
      </c>
      <c r="H401">
        <f>Raw_Data!H401</f>
        <v/>
      </c>
      <c r="I401">
        <f>Raw_Data!I401</f>
        <v/>
      </c>
      <c r="J401" s="12">
        <f>Raw_Data!J401</f>
        <v/>
      </c>
      <c r="K401" s="13">
        <f>Raw_Data!K401</f>
        <v/>
      </c>
      <c r="L401" s="12">
        <f>Raw_Data!L401</f>
        <v/>
      </c>
      <c r="M401" s="12">
        <f>Raw_Data!M401</f>
        <v/>
      </c>
      <c r="N401" s="12">
        <f>Raw_Data!N401</f>
        <v/>
      </c>
      <c r="O401">
        <f>Raw_Data!O401</f>
        <v/>
      </c>
      <c r="P401">
        <f>Raw_Data!P401</f>
        <v/>
      </c>
      <c r="Q401">
        <f>YEAR(B401)</f>
        <v/>
      </c>
      <c r="R401">
        <f>TEXT(B401,"mmm")</f>
        <v/>
      </c>
      <c r="S401" s="15">
        <f>IFERROR(N401/L401,0)</f>
        <v/>
      </c>
    </row>
    <row r="402">
      <c r="A402">
        <f>Raw_Data!A402</f>
        <v/>
      </c>
      <c r="B402" s="11">
        <f>Raw_Data!B402</f>
        <v/>
      </c>
      <c r="C402">
        <f>Raw_Data!C402</f>
        <v/>
      </c>
      <c r="D402">
        <f>Raw_Data!D402</f>
        <v/>
      </c>
      <c r="E402">
        <f>Raw_Data!E402</f>
        <v/>
      </c>
      <c r="F402">
        <f>Raw_Data!F402</f>
        <v/>
      </c>
      <c r="G402">
        <f>Raw_Data!G402</f>
        <v/>
      </c>
      <c r="H402">
        <f>Raw_Data!H402</f>
        <v/>
      </c>
      <c r="I402">
        <f>Raw_Data!I402</f>
        <v/>
      </c>
      <c r="J402" s="12">
        <f>Raw_Data!J402</f>
        <v/>
      </c>
      <c r="K402" s="13">
        <f>Raw_Data!K402</f>
        <v/>
      </c>
      <c r="L402" s="12">
        <f>Raw_Data!L402</f>
        <v/>
      </c>
      <c r="M402" s="12">
        <f>Raw_Data!M402</f>
        <v/>
      </c>
      <c r="N402" s="12">
        <f>Raw_Data!N402</f>
        <v/>
      </c>
      <c r="O402">
        <f>Raw_Data!O402</f>
        <v/>
      </c>
      <c r="P402">
        <f>Raw_Data!P402</f>
        <v/>
      </c>
      <c r="Q402">
        <f>YEAR(B402)</f>
        <v/>
      </c>
      <c r="R402">
        <f>TEXT(B402,"mmm")</f>
        <v/>
      </c>
      <c r="S402" s="15">
        <f>IFERROR(N402/L402,0)</f>
        <v/>
      </c>
    </row>
    <row r="403">
      <c r="A403">
        <f>Raw_Data!A403</f>
        <v/>
      </c>
      <c r="B403" s="11">
        <f>Raw_Data!B403</f>
        <v/>
      </c>
      <c r="C403">
        <f>Raw_Data!C403</f>
        <v/>
      </c>
      <c r="D403">
        <f>Raw_Data!D403</f>
        <v/>
      </c>
      <c r="E403">
        <f>Raw_Data!E403</f>
        <v/>
      </c>
      <c r="F403">
        <f>Raw_Data!F403</f>
        <v/>
      </c>
      <c r="G403">
        <f>Raw_Data!G403</f>
        <v/>
      </c>
      <c r="H403">
        <f>Raw_Data!H403</f>
        <v/>
      </c>
      <c r="I403">
        <f>Raw_Data!I403</f>
        <v/>
      </c>
      <c r="J403" s="12">
        <f>Raw_Data!J403</f>
        <v/>
      </c>
      <c r="K403" s="13">
        <f>Raw_Data!K403</f>
        <v/>
      </c>
      <c r="L403" s="12">
        <f>Raw_Data!L403</f>
        <v/>
      </c>
      <c r="M403" s="12">
        <f>Raw_Data!M403</f>
        <v/>
      </c>
      <c r="N403" s="12">
        <f>Raw_Data!N403</f>
        <v/>
      </c>
      <c r="O403">
        <f>Raw_Data!O403</f>
        <v/>
      </c>
      <c r="P403">
        <f>Raw_Data!P403</f>
        <v/>
      </c>
      <c r="Q403">
        <f>YEAR(B403)</f>
        <v/>
      </c>
      <c r="R403">
        <f>TEXT(B403,"mmm")</f>
        <v/>
      </c>
      <c r="S403" s="15">
        <f>IFERROR(N403/L403,0)</f>
        <v/>
      </c>
    </row>
    <row r="404">
      <c r="A404">
        <f>Raw_Data!A404</f>
        <v/>
      </c>
      <c r="B404" s="11">
        <f>Raw_Data!B404</f>
        <v/>
      </c>
      <c r="C404">
        <f>Raw_Data!C404</f>
        <v/>
      </c>
      <c r="D404">
        <f>Raw_Data!D404</f>
        <v/>
      </c>
      <c r="E404">
        <f>Raw_Data!E404</f>
        <v/>
      </c>
      <c r="F404">
        <f>Raw_Data!F404</f>
        <v/>
      </c>
      <c r="G404">
        <f>Raw_Data!G404</f>
        <v/>
      </c>
      <c r="H404">
        <f>Raw_Data!H404</f>
        <v/>
      </c>
      <c r="I404">
        <f>Raw_Data!I404</f>
        <v/>
      </c>
      <c r="J404" s="12">
        <f>Raw_Data!J404</f>
        <v/>
      </c>
      <c r="K404" s="13">
        <f>Raw_Data!K404</f>
        <v/>
      </c>
      <c r="L404" s="12">
        <f>Raw_Data!L404</f>
        <v/>
      </c>
      <c r="M404" s="12">
        <f>Raw_Data!M404</f>
        <v/>
      </c>
      <c r="N404" s="12">
        <f>Raw_Data!N404</f>
        <v/>
      </c>
      <c r="O404">
        <f>Raw_Data!O404</f>
        <v/>
      </c>
      <c r="P404">
        <f>Raw_Data!P404</f>
        <v/>
      </c>
      <c r="Q404">
        <f>YEAR(B404)</f>
        <v/>
      </c>
      <c r="R404">
        <f>TEXT(B404,"mmm")</f>
        <v/>
      </c>
      <c r="S404" s="15">
        <f>IFERROR(N404/L404,0)</f>
        <v/>
      </c>
    </row>
    <row r="405">
      <c r="A405">
        <f>Raw_Data!A405</f>
        <v/>
      </c>
      <c r="B405" s="11">
        <f>Raw_Data!B405</f>
        <v/>
      </c>
      <c r="C405">
        <f>Raw_Data!C405</f>
        <v/>
      </c>
      <c r="D405">
        <f>Raw_Data!D405</f>
        <v/>
      </c>
      <c r="E405">
        <f>Raw_Data!E405</f>
        <v/>
      </c>
      <c r="F405">
        <f>Raw_Data!F405</f>
        <v/>
      </c>
      <c r="G405">
        <f>Raw_Data!G405</f>
        <v/>
      </c>
      <c r="H405">
        <f>Raw_Data!H405</f>
        <v/>
      </c>
      <c r="I405">
        <f>Raw_Data!I405</f>
        <v/>
      </c>
      <c r="J405" s="12">
        <f>Raw_Data!J405</f>
        <v/>
      </c>
      <c r="K405" s="13">
        <f>Raw_Data!K405</f>
        <v/>
      </c>
      <c r="L405" s="12">
        <f>Raw_Data!L405</f>
        <v/>
      </c>
      <c r="M405" s="12">
        <f>Raw_Data!M405</f>
        <v/>
      </c>
      <c r="N405" s="12">
        <f>Raw_Data!N405</f>
        <v/>
      </c>
      <c r="O405">
        <f>Raw_Data!O405</f>
        <v/>
      </c>
      <c r="P405">
        <f>Raw_Data!P405</f>
        <v/>
      </c>
      <c r="Q405">
        <f>YEAR(B405)</f>
        <v/>
      </c>
      <c r="R405">
        <f>TEXT(B405,"mmm")</f>
        <v/>
      </c>
      <c r="S405" s="15">
        <f>IFERROR(N405/L405,0)</f>
        <v/>
      </c>
    </row>
    <row r="406">
      <c r="A406">
        <f>Raw_Data!A406</f>
        <v/>
      </c>
      <c r="B406" s="11">
        <f>Raw_Data!B406</f>
        <v/>
      </c>
      <c r="C406">
        <f>Raw_Data!C406</f>
        <v/>
      </c>
      <c r="D406">
        <f>Raw_Data!D406</f>
        <v/>
      </c>
      <c r="E406">
        <f>Raw_Data!E406</f>
        <v/>
      </c>
      <c r="F406">
        <f>Raw_Data!F406</f>
        <v/>
      </c>
      <c r="G406">
        <f>Raw_Data!G406</f>
        <v/>
      </c>
      <c r="H406">
        <f>Raw_Data!H406</f>
        <v/>
      </c>
      <c r="I406">
        <f>Raw_Data!I406</f>
        <v/>
      </c>
      <c r="J406" s="12">
        <f>Raw_Data!J406</f>
        <v/>
      </c>
      <c r="K406" s="13">
        <f>Raw_Data!K406</f>
        <v/>
      </c>
      <c r="L406" s="12">
        <f>Raw_Data!L406</f>
        <v/>
      </c>
      <c r="M406" s="12">
        <f>Raw_Data!M406</f>
        <v/>
      </c>
      <c r="N406" s="12">
        <f>Raw_Data!N406</f>
        <v/>
      </c>
      <c r="O406">
        <f>Raw_Data!O406</f>
        <v/>
      </c>
      <c r="P406">
        <f>Raw_Data!P406</f>
        <v/>
      </c>
      <c r="Q406">
        <f>YEAR(B406)</f>
        <v/>
      </c>
      <c r="R406">
        <f>TEXT(B406,"mmm")</f>
        <v/>
      </c>
      <c r="S406" s="15">
        <f>IFERROR(N406/L406,0)</f>
        <v/>
      </c>
    </row>
    <row r="407">
      <c r="A407">
        <f>Raw_Data!A407</f>
        <v/>
      </c>
      <c r="B407" s="11">
        <f>Raw_Data!B407</f>
        <v/>
      </c>
      <c r="C407">
        <f>Raw_Data!C407</f>
        <v/>
      </c>
      <c r="D407">
        <f>Raw_Data!D407</f>
        <v/>
      </c>
      <c r="E407">
        <f>Raw_Data!E407</f>
        <v/>
      </c>
      <c r="F407">
        <f>Raw_Data!F407</f>
        <v/>
      </c>
      <c r="G407">
        <f>Raw_Data!G407</f>
        <v/>
      </c>
      <c r="H407">
        <f>Raw_Data!H407</f>
        <v/>
      </c>
      <c r="I407">
        <f>Raw_Data!I407</f>
        <v/>
      </c>
      <c r="J407" s="12">
        <f>Raw_Data!J407</f>
        <v/>
      </c>
      <c r="K407" s="13">
        <f>Raw_Data!K407</f>
        <v/>
      </c>
      <c r="L407" s="12">
        <f>Raw_Data!L407</f>
        <v/>
      </c>
      <c r="M407" s="12">
        <f>Raw_Data!M407</f>
        <v/>
      </c>
      <c r="N407" s="12">
        <f>Raw_Data!N407</f>
        <v/>
      </c>
      <c r="O407">
        <f>Raw_Data!O407</f>
        <v/>
      </c>
      <c r="P407">
        <f>Raw_Data!P407</f>
        <v/>
      </c>
      <c r="Q407">
        <f>YEAR(B407)</f>
        <v/>
      </c>
      <c r="R407">
        <f>TEXT(B407,"mmm")</f>
        <v/>
      </c>
      <c r="S407" s="15">
        <f>IFERROR(N407/L407,0)</f>
        <v/>
      </c>
    </row>
    <row r="408">
      <c r="A408">
        <f>Raw_Data!A408</f>
        <v/>
      </c>
      <c r="B408" s="11">
        <f>Raw_Data!B408</f>
        <v/>
      </c>
      <c r="C408">
        <f>Raw_Data!C408</f>
        <v/>
      </c>
      <c r="D408">
        <f>Raw_Data!D408</f>
        <v/>
      </c>
      <c r="E408">
        <f>Raw_Data!E408</f>
        <v/>
      </c>
      <c r="F408">
        <f>Raw_Data!F408</f>
        <v/>
      </c>
      <c r="G408">
        <f>Raw_Data!G408</f>
        <v/>
      </c>
      <c r="H408">
        <f>Raw_Data!H408</f>
        <v/>
      </c>
      <c r="I408">
        <f>Raw_Data!I408</f>
        <v/>
      </c>
      <c r="J408" s="12">
        <f>Raw_Data!J408</f>
        <v/>
      </c>
      <c r="K408" s="13">
        <f>Raw_Data!K408</f>
        <v/>
      </c>
      <c r="L408" s="12">
        <f>Raw_Data!L408</f>
        <v/>
      </c>
      <c r="M408" s="12">
        <f>Raw_Data!M408</f>
        <v/>
      </c>
      <c r="N408" s="12">
        <f>Raw_Data!N408</f>
        <v/>
      </c>
      <c r="O408">
        <f>Raw_Data!O408</f>
        <v/>
      </c>
      <c r="P408">
        <f>Raw_Data!P408</f>
        <v/>
      </c>
      <c r="Q408">
        <f>YEAR(B408)</f>
        <v/>
      </c>
      <c r="R408">
        <f>TEXT(B408,"mmm")</f>
        <v/>
      </c>
      <c r="S408" s="15">
        <f>IFERROR(N408/L408,0)</f>
        <v/>
      </c>
    </row>
    <row r="409">
      <c r="A409">
        <f>Raw_Data!A409</f>
        <v/>
      </c>
      <c r="B409" s="11">
        <f>Raw_Data!B409</f>
        <v/>
      </c>
      <c r="C409">
        <f>Raw_Data!C409</f>
        <v/>
      </c>
      <c r="D409">
        <f>Raw_Data!D409</f>
        <v/>
      </c>
      <c r="E409">
        <f>Raw_Data!E409</f>
        <v/>
      </c>
      <c r="F409">
        <f>Raw_Data!F409</f>
        <v/>
      </c>
      <c r="G409">
        <f>Raw_Data!G409</f>
        <v/>
      </c>
      <c r="H409">
        <f>Raw_Data!H409</f>
        <v/>
      </c>
      <c r="I409">
        <f>Raw_Data!I409</f>
        <v/>
      </c>
      <c r="J409" s="12">
        <f>Raw_Data!J409</f>
        <v/>
      </c>
      <c r="K409" s="13">
        <f>Raw_Data!K409</f>
        <v/>
      </c>
      <c r="L409" s="12">
        <f>Raw_Data!L409</f>
        <v/>
      </c>
      <c r="M409" s="12">
        <f>Raw_Data!M409</f>
        <v/>
      </c>
      <c r="N409" s="12">
        <f>Raw_Data!N409</f>
        <v/>
      </c>
      <c r="O409">
        <f>Raw_Data!O409</f>
        <v/>
      </c>
      <c r="P409">
        <f>Raw_Data!P409</f>
        <v/>
      </c>
      <c r="Q409">
        <f>YEAR(B409)</f>
        <v/>
      </c>
      <c r="R409">
        <f>TEXT(B409,"mmm")</f>
        <v/>
      </c>
      <c r="S409" s="15">
        <f>IFERROR(N409/L409,0)</f>
        <v/>
      </c>
    </row>
    <row r="410">
      <c r="A410">
        <f>Raw_Data!A410</f>
        <v/>
      </c>
      <c r="B410" s="11">
        <f>Raw_Data!B410</f>
        <v/>
      </c>
      <c r="C410">
        <f>Raw_Data!C410</f>
        <v/>
      </c>
      <c r="D410">
        <f>Raw_Data!D410</f>
        <v/>
      </c>
      <c r="E410">
        <f>Raw_Data!E410</f>
        <v/>
      </c>
      <c r="F410">
        <f>Raw_Data!F410</f>
        <v/>
      </c>
      <c r="G410">
        <f>Raw_Data!G410</f>
        <v/>
      </c>
      <c r="H410">
        <f>Raw_Data!H410</f>
        <v/>
      </c>
      <c r="I410">
        <f>Raw_Data!I410</f>
        <v/>
      </c>
      <c r="J410" s="12">
        <f>Raw_Data!J410</f>
        <v/>
      </c>
      <c r="K410" s="13">
        <f>Raw_Data!K410</f>
        <v/>
      </c>
      <c r="L410" s="12">
        <f>Raw_Data!L410</f>
        <v/>
      </c>
      <c r="M410" s="12">
        <f>Raw_Data!M410</f>
        <v/>
      </c>
      <c r="N410" s="12">
        <f>Raw_Data!N410</f>
        <v/>
      </c>
      <c r="O410">
        <f>Raw_Data!O410</f>
        <v/>
      </c>
      <c r="P410">
        <f>Raw_Data!P410</f>
        <v/>
      </c>
      <c r="Q410">
        <f>YEAR(B410)</f>
        <v/>
      </c>
      <c r="R410">
        <f>TEXT(B410,"mmm")</f>
        <v/>
      </c>
      <c r="S410" s="15">
        <f>IFERROR(N410/L410,0)</f>
        <v/>
      </c>
    </row>
    <row r="411">
      <c r="A411">
        <f>Raw_Data!A411</f>
        <v/>
      </c>
      <c r="B411" s="11">
        <f>Raw_Data!B411</f>
        <v/>
      </c>
      <c r="C411">
        <f>Raw_Data!C411</f>
        <v/>
      </c>
      <c r="D411">
        <f>Raw_Data!D411</f>
        <v/>
      </c>
      <c r="E411">
        <f>Raw_Data!E411</f>
        <v/>
      </c>
      <c r="F411">
        <f>Raw_Data!F411</f>
        <v/>
      </c>
      <c r="G411">
        <f>Raw_Data!G411</f>
        <v/>
      </c>
      <c r="H411">
        <f>Raw_Data!H411</f>
        <v/>
      </c>
      <c r="I411">
        <f>Raw_Data!I411</f>
        <v/>
      </c>
      <c r="J411" s="12">
        <f>Raw_Data!J411</f>
        <v/>
      </c>
      <c r="K411" s="13">
        <f>Raw_Data!K411</f>
        <v/>
      </c>
      <c r="L411" s="12">
        <f>Raw_Data!L411</f>
        <v/>
      </c>
      <c r="M411" s="12">
        <f>Raw_Data!M411</f>
        <v/>
      </c>
      <c r="N411" s="12">
        <f>Raw_Data!N411</f>
        <v/>
      </c>
      <c r="O411">
        <f>Raw_Data!O411</f>
        <v/>
      </c>
      <c r="P411">
        <f>Raw_Data!P411</f>
        <v/>
      </c>
      <c r="Q411">
        <f>YEAR(B411)</f>
        <v/>
      </c>
      <c r="R411">
        <f>TEXT(B411,"mmm")</f>
        <v/>
      </c>
      <c r="S411" s="15">
        <f>IFERROR(N411/L411,0)</f>
        <v/>
      </c>
    </row>
    <row r="412">
      <c r="A412">
        <f>Raw_Data!A412</f>
        <v/>
      </c>
      <c r="B412" s="11">
        <f>Raw_Data!B412</f>
        <v/>
      </c>
      <c r="C412">
        <f>Raw_Data!C412</f>
        <v/>
      </c>
      <c r="D412">
        <f>Raw_Data!D412</f>
        <v/>
      </c>
      <c r="E412">
        <f>Raw_Data!E412</f>
        <v/>
      </c>
      <c r="F412">
        <f>Raw_Data!F412</f>
        <v/>
      </c>
      <c r="G412">
        <f>Raw_Data!G412</f>
        <v/>
      </c>
      <c r="H412">
        <f>Raw_Data!H412</f>
        <v/>
      </c>
      <c r="I412">
        <f>Raw_Data!I412</f>
        <v/>
      </c>
      <c r="J412" s="12">
        <f>Raw_Data!J412</f>
        <v/>
      </c>
      <c r="K412" s="13">
        <f>Raw_Data!K412</f>
        <v/>
      </c>
      <c r="L412" s="12">
        <f>Raw_Data!L412</f>
        <v/>
      </c>
      <c r="M412" s="12">
        <f>Raw_Data!M412</f>
        <v/>
      </c>
      <c r="N412" s="12">
        <f>Raw_Data!N412</f>
        <v/>
      </c>
      <c r="O412">
        <f>Raw_Data!O412</f>
        <v/>
      </c>
      <c r="P412">
        <f>Raw_Data!P412</f>
        <v/>
      </c>
      <c r="Q412">
        <f>YEAR(B412)</f>
        <v/>
      </c>
      <c r="R412">
        <f>TEXT(B412,"mmm")</f>
        <v/>
      </c>
      <c r="S412" s="15">
        <f>IFERROR(N412/L412,0)</f>
        <v/>
      </c>
    </row>
    <row r="413">
      <c r="A413">
        <f>Raw_Data!A413</f>
        <v/>
      </c>
      <c r="B413" s="11">
        <f>Raw_Data!B413</f>
        <v/>
      </c>
      <c r="C413">
        <f>Raw_Data!C413</f>
        <v/>
      </c>
      <c r="D413">
        <f>Raw_Data!D413</f>
        <v/>
      </c>
      <c r="E413">
        <f>Raw_Data!E413</f>
        <v/>
      </c>
      <c r="F413">
        <f>Raw_Data!F413</f>
        <v/>
      </c>
      <c r="G413">
        <f>Raw_Data!G413</f>
        <v/>
      </c>
      <c r="H413">
        <f>Raw_Data!H413</f>
        <v/>
      </c>
      <c r="I413">
        <f>Raw_Data!I413</f>
        <v/>
      </c>
      <c r="J413" s="12">
        <f>Raw_Data!J413</f>
        <v/>
      </c>
      <c r="K413" s="13">
        <f>Raw_Data!K413</f>
        <v/>
      </c>
      <c r="L413" s="12">
        <f>Raw_Data!L413</f>
        <v/>
      </c>
      <c r="M413" s="12">
        <f>Raw_Data!M413</f>
        <v/>
      </c>
      <c r="N413" s="12">
        <f>Raw_Data!N413</f>
        <v/>
      </c>
      <c r="O413">
        <f>Raw_Data!O413</f>
        <v/>
      </c>
      <c r="P413">
        <f>Raw_Data!P413</f>
        <v/>
      </c>
      <c r="Q413">
        <f>YEAR(B413)</f>
        <v/>
      </c>
      <c r="R413">
        <f>TEXT(B413,"mmm")</f>
        <v/>
      </c>
      <c r="S413" s="15">
        <f>IFERROR(N413/L413,0)</f>
        <v/>
      </c>
    </row>
    <row r="414">
      <c r="A414">
        <f>Raw_Data!A414</f>
        <v/>
      </c>
      <c r="B414" s="11">
        <f>Raw_Data!B414</f>
        <v/>
      </c>
      <c r="C414">
        <f>Raw_Data!C414</f>
        <v/>
      </c>
      <c r="D414">
        <f>Raw_Data!D414</f>
        <v/>
      </c>
      <c r="E414">
        <f>Raw_Data!E414</f>
        <v/>
      </c>
      <c r="F414">
        <f>Raw_Data!F414</f>
        <v/>
      </c>
      <c r="G414">
        <f>Raw_Data!G414</f>
        <v/>
      </c>
      <c r="H414">
        <f>Raw_Data!H414</f>
        <v/>
      </c>
      <c r="I414">
        <f>Raw_Data!I414</f>
        <v/>
      </c>
      <c r="J414" s="12">
        <f>Raw_Data!J414</f>
        <v/>
      </c>
      <c r="K414" s="13">
        <f>Raw_Data!K414</f>
        <v/>
      </c>
      <c r="L414" s="12">
        <f>Raw_Data!L414</f>
        <v/>
      </c>
      <c r="M414" s="12">
        <f>Raw_Data!M414</f>
        <v/>
      </c>
      <c r="N414" s="12">
        <f>Raw_Data!N414</f>
        <v/>
      </c>
      <c r="O414">
        <f>Raw_Data!O414</f>
        <v/>
      </c>
      <c r="P414">
        <f>Raw_Data!P414</f>
        <v/>
      </c>
      <c r="Q414">
        <f>YEAR(B414)</f>
        <v/>
      </c>
      <c r="R414">
        <f>TEXT(B414,"mmm")</f>
        <v/>
      </c>
      <c r="S414" s="15">
        <f>IFERROR(N414/L414,0)</f>
        <v/>
      </c>
    </row>
    <row r="415">
      <c r="A415">
        <f>Raw_Data!A415</f>
        <v/>
      </c>
      <c r="B415" s="11">
        <f>Raw_Data!B415</f>
        <v/>
      </c>
      <c r="C415">
        <f>Raw_Data!C415</f>
        <v/>
      </c>
      <c r="D415">
        <f>Raw_Data!D415</f>
        <v/>
      </c>
      <c r="E415">
        <f>Raw_Data!E415</f>
        <v/>
      </c>
      <c r="F415">
        <f>Raw_Data!F415</f>
        <v/>
      </c>
      <c r="G415">
        <f>Raw_Data!G415</f>
        <v/>
      </c>
      <c r="H415">
        <f>Raw_Data!H415</f>
        <v/>
      </c>
      <c r="I415">
        <f>Raw_Data!I415</f>
        <v/>
      </c>
      <c r="J415" s="12">
        <f>Raw_Data!J415</f>
        <v/>
      </c>
      <c r="K415" s="13">
        <f>Raw_Data!K415</f>
        <v/>
      </c>
      <c r="L415" s="12">
        <f>Raw_Data!L415</f>
        <v/>
      </c>
      <c r="M415" s="12">
        <f>Raw_Data!M415</f>
        <v/>
      </c>
      <c r="N415" s="12">
        <f>Raw_Data!N415</f>
        <v/>
      </c>
      <c r="O415">
        <f>Raw_Data!O415</f>
        <v/>
      </c>
      <c r="P415">
        <f>Raw_Data!P415</f>
        <v/>
      </c>
      <c r="Q415">
        <f>YEAR(B415)</f>
        <v/>
      </c>
      <c r="R415">
        <f>TEXT(B415,"mmm")</f>
        <v/>
      </c>
      <c r="S415" s="15">
        <f>IFERROR(N415/L415,0)</f>
        <v/>
      </c>
    </row>
    <row r="416">
      <c r="A416">
        <f>Raw_Data!A416</f>
        <v/>
      </c>
      <c r="B416" s="11">
        <f>Raw_Data!B416</f>
        <v/>
      </c>
      <c r="C416">
        <f>Raw_Data!C416</f>
        <v/>
      </c>
      <c r="D416">
        <f>Raw_Data!D416</f>
        <v/>
      </c>
      <c r="E416">
        <f>Raw_Data!E416</f>
        <v/>
      </c>
      <c r="F416">
        <f>Raw_Data!F416</f>
        <v/>
      </c>
      <c r="G416">
        <f>Raw_Data!G416</f>
        <v/>
      </c>
      <c r="H416">
        <f>Raw_Data!H416</f>
        <v/>
      </c>
      <c r="I416">
        <f>Raw_Data!I416</f>
        <v/>
      </c>
      <c r="J416" s="12">
        <f>Raw_Data!J416</f>
        <v/>
      </c>
      <c r="K416" s="13">
        <f>Raw_Data!K416</f>
        <v/>
      </c>
      <c r="L416" s="12">
        <f>Raw_Data!L416</f>
        <v/>
      </c>
      <c r="M416" s="12">
        <f>Raw_Data!M416</f>
        <v/>
      </c>
      <c r="N416" s="12">
        <f>Raw_Data!N416</f>
        <v/>
      </c>
      <c r="O416">
        <f>Raw_Data!O416</f>
        <v/>
      </c>
      <c r="P416">
        <f>Raw_Data!P416</f>
        <v/>
      </c>
      <c r="Q416">
        <f>YEAR(B416)</f>
        <v/>
      </c>
      <c r="R416">
        <f>TEXT(B416,"mmm")</f>
        <v/>
      </c>
      <c r="S416" s="15">
        <f>IFERROR(N416/L416,0)</f>
        <v/>
      </c>
    </row>
    <row r="417">
      <c r="A417">
        <f>Raw_Data!A417</f>
        <v/>
      </c>
      <c r="B417" s="11">
        <f>Raw_Data!B417</f>
        <v/>
      </c>
      <c r="C417">
        <f>Raw_Data!C417</f>
        <v/>
      </c>
      <c r="D417">
        <f>Raw_Data!D417</f>
        <v/>
      </c>
      <c r="E417">
        <f>Raw_Data!E417</f>
        <v/>
      </c>
      <c r="F417">
        <f>Raw_Data!F417</f>
        <v/>
      </c>
      <c r="G417">
        <f>Raw_Data!G417</f>
        <v/>
      </c>
      <c r="H417">
        <f>Raw_Data!H417</f>
        <v/>
      </c>
      <c r="I417">
        <f>Raw_Data!I417</f>
        <v/>
      </c>
      <c r="J417" s="12">
        <f>Raw_Data!J417</f>
        <v/>
      </c>
      <c r="K417" s="13">
        <f>Raw_Data!K417</f>
        <v/>
      </c>
      <c r="L417" s="12">
        <f>Raw_Data!L417</f>
        <v/>
      </c>
      <c r="M417" s="12">
        <f>Raw_Data!M417</f>
        <v/>
      </c>
      <c r="N417" s="12">
        <f>Raw_Data!N417</f>
        <v/>
      </c>
      <c r="O417">
        <f>Raw_Data!O417</f>
        <v/>
      </c>
      <c r="P417">
        <f>Raw_Data!P417</f>
        <v/>
      </c>
      <c r="Q417">
        <f>YEAR(B417)</f>
        <v/>
      </c>
      <c r="R417">
        <f>TEXT(B417,"mmm")</f>
        <v/>
      </c>
      <c r="S417" s="15">
        <f>IFERROR(N417/L417,0)</f>
        <v/>
      </c>
    </row>
    <row r="418">
      <c r="A418">
        <f>Raw_Data!A418</f>
        <v/>
      </c>
      <c r="B418" s="11">
        <f>Raw_Data!B418</f>
        <v/>
      </c>
      <c r="C418">
        <f>Raw_Data!C418</f>
        <v/>
      </c>
      <c r="D418">
        <f>Raw_Data!D418</f>
        <v/>
      </c>
      <c r="E418">
        <f>Raw_Data!E418</f>
        <v/>
      </c>
      <c r="F418">
        <f>Raw_Data!F418</f>
        <v/>
      </c>
      <c r="G418">
        <f>Raw_Data!G418</f>
        <v/>
      </c>
      <c r="H418">
        <f>Raw_Data!H418</f>
        <v/>
      </c>
      <c r="I418">
        <f>Raw_Data!I418</f>
        <v/>
      </c>
      <c r="J418" s="12">
        <f>Raw_Data!J418</f>
        <v/>
      </c>
      <c r="K418" s="13">
        <f>Raw_Data!K418</f>
        <v/>
      </c>
      <c r="L418" s="12">
        <f>Raw_Data!L418</f>
        <v/>
      </c>
      <c r="M418" s="12">
        <f>Raw_Data!M418</f>
        <v/>
      </c>
      <c r="N418" s="12">
        <f>Raw_Data!N418</f>
        <v/>
      </c>
      <c r="O418">
        <f>Raw_Data!O418</f>
        <v/>
      </c>
      <c r="P418">
        <f>Raw_Data!P418</f>
        <v/>
      </c>
      <c r="Q418">
        <f>YEAR(B418)</f>
        <v/>
      </c>
      <c r="R418">
        <f>TEXT(B418,"mmm")</f>
        <v/>
      </c>
      <c r="S418" s="15">
        <f>IFERROR(N418/L418,0)</f>
        <v/>
      </c>
    </row>
    <row r="419">
      <c r="A419">
        <f>Raw_Data!A419</f>
        <v/>
      </c>
      <c r="B419" s="11">
        <f>Raw_Data!B419</f>
        <v/>
      </c>
      <c r="C419">
        <f>Raw_Data!C419</f>
        <v/>
      </c>
      <c r="D419">
        <f>Raw_Data!D419</f>
        <v/>
      </c>
      <c r="E419">
        <f>Raw_Data!E419</f>
        <v/>
      </c>
      <c r="F419">
        <f>Raw_Data!F419</f>
        <v/>
      </c>
      <c r="G419">
        <f>Raw_Data!G419</f>
        <v/>
      </c>
      <c r="H419">
        <f>Raw_Data!H419</f>
        <v/>
      </c>
      <c r="I419">
        <f>Raw_Data!I419</f>
        <v/>
      </c>
      <c r="J419" s="12">
        <f>Raw_Data!J419</f>
        <v/>
      </c>
      <c r="K419" s="13">
        <f>Raw_Data!K419</f>
        <v/>
      </c>
      <c r="L419" s="12">
        <f>Raw_Data!L419</f>
        <v/>
      </c>
      <c r="M419" s="12">
        <f>Raw_Data!M419</f>
        <v/>
      </c>
      <c r="N419" s="12">
        <f>Raw_Data!N419</f>
        <v/>
      </c>
      <c r="O419">
        <f>Raw_Data!O419</f>
        <v/>
      </c>
      <c r="P419">
        <f>Raw_Data!P419</f>
        <v/>
      </c>
      <c r="Q419">
        <f>YEAR(B419)</f>
        <v/>
      </c>
      <c r="R419">
        <f>TEXT(B419,"mmm")</f>
        <v/>
      </c>
      <c r="S419" s="15">
        <f>IFERROR(N419/L419,0)</f>
        <v/>
      </c>
    </row>
    <row r="420">
      <c r="A420">
        <f>Raw_Data!A420</f>
        <v/>
      </c>
      <c r="B420" s="11">
        <f>Raw_Data!B420</f>
        <v/>
      </c>
      <c r="C420">
        <f>Raw_Data!C420</f>
        <v/>
      </c>
      <c r="D420">
        <f>Raw_Data!D420</f>
        <v/>
      </c>
      <c r="E420">
        <f>Raw_Data!E420</f>
        <v/>
      </c>
      <c r="F420">
        <f>Raw_Data!F420</f>
        <v/>
      </c>
      <c r="G420">
        <f>Raw_Data!G420</f>
        <v/>
      </c>
      <c r="H420">
        <f>Raw_Data!H420</f>
        <v/>
      </c>
      <c r="I420">
        <f>Raw_Data!I420</f>
        <v/>
      </c>
      <c r="J420" s="12">
        <f>Raw_Data!J420</f>
        <v/>
      </c>
      <c r="K420" s="13">
        <f>Raw_Data!K420</f>
        <v/>
      </c>
      <c r="L420" s="12">
        <f>Raw_Data!L420</f>
        <v/>
      </c>
      <c r="M420" s="12">
        <f>Raw_Data!M420</f>
        <v/>
      </c>
      <c r="N420" s="12">
        <f>Raw_Data!N420</f>
        <v/>
      </c>
      <c r="O420">
        <f>Raw_Data!O420</f>
        <v/>
      </c>
      <c r="P420">
        <f>Raw_Data!P420</f>
        <v/>
      </c>
      <c r="Q420">
        <f>YEAR(B420)</f>
        <v/>
      </c>
      <c r="R420">
        <f>TEXT(B420,"mmm")</f>
        <v/>
      </c>
      <c r="S420" s="15">
        <f>IFERROR(N420/L420,0)</f>
        <v/>
      </c>
    </row>
    <row r="421">
      <c r="A421">
        <f>Raw_Data!A421</f>
        <v/>
      </c>
      <c r="B421" s="11">
        <f>Raw_Data!B421</f>
        <v/>
      </c>
      <c r="C421">
        <f>Raw_Data!C421</f>
        <v/>
      </c>
      <c r="D421">
        <f>Raw_Data!D421</f>
        <v/>
      </c>
      <c r="E421">
        <f>Raw_Data!E421</f>
        <v/>
      </c>
      <c r="F421">
        <f>Raw_Data!F421</f>
        <v/>
      </c>
      <c r="G421">
        <f>Raw_Data!G421</f>
        <v/>
      </c>
      <c r="H421">
        <f>Raw_Data!H421</f>
        <v/>
      </c>
      <c r="I421">
        <f>Raw_Data!I421</f>
        <v/>
      </c>
      <c r="J421" s="12">
        <f>Raw_Data!J421</f>
        <v/>
      </c>
      <c r="K421" s="13">
        <f>Raw_Data!K421</f>
        <v/>
      </c>
      <c r="L421" s="12">
        <f>Raw_Data!L421</f>
        <v/>
      </c>
      <c r="M421" s="12">
        <f>Raw_Data!M421</f>
        <v/>
      </c>
      <c r="N421" s="12">
        <f>Raw_Data!N421</f>
        <v/>
      </c>
      <c r="O421">
        <f>Raw_Data!O421</f>
        <v/>
      </c>
      <c r="P421">
        <f>Raw_Data!P421</f>
        <v/>
      </c>
      <c r="Q421">
        <f>YEAR(B421)</f>
        <v/>
      </c>
      <c r="R421">
        <f>TEXT(B421,"mmm")</f>
        <v/>
      </c>
      <c r="S421" s="15">
        <f>IFERROR(N421/L421,0)</f>
        <v/>
      </c>
    </row>
    <row r="422">
      <c r="A422">
        <f>Raw_Data!A422</f>
        <v/>
      </c>
      <c r="B422" s="11">
        <f>Raw_Data!B422</f>
        <v/>
      </c>
      <c r="C422">
        <f>Raw_Data!C422</f>
        <v/>
      </c>
      <c r="D422">
        <f>Raw_Data!D422</f>
        <v/>
      </c>
      <c r="E422">
        <f>Raw_Data!E422</f>
        <v/>
      </c>
      <c r="F422">
        <f>Raw_Data!F422</f>
        <v/>
      </c>
      <c r="G422">
        <f>Raw_Data!G422</f>
        <v/>
      </c>
      <c r="H422">
        <f>Raw_Data!H422</f>
        <v/>
      </c>
      <c r="I422">
        <f>Raw_Data!I422</f>
        <v/>
      </c>
      <c r="J422" s="12">
        <f>Raw_Data!J422</f>
        <v/>
      </c>
      <c r="K422" s="13">
        <f>Raw_Data!K422</f>
        <v/>
      </c>
      <c r="L422" s="12">
        <f>Raw_Data!L422</f>
        <v/>
      </c>
      <c r="M422" s="12">
        <f>Raw_Data!M422</f>
        <v/>
      </c>
      <c r="N422" s="12">
        <f>Raw_Data!N422</f>
        <v/>
      </c>
      <c r="O422">
        <f>Raw_Data!O422</f>
        <v/>
      </c>
      <c r="P422">
        <f>Raw_Data!P422</f>
        <v/>
      </c>
      <c r="Q422">
        <f>YEAR(B422)</f>
        <v/>
      </c>
      <c r="R422">
        <f>TEXT(B422,"mmm")</f>
        <v/>
      </c>
      <c r="S422" s="15">
        <f>IFERROR(N422/L422,0)</f>
        <v/>
      </c>
    </row>
    <row r="423">
      <c r="A423">
        <f>Raw_Data!A423</f>
        <v/>
      </c>
      <c r="B423" s="11">
        <f>Raw_Data!B423</f>
        <v/>
      </c>
      <c r="C423">
        <f>Raw_Data!C423</f>
        <v/>
      </c>
      <c r="D423">
        <f>Raw_Data!D423</f>
        <v/>
      </c>
      <c r="E423">
        <f>Raw_Data!E423</f>
        <v/>
      </c>
      <c r="F423">
        <f>Raw_Data!F423</f>
        <v/>
      </c>
      <c r="G423">
        <f>Raw_Data!G423</f>
        <v/>
      </c>
      <c r="H423">
        <f>Raw_Data!H423</f>
        <v/>
      </c>
      <c r="I423">
        <f>Raw_Data!I423</f>
        <v/>
      </c>
      <c r="J423" s="12">
        <f>Raw_Data!J423</f>
        <v/>
      </c>
      <c r="K423" s="13">
        <f>Raw_Data!K423</f>
        <v/>
      </c>
      <c r="L423" s="12">
        <f>Raw_Data!L423</f>
        <v/>
      </c>
      <c r="M423" s="12">
        <f>Raw_Data!M423</f>
        <v/>
      </c>
      <c r="N423" s="12">
        <f>Raw_Data!N423</f>
        <v/>
      </c>
      <c r="O423">
        <f>Raw_Data!O423</f>
        <v/>
      </c>
      <c r="P423">
        <f>Raw_Data!P423</f>
        <v/>
      </c>
      <c r="Q423">
        <f>YEAR(B423)</f>
        <v/>
      </c>
      <c r="R423">
        <f>TEXT(B423,"mmm")</f>
        <v/>
      </c>
      <c r="S423" s="15">
        <f>IFERROR(N423/L423,0)</f>
        <v/>
      </c>
    </row>
    <row r="424">
      <c r="A424">
        <f>Raw_Data!A424</f>
        <v/>
      </c>
      <c r="B424" s="11">
        <f>Raw_Data!B424</f>
        <v/>
      </c>
      <c r="C424">
        <f>Raw_Data!C424</f>
        <v/>
      </c>
      <c r="D424">
        <f>Raw_Data!D424</f>
        <v/>
      </c>
      <c r="E424">
        <f>Raw_Data!E424</f>
        <v/>
      </c>
      <c r="F424">
        <f>Raw_Data!F424</f>
        <v/>
      </c>
      <c r="G424">
        <f>Raw_Data!G424</f>
        <v/>
      </c>
      <c r="H424">
        <f>Raw_Data!H424</f>
        <v/>
      </c>
      <c r="I424">
        <f>Raw_Data!I424</f>
        <v/>
      </c>
      <c r="J424" s="12">
        <f>Raw_Data!J424</f>
        <v/>
      </c>
      <c r="K424" s="13">
        <f>Raw_Data!K424</f>
        <v/>
      </c>
      <c r="L424" s="12">
        <f>Raw_Data!L424</f>
        <v/>
      </c>
      <c r="M424" s="12">
        <f>Raw_Data!M424</f>
        <v/>
      </c>
      <c r="N424" s="12">
        <f>Raw_Data!N424</f>
        <v/>
      </c>
      <c r="O424">
        <f>Raw_Data!O424</f>
        <v/>
      </c>
      <c r="P424">
        <f>Raw_Data!P424</f>
        <v/>
      </c>
      <c r="Q424">
        <f>YEAR(B424)</f>
        <v/>
      </c>
      <c r="R424">
        <f>TEXT(B424,"mmm")</f>
        <v/>
      </c>
      <c r="S424" s="15">
        <f>IFERROR(N424/L424,0)</f>
        <v/>
      </c>
    </row>
    <row r="425">
      <c r="A425">
        <f>Raw_Data!A425</f>
        <v/>
      </c>
      <c r="B425" s="11">
        <f>Raw_Data!B425</f>
        <v/>
      </c>
      <c r="C425">
        <f>Raw_Data!C425</f>
        <v/>
      </c>
      <c r="D425">
        <f>Raw_Data!D425</f>
        <v/>
      </c>
      <c r="E425">
        <f>Raw_Data!E425</f>
        <v/>
      </c>
      <c r="F425">
        <f>Raw_Data!F425</f>
        <v/>
      </c>
      <c r="G425">
        <f>Raw_Data!G425</f>
        <v/>
      </c>
      <c r="H425">
        <f>Raw_Data!H425</f>
        <v/>
      </c>
      <c r="I425">
        <f>Raw_Data!I425</f>
        <v/>
      </c>
      <c r="J425" s="12">
        <f>Raw_Data!J425</f>
        <v/>
      </c>
      <c r="K425" s="13">
        <f>Raw_Data!K425</f>
        <v/>
      </c>
      <c r="L425" s="12">
        <f>Raw_Data!L425</f>
        <v/>
      </c>
      <c r="M425" s="12">
        <f>Raw_Data!M425</f>
        <v/>
      </c>
      <c r="N425" s="12">
        <f>Raw_Data!N425</f>
        <v/>
      </c>
      <c r="O425">
        <f>Raw_Data!O425</f>
        <v/>
      </c>
      <c r="P425">
        <f>Raw_Data!P425</f>
        <v/>
      </c>
      <c r="Q425">
        <f>YEAR(B425)</f>
        <v/>
      </c>
      <c r="R425">
        <f>TEXT(B425,"mmm")</f>
        <v/>
      </c>
      <c r="S425" s="15">
        <f>IFERROR(N425/L425,0)</f>
        <v/>
      </c>
    </row>
    <row r="426">
      <c r="A426">
        <f>Raw_Data!A426</f>
        <v/>
      </c>
      <c r="B426" s="11">
        <f>Raw_Data!B426</f>
        <v/>
      </c>
      <c r="C426">
        <f>Raw_Data!C426</f>
        <v/>
      </c>
      <c r="D426">
        <f>Raw_Data!D426</f>
        <v/>
      </c>
      <c r="E426">
        <f>Raw_Data!E426</f>
        <v/>
      </c>
      <c r="F426">
        <f>Raw_Data!F426</f>
        <v/>
      </c>
      <c r="G426">
        <f>Raw_Data!G426</f>
        <v/>
      </c>
      <c r="H426">
        <f>Raw_Data!H426</f>
        <v/>
      </c>
      <c r="I426">
        <f>Raw_Data!I426</f>
        <v/>
      </c>
      <c r="J426" s="12">
        <f>Raw_Data!J426</f>
        <v/>
      </c>
      <c r="K426" s="13">
        <f>Raw_Data!K426</f>
        <v/>
      </c>
      <c r="L426" s="12">
        <f>Raw_Data!L426</f>
        <v/>
      </c>
      <c r="M426" s="12">
        <f>Raw_Data!M426</f>
        <v/>
      </c>
      <c r="N426" s="12">
        <f>Raw_Data!N426</f>
        <v/>
      </c>
      <c r="O426">
        <f>Raw_Data!O426</f>
        <v/>
      </c>
      <c r="P426">
        <f>Raw_Data!P426</f>
        <v/>
      </c>
      <c r="Q426">
        <f>YEAR(B426)</f>
        <v/>
      </c>
      <c r="R426">
        <f>TEXT(B426,"mmm")</f>
        <v/>
      </c>
      <c r="S426" s="15">
        <f>IFERROR(N426/L426,0)</f>
        <v/>
      </c>
    </row>
    <row r="427">
      <c r="A427">
        <f>Raw_Data!A427</f>
        <v/>
      </c>
      <c r="B427" s="11">
        <f>Raw_Data!B427</f>
        <v/>
      </c>
      <c r="C427">
        <f>Raw_Data!C427</f>
        <v/>
      </c>
      <c r="D427">
        <f>Raw_Data!D427</f>
        <v/>
      </c>
      <c r="E427">
        <f>Raw_Data!E427</f>
        <v/>
      </c>
      <c r="F427">
        <f>Raw_Data!F427</f>
        <v/>
      </c>
      <c r="G427">
        <f>Raw_Data!G427</f>
        <v/>
      </c>
      <c r="H427">
        <f>Raw_Data!H427</f>
        <v/>
      </c>
      <c r="I427">
        <f>Raw_Data!I427</f>
        <v/>
      </c>
      <c r="J427" s="12">
        <f>Raw_Data!J427</f>
        <v/>
      </c>
      <c r="K427" s="13">
        <f>Raw_Data!K427</f>
        <v/>
      </c>
      <c r="L427" s="12">
        <f>Raw_Data!L427</f>
        <v/>
      </c>
      <c r="M427" s="12">
        <f>Raw_Data!M427</f>
        <v/>
      </c>
      <c r="N427" s="12">
        <f>Raw_Data!N427</f>
        <v/>
      </c>
      <c r="O427">
        <f>Raw_Data!O427</f>
        <v/>
      </c>
      <c r="P427">
        <f>Raw_Data!P427</f>
        <v/>
      </c>
      <c r="Q427">
        <f>YEAR(B427)</f>
        <v/>
      </c>
      <c r="R427">
        <f>TEXT(B427,"mmm")</f>
        <v/>
      </c>
      <c r="S427" s="15">
        <f>IFERROR(N427/L427,0)</f>
        <v/>
      </c>
    </row>
    <row r="428">
      <c r="A428">
        <f>Raw_Data!A428</f>
        <v/>
      </c>
      <c r="B428" s="11">
        <f>Raw_Data!B428</f>
        <v/>
      </c>
      <c r="C428">
        <f>Raw_Data!C428</f>
        <v/>
      </c>
      <c r="D428">
        <f>Raw_Data!D428</f>
        <v/>
      </c>
      <c r="E428">
        <f>Raw_Data!E428</f>
        <v/>
      </c>
      <c r="F428">
        <f>Raw_Data!F428</f>
        <v/>
      </c>
      <c r="G428">
        <f>Raw_Data!G428</f>
        <v/>
      </c>
      <c r="H428">
        <f>Raw_Data!H428</f>
        <v/>
      </c>
      <c r="I428">
        <f>Raw_Data!I428</f>
        <v/>
      </c>
      <c r="J428" s="12">
        <f>Raw_Data!J428</f>
        <v/>
      </c>
      <c r="K428" s="13">
        <f>Raw_Data!K428</f>
        <v/>
      </c>
      <c r="L428" s="12">
        <f>Raw_Data!L428</f>
        <v/>
      </c>
      <c r="M428" s="12">
        <f>Raw_Data!M428</f>
        <v/>
      </c>
      <c r="N428" s="12">
        <f>Raw_Data!N428</f>
        <v/>
      </c>
      <c r="O428">
        <f>Raw_Data!O428</f>
        <v/>
      </c>
      <c r="P428">
        <f>Raw_Data!P428</f>
        <v/>
      </c>
      <c r="Q428">
        <f>YEAR(B428)</f>
        <v/>
      </c>
      <c r="R428">
        <f>TEXT(B428,"mmm")</f>
        <v/>
      </c>
      <c r="S428" s="15">
        <f>IFERROR(N428/L428,0)</f>
        <v/>
      </c>
    </row>
    <row r="429">
      <c r="A429">
        <f>Raw_Data!A429</f>
        <v/>
      </c>
      <c r="B429" s="11">
        <f>Raw_Data!B429</f>
        <v/>
      </c>
      <c r="C429">
        <f>Raw_Data!C429</f>
        <v/>
      </c>
      <c r="D429">
        <f>Raw_Data!D429</f>
        <v/>
      </c>
      <c r="E429">
        <f>Raw_Data!E429</f>
        <v/>
      </c>
      <c r="F429">
        <f>Raw_Data!F429</f>
        <v/>
      </c>
      <c r="G429">
        <f>Raw_Data!G429</f>
        <v/>
      </c>
      <c r="H429">
        <f>Raw_Data!H429</f>
        <v/>
      </c>
      <c r="I429">
        <f>Raw_Data!I429</f>
        <v/>
      </c>
      <c r="J429" s="12">
        <f>Raw_Data!J429</f>
        <v/>
      </c>
      <c r="K429" s="13">
        <f>Raw_Data!K429</f>
        <v/>
      </c>
      <c r="L429" s="12">
        <f>Raw_Data!L429</f>
        <v/>
      </c>
      <c r="M429" s="12">
        <f>Raw_Data!M429</f>
        <v/>
      </c>
      <c r="N429" s="12">
        <f>Raw_Data!N429</f>
        <v/>
      </c>
      <c r="O429">
        <f>Raw_Data!O429</f>
        <v/>
      </c>
      <c r="P429">
        <f>Raw_Data!P429</f>
        <v/>
      </c>
      <c r="Q429">
        <f>YEAR(B429)</f>
        <v/>
      </c>
      <c r="R429">
        <f>TEXT(B429,"mmm")</f>
        <v/>
      </c>
      <c r="S429" s="15">
        <f>IFERROR(N429/L429,0)</f>
        <v/>
      </c>
    </row>
    <row r="430">
      <c r="A430">
        <f>Raw_Data!A430</f>
        <v/>
      </c>
      <c r="B430" s="11">
        <f>Raw_Data!B430</f>
        <v/>
      </c>
      <c r="C430">
        <f>Raw_Data!C430</f>
        <v/>
      </c>
      <c r="D430">
        <f>Raw_Data!D430</f>
        <v/>
      </c>
      <c r="E430">
        <f>Raw_Data!E430</f>
        <v/>
      </c>
      <c r="F430">
        <f>Raw_Data!F430</f>
        <v/>
      </c>
      <c r="G430">
        <f>Raw_Data!G430</f>
        <v/>
      </c>
      <c r="H430">
        <f>Raw_Data!H430</f>
        <v/>
      </c>
      <c r="I430">
        <f>Raw_Data!I430</f>
        <v/>
      </c>
      <c r="J430" s="12">
        <f>Raw_Data!J430</f>
        <v/>
      </c>
      <c r="K430" s="13">
        <f>Raw_Data!K430</f>
        <v/>
      </c>
      <c r="L430" s="12">
        <f>Raw_Data!L430</f>
        <v/>
      </c>
      <c r="M430" s="12">
        <f>Raw_Data!M430</f>
        <v/>
      </c>
      <c r="N430" s="12">
        <f>Raw_Data!N430</f>
        <v/>
      </c>
      <c r="O430">
        <f>Raw_Data!O430</f>
        <v/>
      </c>
      <c r="P430">
        <f>Raw_Data!P430</f>
        <v/>
      </c>
      <c r="Q430">
        <f>YEAR(B430)</f>
        <v/>
      </c>
      <c r="R430">
        <f>TEXT(B430,"mmm")</f>
        <v/>
      </c>
      <c r="S430" s="15">
        <f>IFERROR(N430/L430,0)</f>
        <v/>
      </c>
    </row>
    <row r="431">
      <c r="A431">
        <f>Raw_Data!A431</f>
        <v/>
      </c>
      <c r="B431" s="11">
        <f>Raw_Data!B431</f>
        <v/>
      </c>
      <c r="C431">
        <f>Raw_Data!C431</f>
        <v/>
      </c>
      <c r="D431">
        <f>Raw_Data!D431</f>
        <v/>
      </c>
      <c r="E431">
        <f>Raw_Data!E431</f>
        <v/>
      </c>
      <c r="F431">
        <f>Raw_Data!F431</f>
        <v/>
      </c>
      <c r="G431">
        <f>Raw_Data!G431</f>
        <v/>
      </c>
      <c r="H431">
        <f>Raw_Data!H431</f>
        <v/>
      </c>
      <c r="I431">
        <f>Raw_Data!I431</f>
        <v/>
      </c>
      <c r="J431" s="12">
        <f>Raw_Data!J431</f>
        <v/>
      </c>
      <c r="K431" s="13">
        <f>Raw_Data!K431</f>
        <v/>
      </c>
      <c r="L431" s="12">
        <f>Raw_Data!L431</f>
        <v/>
      </c>
      <c r="M431" s="12">
        <f>Raw_Data!M431</f>
        <v/>
      </c>
      <c r="N431" s="12">
        <f>Raw_Data!N431</f>
        <v/>
      </c>
      <c r="O431">
        <f>Raw_Data!O431</f>
        <v/>
      </c>
      <c r="P431">
        <f>Raw_Data!P431</f>
        <v/>
      </c>
      <c r="Q431">
        <f>YEAR(B431)</f>
        <v/>
      </c>
      <c r="R431">
        <f>TEXT(B431,"mmm")</f>
        <v/>
      </c>
      <c r="S431" s="15">
        <f>IFERROR(N431/L431,0)</f>
        <v/>
      </c>
    </row>
    <row r="432">
      <c r="A432">
        <f>Raw_Data!A432</f>
        <v/>
      </c>
      <c r="B432" s="11">
        <f>Raw_Data!B432</f>
        <v/>
      </c>
      <c r="C432">
        <f>Raw_Data!C432</f>
        <v/>
      </c>
      <c r="D432">
        <f>Raw_Data!D432</f>
        <v/>
      </c>
      <c r="E432">
        <f>Raw_Data!E432</f>
        <v/>
      </c>
      <c r="F432">
        <f>Raw_Data!F432</f>
        <v/>
      </c>
      <c r="G432">
        <f>Raw_Data!G432</f>
        <v/>
      </c>
      <c r="H432">
        <f>Raw_Data!H432</f>
        <v/>
      </c>
      <c r="I432">
        <f>Raw_Data!I432</f>
        <v/>
      </c>
      <c r="J432" s="12">
        <f>Raw_Data!J432</f>
        <v/>
      </c>
      <c r="K432" s="13">
        <f>Raw_Data!K432</f>
        <v/>
      </c>
      <c r="L432" s="12">
        <f>Raw_Data!L432</f>
        <v/>
      </c>
      <c r="M432" s="12">
        <f>Raw_Data!M432</f>
        <v/>
      </c>
      <c r="N432" s="12">
        <f>Raw_Data!N432</f>
        <v/>
      </c>
      <c r="O432">
        <f>Raw_Data!O432</f>
        <v/>
      </c>
      <c r="P432">
        <f>Raw_Data!P432</f>
        <v/>
      </c>
      <c r="Q432">
        <f>YEAR(B432)</f>
        <v/>
      </c>
      <c r="R432">
        <f>TEXT(B432,"mmm")</f>
        <v/>
      </c>
      <c r="S432" s="15">
        <f>IFERROR(N432/L432,0)</f>
        <v/>
      </c>
    </row>
    <row r="433">
      <c r="A433">
        <f>Raw_Data!A433</f>
        <v/>
      </c>
      <c r="B433" s="11">
        <f>Raw_Data!B433</f>
        <v/>
      </c>
      <c r="C433">
        <f>Raw_Data!C433</f>
        <v/>
      </c>
      <c r="D433">
        <f>Raw_Data!D433</f>
        <v/>
      </c>
      <c r="E433">
        <f>Raw_Data!E433</f>
        <v/>
      </c>
      <c r="F433">
        <f>Raw_Data!F433</f>
        <v/>
      </c>
      <c r="G433">
        <f>Raw_Data!G433</f>
        <v/>
      </c>
      <c r="H433">
        <f>Raw_Data!H433</f>
        <v/>
      </c>
      <c r="I433">
        <f>Raw_Data!I433</f>
        <v/>
      </c>
      <c r="J433" s="12">
        <f>Raw_Data!J433</f>
        <v/>
      </c>
      <c r="K433" s="13">
        <f>Raw_Data!K433</f>
        <v/>
      </c>
      <c r="L433" s="12">
        <f>Raw_Data!L433</f>
        <v/>
      </c>
      <c r="M433" s="12">
        <f>Raw_Data!M433</f>
        <v/>
      </c>
      <c r="N433" s="12">
        <f>Raw_Data!N433</f>
        <v/>
      </c>
      <c r="O433">
        <f>Raw_Data!O433</f>
        <v/>
      </c>
      <c r="P433">
        <f>Raw_Data!P433</f>
        <v/>
      </c>
      <c r="Q433">
        <f>YEAR(B433)</f>
        <v/>
      </c>
      <c r="R433">
        <f>TEXT(B433,"mmm")</f>
        <v/>
      </c>
      <c r="S433" s="15">
        <f>IFERROR(N433/L433,0)</f>
        <v/>
      </c>
    </row>
    <row r="434">
      <c r="A434">
        <f>Raw_Data!A434</f>
        <v/>
      </c>
      <c r="B434" s="11">
        <f>Raw_Data!B434</f>
        <v/>
      </c>
      <c r="C434">
        <f>Raw_Data!C434</f>
        <v/>
      </c>
      <c r="D434">
        <f>Raw_Data!D434</f>
        <v/>
      </c>
      <c r="E434">
        <f>Raw_Data!E434</f>
        <v/>
      </c>
      <c r="F434">
        <f>Raw_Data!F434</f>
        <v/>
      </c>
      <c r="G434">
        <f>Raw_Data!G434</f>
        <v/>
      </c>
      <c r="H434">
        <f>Raw_Data!H434</f>
        <v/>
      </c>
      <c r="I434">
        <f>Raw_Data!I434</f>
        <v/>
      </c>
      <c r="J434" s="12">
        <f>Raw_Data!J434</f>
        <v/>
      </c>
      <c r="K434" s="13">
        <f>Raw_Data!K434</f>
        <v/>
      </c>
      <c r="L434" s="12">
        <f>Raw_Data!L434</f>
        <v/>
      </c>
      <c r="M434" s="12">
        <f>Raw_Data!M434</f>
        <v/>
      </c>
      <c r="N434" s="12">
        <f>Raw_Data!N434</f>
        <v/>
      </c>
      <c r="O434">
        <f>Raw_Data!O434</f>
        <v/>
      </c>
      <c r="P434">
        <f>Raw_Data!P434</f>
        <v/>
      </c>
      <c r="Q434">
        <f>YEAR(B434)</f>
        <v/>
      </c>
      <c r="R434">
        <f>TEXT(B434,"mmm")</f>
        <v/>
      </c>
      <c r="S434" s="15">
        <f>IFERROR(N434/L434,0)</f>
        <v/>
      </c>
    </row>
    <row r="435">
      <c r="A435">
        <f>Raw_Data!A435</f>
        <v/>
      </c>
      <c r="B435" s="11">
        <f>Raw_Data!B435</f>
        <v/>
      </c>
      <c r="C435">
        <f>Raw_Data!C435</f>
        <v/>
      </c>
      <c r="D435">
        <f>Raw_Data!D435</f>
        <v/>
      </c>
      <c r="E435">
        <f>Raw_Data!E435</f>
        <v/>
      </c>
      <c r="F435">
        <f>Raw_Data!F435</f>
        <v/>
      </c>
      <c r="G435">
        <f>Raw_Data!G435</f>
        <v/>
      </c>
      <c r="H435">
        <f>Raw_Data!H435</f>
        <v/>
      </c>
      <c r="I435">
        <f>Raw_Data!I435</f>
        <v/>
      </c>
      <c r="J435" s="12">
        <f>Raw_Data!J435</f>
        <v/>
      </c>
      <c r="K435" s="13">
        <f>Raw_Data!K435</f>
        <v/>
      </c>
      <c r="L435" s="12">
        <f>Raw_Data!L435</f>
        <v/>
      </c>
      <c r="M435" s="12">
        <f>Raw_Data!M435</f>
        <v/>
      </c>
      <c r="N435" s="12">
        <f>Raw_Data!N435</f>
        <v/>
      </c>
      <c r="O435">
        <f>Raw_Data!O435</f>
        <v/>
      </c>
      <c r="P435">
        <f>Raw_Data!P435</f>
        <v/>
      </c>
      <c r="Q435">
        <f>YEAR(B435)</f>
        <v/>
      </c>
      <c r="R435">
        <f>TEXT(B435,"mmm")</f>
        <v/>
      </c>
      <c r="S435" s="15">
        <f>IFERROR(N435/L435,0)</f>
        <v/>
      </c>
    </row>
    <row r="436">
      <c r="A436">
        <f>Raw_Data!A436</f>
        <v/>
      </c>
      <c r="B436" s="11">
        <f>Raw_Data!B436</f>
        <v/>
      </c>
      <c r="C436">
        <f>Raw_Data!C436</f>
        <v/>
      </c>
      <c r="D436">
        <f>Raw_Data!D436</f>
        <v/>
      </c>
      <c r="E436">
        <f>Raw_Data!E436</f>
        <v/>
      </c>
      <c r="F436">
        <f>Raw_Data!F436</f>
        <v/>
      </c>
      <c r="G436">
        <f>Raw_Data!G436</f>
        <v/>
      </c>
      <c r="H436">
        <f>Raw_Data!H436</f>
        <v/>
      </c>
      <c r="I436">
        <f>Raw_Data!I436</f>
        <v/>
      </c>
      <c r="J436" s="12">
        <f>Raw_Data!J436</f>
        <v/>
      </c>
      <c r="K436" s="13">
        <f>Raw_Data!K436</f>
        <v/>
      </c>
      <c r="L436" s="12">
        <f>Raw_Data!L436</f>
        <v/>
      </c>
      <c r="M436" s="12">
        <f>Raw_Data!M436</f>
        <v/>
      </c>
      <c r="N436" s="12">
        <f>Raw_Data!N436</f>
        <v/>
      </c>
      <c r="O436">
        <f>Raw_Data!O436</f>
        <v/>
      </c>
      <c r="P436">
        <f>Raw_Data!P436</f>
        <v/>
      </c>
      <c r="Q436">
        <f>YEAR(B436)</f>
        <v/>
      </c>
      <c r="R436">
        <f>TEXT(B436,"mmm")</f>
        <v/>
      </c>
      <c r="S436" s="15">
        <f>IFERROR(N436/L436,0)</f>
        <v/>
      </c>
    </row>
    <row r="437">
      <c r="A437">
        <f>Raw_Data!A437</f>
        <v/>
      </c>
      <c r="B437" s="11">
        <f>Raw_Data!B437</f>
        <v/>
      </c>
      <c r="C437">
        <f>Raw_Data!C437</f>
        <v/>
      </c>
      <c r="D437">
        <f>Raw_Data!D437</f>
        <v/>
      </c>
      <c r="E437">
        <f>Raw_Data!E437</f>
        <v/>
      </c>
      <c r="F437">
        <f>Raw_Data!F437</f>
        <v/>
      </c>
      <c r="G437">
        <f>Raw_Data!G437</f>
        <v/>
      </c>
      <c r="H437">
        <f>Raw_Data!H437</f>
        <v/>
      </c>
      <c r="I437">
        <f>Raw_Data!I437</f>
        <v/>
      </c>
      <c r="J437" s="12">
        <f>Raw_Data!J437</f>
        <v/>
      </c>
      <c r="K437" s="13">
        <f>Raw_Data!K437</f>
        <v/>
      </c>
      <c r="L437" s="12">
        <f>Raw_Data!L437</f>
        <v/>
      </c>
      <c r="M437" s="12">
        <f>Raw_Data!M437</f>
        <v/>
      </c>
      <c r="N437" s="12">
        <f>Raw_Data!N437</f>
        <v/>
      </c>
      <c r="O437">
        <f>Raw_Data!O437</f>
        <v/>
      </c>
      <c r="P437">
        <f>Raw_Data!P437</f>
        <v/>
      </c>
      <c r="Q437">
        <f>YEAR(B437)</f>
        <v/>
      </c>
      <c r="R437">
        <f>TEXT(B437,"mmm")</f>
        <v/>
      </c>
      <c r="S437" s="15">
        <f>IFERROR(N437/L437,0)</f>
        <v/>
      </c>
    </row>
    <row r="438">
      <c r="A438">
        <f>Raw_Data!A438</f>
        <v/>
      </c>
      <c r="B438" s="11">
        <f>Raw_Data!B438</f>
        <v/>
      </c>
      <c r="C438">
        <f>Raw_Data!C438</f>
        <v/>
      </c>
      <c r="D438">
        <f>Raw_Data!D438</f>
        <v/>
      </c>
      <c r="E438">
        <f>Raw_Data!E438</f>
        <v/>
      </c>
      <c r="F438">
        <f>Raw_Data!F438</f>
        <v/>
      </c>
      <c r="G438">
        <f>Raw_Data!G438</f>
        <v/>
      </c>
      <c r="H438">
        <f>Raw_Data!H438</f>
        <v/>
      </c>
      <c r="I438">
        <f>Raw_Data!I438</f>
        <v/>
      </c>
      <c r="J438" s="12">
        <f>Raw_Data!J438</f>
        <v/>
      </c>
      <c r="K438" s="13">
        <f>Raw_Data!K438</f>
        <v/>
      </c>
      <c r="L438" s="12">
        <f>Raw_Data!L438</f>
        <v/>
      </c>
      <c r="M438" s="12">
        <f>Raw_Data!M438</f>
        <v/>
      </c>
      <c r="N438" s="12">
        <f>Raw_Data!N438</f>
        <v/>
      </c>
      <c r="O438">
        <f>Raw_Data!O438</f>
        <v/>
      </c>
      <c r="P438">
        <f>Raw_Data!P438</f>
        <v/>
      </c>
      <c r="Q438">
        <f>YEAR(B438)</f>
        <v/>
      </c>
      <c r="R438">
        <f>TEXT(B438,"mmm")</f>
        <v/>
      </c>
      <c r="S438" s="15">
        <f>IFERROR(N438/L438,0)</f>
        <v/>
      </c>
    </row>
    <row r="439">
      <c r="A439">
        <f>Raw_Data!A439</f>
        <v/>
      </c>
      <c r="B439" s="11">
        <f>Raw_Data!B439</f>
        <v/>
      </c>
      <c r="C439">
        <f>Raw_Data!C439</f>
        <v/>
      </c>
      <c r="D439">
        <f>Raw_Data!D439</f>
        <v/>
      </c>
      <c r="E439">
        <f>Raw_Data!E439</f>
        <v/>
      </c>
      <c r="F439">
        <f>Raw_Data!F439</f>
        <v/>
      </c>
      <c r="G439">
        <f>Raw_Data!G439</f>
        <v/>
      </c>
      <c r="H439">
        <f>Raw_Data!H439</f>
        <v/>
      </c>
      <c r="I439">
        <f>Raw_Data!I439</f>
        <v/>
      </c>
      <c r="J439" s="12">
        <f>Raw_Data!J439</f>
        <v/>
      </c>
      <c r="K439" s="13">
        <f>Raw_Data!K439</f>
        <v/>
      </c>
      <c r="L439" s="12">
        <f>Raw_Data!L439</f>
        <v/>
      </c>
      <c r="M439" s="12">
        <f>Raw_Data!M439</f>
        <v/>
      </c>
      <c r="N439" s="12">
        <f>Raw_Data!N439</f>
        <v/>
      </c>
      <c r="O439">
        <f>Raw_Data!O439</f>
        <v/>
      </c>
      <c r="P439">
        <f>Raw_Data!P439</f>
        <v/>
      </c>
      <c r="Q439">
        <f>YEAR(B439)</f>
        <v/>
      </c>
      <c r="R439">
        <f>TEXT(B439,"mmm")</f>
        <v/>
      </c>
      <c r="S439" s="15">
        <f>IFERROR(N439/L439,0)</f>
        <v/>
      </c>
    </row>
    <row r="440">
      <c r="A440">
        <f>Raw_Data!A440</f>
        <v/>
      </c>
      <c r="B440" s="11">
        <f>Raw_Data!B440</f>
        <v/>
      </c>
      <c r="C440">
        <f>Raw_Data!C440</f>
        <v/>
      </c>
      <c r="D440">
        <f>Raw_Data!D440</f>
        <v/>
      </c>
      <c r="E440">
        <f>Raw_Data!E440</f>
        <v/>
      </c>
      <c r="F440">
        <f>Raw_Data!F440</f>
        <v/>
      </c>
      <c r="G440">
        <f>Raw_Data!G440</f>
        <v/>
      </c>
      <c r="H440">
        <f>Raw_Data!H440</f>
        <v/>
      </c>
      <c r="I440">
        <f>Raw_Data!I440</f>
        <v/>
      </c>
      <c r="J440" s="12">
        <f>Raw_Data!J440</f>
        <v/>
      </c>
      <c r="K440" s="13">
        <f>Raw_Data!K440</f>
        <v/>
      </c>
      <c r="L440" s="12">
        <f>Raw_Data!L440</f>
        <v/>
      </c>
      <c r="M440" s="12">
        <f>Raw_Data!M440</f>
        <v/>
      </c>
      <c r="N440" s="12">
        <f>Raw_Data!N440</f>
        <v/>
      </c>
      <c r="O440">
        <f>Raw_Data!O440</f>
        <v/>
      </c>
      <c r="P440">
        <f>Raw_Data!P440</f>
        <v/>
      </c>
      <c r="Q440">
        <f>YEAR(B440)</f>
        <v/>
      </c>
      <c r="R440">
        <f>TEXT(B440,"mmm")</f>
        <v/>
      </c>
      <c r="S440" s="15">
        <f>IFERROR(N440/L440,0)</f>
        <v/>
      </c>
    </row>
    <row r="441">
      <c r="A441">
        <f>Raw_Data!A441</f>
        <v/>
      </c>
      <c r="B441" s="11">
        <f>Raw_Data!B441</f>
        <v/>
      </c>
      <c r="C441">
        <f>Raw_Data!C441</f>
        <v/>
      </c>
      <c r="D441">
        <f>Raw_Data!D441</f>
        <v/>
      </c>
      <c r="E441">
        <f>Raw_Data!E441</f>
        <v/>
      </c>
      <c r="F441">
        <f>Raw_Data!F441</f>
        <v/>
      </c>
      <c r="G441">
        <f>Raw_Data!G441</f>
        <v/>
      </c>
      <c r="H441">
        <f>Raw_Data!H441</f>
        <v/>
      </c>
      <c r="I441">
        <f>Raw_Data!I441</f>
        <v/>
      </c>
      <c r="J441" s="12">
        <f>Raw_Data!J441</f>
        <v/>
      </c>
      <c r="K441" s="13">
        <f>Raw_Data!K441</f>
        <v/>
      </c>
      <c r="L441" s="12">
        <f>Raw_Data!L441</f>
        <v/>
      </c>
      <c r="M441" s="12">
        <f>Raw_Data!M441</f>
        <v/>
      </c>
      <c r="N441" s="12">
        <f>Raw_Data!N441</f>
        <v/>
      </c>
      <c r="O441">
        <f>Raw_Data!O441</f>
        <v/>
      </c>
      <c r="P441">
        <f>Raw_Data!P441</f>
        <v/>
      </c>
      <c r="Q441">
        <f>YEAR(B441)</f>
        <v/>
      </c>
      <c r="R441">
        <f>TEXT(B441,"mmm")</f>
        <v/>
      </c>
      <c r="S441" s="15">
        <f>IFERROR(N441/L441,0)</f>
        <v/>
      </c>
    </row>
    <row r="442">
      <c r="A442">
        <f>Raw_Data!A442</f>
        <v/>
      </c>
      <c r="B442" s="11">
        <f>Raw_Data!B442</f>
        <v/>
      </c>
      <c r="C442">
        <f>Raw_Data!C442</f>
        <v/>
      </c>
      <c r="D442">
        <f>Raw_Data!D442</f>
        <v/>
      </c>
      <c r="E442">
        <f>Raw_Data!E442</f>
        <v/>
      </c>
      <c r="F442">
        <f>Raw_Data!F442</f>
        <v/>
      </c>
      <c r="G442">
        <f>Raw_Data!G442</f>
        <v/>
      </c>
      <c r="H442">
        <f>Raw_Data!H442</f>
        <v/>
      </c>
      <c r="I442">
        <f>Raw_Data!I442</f>
        <v/>
      </c>
      <c r="J442" s="12">
        <f>Raw_Data!J442</f>
        <v/>
      </c>
      <c r="K442" s="13">
        <f>Raw_Data!K442</f>
        <v/>
      </c>
      <c r="L442" s="12">
        <f>Raw_Data!L442</f>
        <v/>
      </c>
      <c r="M442" s="12">
        <f>Raw_Data!M442</f>
        <v/>
      </c>
      <c r="N442" s="12">
        <f>Raw_Data!N442</f>
        <v/>
      </c>
      <c r="O442">
        <f>Raw_Data!O442</f>
        <v/>
      </c>
      <c r="P442">
        <f>Raw_Data!P442</f>
        <v/>
      </c>
      <c r="Q442">
        <f>YEAR(B442)</f>
        <v/>
      </c>
      <c r="R442">
        <f>TEXT(B442,"mmm")</f>
        <v/>
      </c>
      <c r="S442" s="15">
        <f>IFERROR(N442/L442,0)</f>
        <v/>
      </c>
    </row>
    <row r="443">
      <c r="A443">
        <f>Raw_Data!A443</f>
        <v/>
      </c>
      <c r="B443" s="11">
        <f>Raw_Data!B443</f>
        <v/>
      </c>
      <c r="C443">
        <f>Raw_Data!C443</f>
        <v/>
      </c>
      <c r="D443">
        <f>Raw_Data!D443</f>
        <v/>
      </c>
      <c r="E443">
        <f>Raw_Data!E443</f>
        <v/>
      </c>
      <c r="F443">
        <f>Raw_Data!F443</f>
        <v/>
      </c>
      <c r="G443">
        <f>Raw_Data!G443</f>
        <v/>
      </c>
      <c r="H443">
        <f>Raw_Data!H443</f>
        <v/>
      </c>
      <c r="I443">
        <f>Raw_Data!I443</f>
        <v/>
      </c>
      <c r="J443" s="12">
        <f>Raw_Data!J443</f>
        <v/>
      </c>
      <c r="K443" s="13">
        <f>Raw_Data!K443</f>
        <v/>
      </c>
      <c r="L443" s="12">
        <f>Raw_Data!L443</f>
        <v/>
      </c>
      <c r="M443" s="12">
        <f>Raw_Data!M443</f>
        <v/>
      </c>
      <c r="N443" s="12">
        <f>Raw_Data!N443</f>
        <v/>
      </c>
      <c r="O443">
        <f>Raw_Data!O443</f>
        <v/>
      </c>
      <c r="P443">
        <f>Raw_Data!P443</f>
        <v/>
      </c>
      <c r="Q443">
        <f>YEAR(B443)</f>
        <v/>
      </c>
      <c r="R443">
        <f>TEXT(B443,"mmm")</f>
        <v/>
      </c>
      <c r="S443" s="15">
        <f>IFERROR(N443/L443,0)</f>
        <v/>
      </c>
    </row>
    <row r="444">
      <c r="A444">
        <f>Raw_Data!A444</f>
        <v/>
      </c>
      <c r="B444" s="11">
        <f>Raw_Data!B444</f>
        <v/>
      </c>
      <c r="C444">
        <f>Raw_Data!C444</f>
        <v/>
      </c>
      <c r="D444">
        <f>Raw_Data!D444</f>
        <v/>
      </c>
      <c r="E444">
        <f>Raw_Data!E444</f>
        <v/>
      </c>
      <c r="F444">
        <f>Raw_Data!F444</f>
        <v/>
      </c>
      <c r="G444">
        <f>Raw_Data!G444</f>
        <v/>
      </c>
      <c r="H444">
        <f>Raw_Data!H444</f>
        <v/>
      </c>
      <c r="I444">
        <f>Raw_Data!I444</f>
        <v/>
      </c>
      <c r="J444" s="12">
        <f>Raw_Data!J444</f>
        <v/>
      </c>
      <c r="K444" s="13">
        <f>Raw_Data!K444</f>
        <v/>
      </c>
      <c r="L444" s="12">
        <f>Raw_Data!L444</f>
        <v/>
      </c>
      <c r="M444" s="12">
        <f>Raw_Data!M444</f>
        <v/>
      </c>
      <c r="N444" s="12">
        <f>Raw_Data!N444</f>
        <v/>
      </c>
      <c r="O444">
        <f>Raw_Data!O444</f>
        <v/>
      </c>
      <c r="P444">
        <f>Raw_Data!P444</f>
        <v/>
      </c>
      <c r="Q444">
        <f>YEAR(B444)</f>
        <v/>
      </c>
      <c r="R444">
        <f>TEXT(B444,"mmm")</f>
        <v/>
      </c>
      <c r="S444" s="15">
        <f>IFERROR(N444/L444,0)</f>
        <v/>
      </c>
    </row>
    <row r="445">
      <c r="A445">
        <f>Raw_Data!A445</f>
        <v/>
      </c>
      <c r="B445" s="11">
        <f>Raw_Data!B445</f>
        <v/>
      </c>
      <c r="C445">
        <f>Raw_Data!C445</f>
        <v/>
      </c>
      <c r="D445">
        <f>Raw_Data!D445</f>
        <v/>
      </c>
      <c r="E445">
        <f>Raw_Data!E445</f>
        <v/>
      </c>
      <c r="F445">
        <f>Raw_Data!F445</f>
        <v/>
      </c>
      <c r="G445">
        <f>Raw_Data!G445</f>
        <v/>
      </c>
      <c r="H445">
        <f>Raw_Data!H445</f>
        <v/>
      </c>
      <c r="I445">
        <f>Raw_Data!I445</f>
        <v/>
      </c>
      <c r="J445" s="12">
        <f>Raw_Data!J445</f>
        <v/>
      </c>
      <c r="K445" s="13">
        <f>Raw_Data!K445</f>
        <v/>
      </c>
      <c r="L445" s="12">
        <f>Raw_Data!L445</f>
        <v/>
      </c>
      <c r="M445" s="12">
        <f>Raw_Data!M445</f>
        <v/>
      </c>
      <c r="N445" s="12">
        <f>Raw_Data!N445</f>
        <v/>
      </c>
      <c r="O445">
        <f>Raw_Data!O445</f>
        <v/>
      </c>
      <c r="P445">
        <f>Raw_Data!P445</f>
        <v/>
      </c>
      <c r="Q445">
        <f>YEAR(B445)</f>
        <v/>
      </c>
      <c r="R445">
        <f>TEXT(B445,"mmm")</f>
        <v/>
      </c>
      <c r="S445" s="15">
        <f>IFERROR(N445/L445,0)</f>
        <v/>
      </c>
    </row>
    <row r="446">
      <c r="A446">
        <f>Raw_Data!A446</f>
        <v/>
      </c>
      <c r="B446" s="11">
        <f>Raw_Data!B446</f>
        <v/>
      </c>
      <c r="C446">
        <f>Raw_Data!C446</f>
        <v/>
      </c>
      <c r="D446">
        <f>Raw_Data!D446</f>
        <v/>
      </c>
      <c r="E446">
        <f>Raw_Data!E446</f>
        <v/>
      </c>
      <c r="F446">
        <f>Raw_Data!F446</f>
        <v/>
      </c>
      <c r="G446">
        <f>Raw_Data!G446</f>
        <v/>
      </c>
      <c r="H446">
        <f>Raw_Data!H446</f>
        <v/>
      </c>
      <c r="I446">
        <f>Raw_Data!I446</f>
        <v/>
      </c>
      <c r="J446" s="12">
        <f>Raw_Data!J446</f>
        <v/>
      </c>
      <c r="K446" s="13">
        <f>Raw_Data!K446</f>
        <v/>
      </c>
      <c r="L446" s="12">
        <f>Raw_Data!L446</f>
        <v/>
      </c>
      <c r="M446" s="12">
        <f>Raw_Data!M446</f>
        <v/>
      </c>
      <c r="N446" s="12">
        <f>Raw_Data!N446</f>
        <v/>
      </c>
      <c r="O446">
        <f>Raw_Data!O446</f>
        <v/>
      </c>
      <c r="P446">
        <f>Raw_Data!P446</f>
        <v/>
      </c>
      <c r="Q446">
        <f>YEAR(B446)</f>
        <v/>
      </c>
      <c r="R446">
        <f>TEXT(B446,"mmm")</f>
        <v/>
      </c>
      <c r="S446" s="15">
        <f>IFERROR(N446/L446,0)</f>
        <v/>
      </c>
    </row>
    <row r="447">
      <c r="A447">
        <f>Raw_Data!A447</f>
        <v/>
      </c>
      <c r="B447" s="11">
        <f>Raw_Data!B447</f>
        <v/>
      </c>
      <c r="C447">
        <f>Raw_Data!C447</f>
        <v/>
      </c>
      <c r="D447">
        <f>Raw_Data!D447</f>
        <v/>
      </c>
      <c r="E447">
        <f>Raw_Data!E447</f>
        <v/>
      </c>
      <c r="F447">
        <f>Raw_Data!F447</f>
        <v/>
      </c>
      <c r="G447">
        <f>Raw_Data!G447</f>
        <v/>
      </c>
      <c r="H447">
        <f>Raw_Data!H447</f>
        <v/>
      </c>
      <c r="I447">
        <f>Raw_Data!I447</f>
        <v/>
      </c>
      <c r="J447" s="12">
        <f>Raw_Data!J447</f>
        <v/>
      </c>
      <c r="K447" s="13">
        <f>Raw_Data!K447</f>
        <v/>
      </c>
      <c r="L447" s="12">
        <f>Raw_Data!L447</f>
        <v/>
      </c>
      <c r="M447" s="12">
        <f>Raw_Data!M447</f>
        <v/>
      </c>
      <c r="N447" s="12">
        <f>Raw_Data!N447</f>
        <v/>
      </c>
      <c r="O447">
        <f>Raw_Data!O447</f>
        <v/>
      </c>
      <c r="P447">
        <f>Raw_Data!P447</f>
        <v/>
      </c>
      <c r="Q447">
        <f>YEAR(B447)</f>
        <v/>
      </c>
      <c r="R447">
        <f>TEXT(B447,"mmm")</f>
        <v/>
      </c>
      <c r="S447" s="15">
        <f>IFERROR(N447/L447,0)</f>
        <v/>
      </c>
    </row>
    <row r="448">
      <c r="A448">
        <f>Raw_Data!A448</f>
        <v/>
      </c>
      <c r="B448" s="11">
        <f>Raw_Data!B448</f>
        <v/>
      </c>
      <c r="C448">
        <f>Raw_Data!C448</f>
        <v/>
      </c>
      <c r="D448">
        <f>Raw_Data!D448</f>
        <v/>
      </c>
      <c r="E448">
        <f>Raw_Data!E448</f>
        <v/>
      </c>
      <c r="F448">
        <f>Raw_Data!F448</f>
        <v/>
      </c>
      <c r="G448">
        <f>Raw_Data!G448</f>
        <v/>
      </c>
      <c r="H448">
        <f>Raw_Data!H448</f>
        <v/>
      </c>
      <c r="I448">
        <f>Raw_Data!I448</f>
        <v/>
      </c>
      <c r="J448" s="12">
        <f>Raw_Data!J448</f>
        <v/>
      </c>
      <c r="K448" s="13">
        <f>Raw_Data!K448</f>
        <v/>
      </c>
      <c r="L448" s="12">
        <f>Raw_Data!L448</f>
        <v/>
      </c>
      <c r="M448" s="12">
        <f>Raw_Data!M448</f>
        <v/>
      </c>
      <c r="N448" s="12">
        <f>Raw_Data!N448</f>
        <v/>
      </c>
      <c r="O448">
        <f>Raw_Data!O448</f>
        <v/>
      </c>
      <c r="P448">
        <f>Raw_Data!P448</f>
        <v/>
      </c>
      <c r="Q448">
        <f>YEAR(B448)</f>
        <v/>
      </c>
      <c r="R448">
        <f>TEXT(B448,"mmm")</f>
        <v/>
      </c>
      <c r="S448" s="15">
        <f>IFERROR(N448/L448,0)</f>
        <v/>
      </c>
    </row>
    <row r="449">
      <c r="A449">
        <f>Raw_Data!A449</f>
        <v/>
      </c>
      <c r="B449" s="11">
        <f>Raw_Data!B449</f>
        <v/>
      </c>
      <c r="C449">
        <f>Raw_Data!C449</f>
        <v/>
      </c>
      <c r="D449">
        <f>Raw_Data!D449</f>
        <v/>
      </c>
      <c r="E449">
        <f>Raw_Data!E449</f>
        <v/>
      </c>
      <c r="F449">
        <f>Raw_Data!F449</f>
        <v/>
      </c>
      <c r="G449">
        <f>Raw_Data!G449</f>
        <v/>
      </c>
      <c r="H449">
        <f>Raw_Data!H449</f>
        <v/>
      </c>
      <c r="I449">
        <f>Raw_Data!I449</f>
        <v/>
      </c>
      <c r="J449" s="12">
        <f>Raw_Data!J449</f>
        <v/>
      </c>
      <c r="K449" s="13">
        <f>Raw_Data!K449</f>
        <v/>
      </c>
      <c r="L449" s="12">
        <f>Raw_Data!L449</f>
        <v/>
      </c>
      <c r="M449" s="12">
        <f>Raw_Data!M449</f>
        <v/>
      </c>
      <c r="N449" s="12">
        <f>Raw_Data!N449</f>
        <v/>
      </c>
      <c r="O449">
        <f>Raw_Data!O449</f>
        <v/>
      </c>
      <c r="P449">
        <f>Raw_Data!P449</f>
        <v/>
      </c>
      <c r="Q449">
        <f>YEAR(B449)</f>
        <v/>
      </c>
      <c r="R449">
        <f>TEXT(B449,"mmm")</f>
        <v/>
      </c>
      <c r="S449" s="15">
        <f>IFERROR(N449/L449,0)</f>
        <v/>
      </c>
    </row>
    <row r="450">
      <c r="A450">
        <f>Raw_Data!A450</f>
        <v/>
      </c>
      <c r="B450" s="11">
        <f>Raw_Data!B450</f>
        <v/>
      </c>
      <c r="C450">
        <f>Raw_Data!C450</f>
        <v/>
      </c>
      <c r="D450">
        <f>Raw_Data!D450</f>
        <v/>
      </c>
      <c r="E450">
        <f>Raw_Data!E450</f>
        <v/>
      </c>
      <c r="F450">
        <f>Raw_Data!F450</f>
        <v/>
      </c>
      <c r="G450">
        <f>Raw_Data!G450</f>
        <v/>
      </c>
      <c r="H450">
        <f>Raw_Data!H450</f>
        <v/>
      </c>
      <c r="I450">
        <f>Raw_Data!I450</f>
        <v/>
      </c>
      <c r="J450" s="12">
        <f>Raw_Data!J450</f>
        <v/>
      </c>
      <c r="K450" s="13">
        <f>Raw_Data!K450</f>
        <v/>
      </c>
      <c r="L450" s="12">
        <f>Raw_Data!L450</f>
        <v/>
      </c>
      <c r="M450" s="12">
        <f>Raw_Data!M450</f>
        <v/>
      </c>
      <c r="N450" s="12">
        <f>Raw_Data!N450</f>
        <v/>
      </c>
      <c r="O450">
        <f>Raw_Data!O450</f>
        <v/>
      </c>
      <c r="P450">
        <f>Raw_Data!P450</f>
        <v/>
      </c>
      <c r="Q450">
        <f>YEAR(B450)</f>
        <v/>
      </c>
      <c r="R450">
        <f>TEXT(B450,"mmm")</f>
        <v/>
      </c>
      <c r="S450" s="15">
        <f>IFERROR(N450/L450,0)</f>
        <v/>
      </c>
    </row>
    <row r="451">
      <c r="A451">
        <f>Raw_Data!A451</f>
        <v/>
      </c>
      <c r="B451" s="11">
        <f>Raw_Data!B451</f>
        <v/>
      </c>
      <c r="C451">
        <f>Raw_Data!C451</f>
        <v/>
      </c>
      <c r="D451">
        <f>Raw_Data!D451</f>
        <v/>
      </c>
      <c r="E451">
        <f>Raw_Data!E451</f>
        <v/>
      </c>
      <c r="F451">
        <f>Raw_Data!F451</f>
        <v/>
      </c>
      <c r="G451">
        <f>Raw_Data!G451</f>
        <v/>
      </c>
      <c r="H451">
        <f>Raw_Data!H451</f>
        <v/>
      </c>
      <c r="I451">
        <f>Raw_Data!I451</f>
        <v/>
      </c>
      <c r="J451" s="12">
        <f>Raw_Data!J451</f>
        <v/>
      </c>
      <c r="K451" s="13">
        <f>Raw_Data!K451</f>
        <v/>
      </c>
      <c r="L451" s="12">
        <f>Raw_Data!L451</f>
        <v/>
      </c>
      <c r="M451" s="12">
        <f>Raw_Data!M451</f>
        <v/>
      </c>
      <c r="N451" s="12">
        <f>Raw_Data!N451</f>
        <v/>
      </c>
      <c r="O451">
        <f>Raw_Data!O451</f>
        <v/>
      </c>
      <c r="P451">
        <f>Raw_Data!P451</f>
        <v/>
      </c>
      <c r="Q451">
        <f>YEAR(B451)</f>
        <v/>
      </c>
      <c r="R451">
        <f>TEXT(B451,"mmm")</f>
        <v/>
      </c>
      <c r="S451" s="15">
        <f>IFERROR(N451/L451,0)</f>
        <v/>
      </c>
    </row>
    <row r="452">
      <c r="A452">
        <f>Raw_Data!A452</f>
        <v/>
      </c>
      <c r="B452" s="11">
        <f>Raw_Data!B452</f>
        <v/>
      </c>
      <c r="C452">
        <f>Raw_Data!C452</f>
        <v/>
      </c>
      <c r="D452">
        <f>Raw_Data!D452</f>
        <v/>
      </c>
      <c r="E452">
        <f>Raw_Data!E452</f>
        <v/>
      </c>
      <c r="F452">
        <f>Raw_Data!F452</f>
        <v/>
      </c>
      <c r="G452">
        <f>Raw_Data!G452</f>
        <v/>
      </c>
      <c r="H452">
        <f>Raw_Data!H452</f>
        <v/>
      </c>
      <c r="I452">
        <f>Raw_Data!I452</f>
        <v/>
      </c>
      <c r="J452" s="12">
        <f>Raw_Data!J452</f>
        <v/>
      </c>
      <c r="K452" s="13">
        <f>Raw_Data!K452</f>
        <v/>
      </c>
      <c r="L452" s="12">
        <f>Raw_Data!L452</f>
        <v/>
      </c>
      <c r="M452" s="12">
        <f>Raw_Data!M452</f>
        <v/>
      </c>
      <c r="N452" s="12">
        <f>Raw_Data!N452</f>
        <v/>
      </c>
      <c r="O452">
        <f>Raw_Data!O452</f>
        <v/>
      </c>
      <c r="P452">
        <f>Raw_Data!P452</f>
        <v/>
      </c>
      <c r="Q452">
        <f>YEAR(B452)</f>
        <v/>
      </c>
      <c r="R452">
        <f>TEXT(B452,"mmm")</f>
        <v/>
      </c>
      <c r="S452" s="15">
        <f>IFERROR(N452/L452,0)</f>
        <v/>
      </c>
    </row>
    <row r="453">
      <c r="A453">
        <f>Raw_Data!A453</f>
        <v/>
      </c>
      <c r="B453" s="11">
        <f>Raw_Data!B453</f>
        <v/>
      </c>
      <c r="C453">
        <f>Raw_Data!C453</f>
        <v/>
      </c>
      <c r="D453">
        <f>Raw_Data!D453</f>
        <v/>
      </c>
      <c r="E453">
        <f>Raw_Data!E453</f>
        <v/>
      </c>
      <c r="F453">
        <f>Raw_Data!F453</f>
        <v/>
      </c>
      <c r="G453">
        <f>Raw_Data!G453</f>
        <v/>
      </c>
      <c r="H453">
        <f>Raw_Data!H453</f>
        <v/>
      </c>
      <c r="I453">
        <f>Raw_Data!I453</f>
        <v/>
      </c>
      <c r="J453" s="12">
        <f>Raw_Data!J453</f>
        <v/>
      </c>
      <c r="K453" s="13">
        <f>Raw_Data!K453</f>
        <v/>
      </c>
      <c r="L453" s="12">
        <f>Raw_Data!L453</f>
        <v/>
      </c>
      <c r="M453" s="12">
        <f>Raw_Data!M453</f>
        <v/>
      </c>
      <c r="N453" s="12">
        <f>Raw_Data!N453</f>
        <v/>
      </c>
      <c r="O453">
        <f>Raw_Data!O453</f>
        <v/>
      </c>
      <c r="P453">
        <f>Raw_Data!P453</f>
        <v/>
      </c>
      <c r="Q453">
        <f>YEAR(B453)</f>
        <v/>
      </c>
      <c r="R453">
        <f>TEXT(B453,"mmm")</f>
        <v/>
      </c>
      <c r="S453" s="15">
        <f>IFERROR(N453/L453,0)</f>
        <v/>
      </c>
    </row>
    <row r="454">
      <c r="A454">
        <f>Raw_Data!A454</f>
        <v/>
      </c>
      <c r="B454" s="11">
        <f>Raw_Data!B454</f>
        <v/>
      </c>
      <c r="C454">
        <f>Raw_Data!C454</f>
        <v/>
      </c>
      <c r="D454">
        <f>Raw_Data!D454</f>
        <v/>
      </c>
      <c r="E454">
        <f>Raw_Data!E454</f>
        <v/>
      </c>
      <c r="F454">
        <f>Raw_Data!F454</f>
        <v/>
      </c>
      <c r="G454">
        <f>Raw_Data!G454</f>
        <v/>
      </c>
      <c r="H454">
        <f>Raw_Data!H454</f>
        <v/>
      </c>
      <c r="I454">
        <f>Raw_Data!I454</f>
        <v/>
      </c>
      <c r="J454" s="12">
        <f>Raw_Data!J454</f>
        <v/>
      </c>
      <c r="K454" s="13">
        <f>Raw_Data!K454</f>
        <v/>
      </c>
      <c r="L454" s="12">
        <f>Raw_Data!L454</f>
        <v/>
      </c>
      <c r="M454" s="12">
        <f>Raw_Data!M454</f>
        <v/>
      </c>
      <c r="N454" s="12">
        <f>Raw_Data!N454</f>
        <v/>
      </c>
      <c r="O454">
        <f>Raw_Data!O454</f>
        <v/>
      </c>
      <c r="P454">
        <f>Raw_Data!P454</f>
        <v/>
      </c>
      <c r="Q454">
        <f>YEAR(B454)</f>
        <v/>
      </c>
      <c r="R454">
        <f>TEXT(B454,"mmm")</f>
        <v/>
      </c>
      <c r="S454" s="15">
        <f>IFERROR(N454/L454,0)</f>
        <v/>
      </c>
    </row>
    <row r="455">
      <c r="A455">
        <f>Raw_Data!A455</f>
        <v/>
      </c>
      <c r="B455" s="11">
        <f>Raw_Data!B455</f>
        <v/>
      </c>
      <c r="C455">
        <f>Raw_Data!C455</f>
        <v/>
      </c>
      <c r="D455">
        <f>Raw_Data!D455</f>
        <v/>
      </c>
      <c r="E455">
        <f>Raw_Data!E455</f>
        <v/>
      </c>
      <c r="F455">
        <f>Raw_Data!F455</f>
        <v/>
      </c>
      <c r="G455">
        <f>Raw_Data!G455</f>
        <v/>
      </c>
      <c r="H455">
        <f>Raw_Data!H455</f>
        <v/>
      </c>
      <c r="I455">
        <f>Raw_Data!I455</f>
        <v/>
      </c>
      <c r="J455" s="12">
        <f>Raw_Data!J455</f>
        <v/>
      </c>
      <c r="K455" s="13">
        <f>Raw_Data!K455</f>
        <v/>
      </c>
      <c r="L455" s="12">
        <f>Raw_Data!L455</f>
        <v/>
      </c>
      <c r="M455" s="12">
        <f>Raw_Data!M455</f>
        <v/>
      </c>
      <c r="N455" s="12">
        <f>Raw_Data!N455</f>
        <v/>
      </c>
      <c r="O455">
        <f>Raw_Data!O455</f>
        <v/>
      </c>
      <c r="P455">
        <f>Raw_Data!P455</f>
        <v/>
      </c>
      <c r="Q455">
        <f>YEAR(B455)</f>
        <v/>
      </c>
      <c r="R455">
        <f>TEXT(B455,"mmm")</f>
        <v/>
      </c>
      <c r="S455" s="15">
        <f>IFERROR(N455/L455,0)</f>
        <v/>
      </c>
    </row>
    <row r="456">
      <c r="A456">
        <f>Raw_Data!A456</f>
        <v/>
      </c>
      <c r="B456" s="11">
        <f>Raw_Data!B456</f>
        <v/>
      </c>
      <c r="C456">
        <f>Raw_Data!C456</f>
        <v/>
      </c>
      <c r="D456">
        <f>Raw_Data!D456</f>
        <v/>
      </c>
      <c r="E456">
        <f>Raw_Data!E456</f>
        <v/>
      </c>
      <c r="F456">
        <f>Raw_Data!F456</f>
        <v/>
      </c>
      <c r="G456">
        <f>Raw_Data!G456</f>
        <v/>
      </c>
      <c r="H456">
        <f>Raw_Data!H456</f>
        <v/>
      </c>
      <c r="I456">
        <f>Raw_Data!I456</f>
        <v/>
      </c>
      <c r="J456" s="12">
        <f>Raw_Data!J456</f>
        <v/>
      </c>
      <c r="K456" s="13">
        <f>Raw_Data!K456</f>
        <v/>
      </c>
      <c r="L456" s="12">
        <f>Raw_Data!L456</f>
        <v/>
      </c>
      <c r="M456" s="12">
        <f>Raw_Data!M456</f>
        <v/>
      </c>
      <c r="N456" s="12">
        <f>Raw_Data!N456</f>
        <v/>
      </c>
      <c r="O456">
        <f>Raw_Data!O456</f>
        <v/>
      </c>
      <c r="P456">
        <f>Raw_Data!P456</f>
        <v/>
      </c>
      <c r="Q456">
        <f>YEAR(B456)</f>
        <v/>
      </c>
      <c r="R456">
        <f>TEXT(B456,"mmm")</f>
        <v/>
      </c>
      <c r="S456" s="15">
        <f>IFERROR(N456/L456,0)</f>
        <v/>
      </c>
    </row>
    <row r="457">
      <c r="A457">
        <f>Raw_Data!A457</f>
        <v/>
      </c>
      <c r="B457" s="11">
        <f>Raw_Data!B457</f>
        <v/>
      </c>
      <c r="C457">
        <f>Raw_Data!C457</f>
        <v/>
      </c>
      <c r="D457">
        <f>Raw_Data!D457</f>
        <v/>
      </c>
      <c r="E457">
        <f>Raw_Data!E457</f>
        <v/>
      </c>
      <c r="F457">
        <f>Raw_Data!F457</f>
        <v/>
      </c>
      <c r="G457">
        <f>Raw_Data!G457</f>
        <v/>
      </c>
      <c r="H457">
        <f>Raw_Data!H457</f>
        <v/>
      </c>
      <c r="I457">
        <f>Raw_Data!I457</f>
        <v/>
      </c>
      <c r="J457" s="12">
        <f>Raw_Data!J457</f>
        <v/>
      </c>
      <c r="K457" s="13">
        <f>Raw_Data!K457</f>
        <v/>
      </c>
      <c r="L457" s="12">
        <f>Raw_Data!L457</f>
        <v/>
      </c>
      <c r="M457" s="12">
        <f>Raw_Data!M457</f>
        <v/>
      </c>
      <c r="N457" s="12">
        <f>Raw_Data!N457</f>
        <v/>
      </c>
      <c r="O457">
        <f>Raw_Data!O457</f>
        <v/>
      </c>
      <c r="P457">
        <f>Raw_Data!P457</f>
        <v/>
      </c>
      <c r="Q457">
        <f>YEAR(B457)</f>
        <v/>
      </c>
      <c r="R457">
        <f>TEXT(B457,"mmm")</f>
        <v/>
      </c>
      <c r="S457" s="15">
        <f>IFERROR(N457/L457,0)</f>
        <v/>
      </c>
    </row>
    <row r="458">
      <c r="A458">
        <f>Raw_Data!A458</f>
        <v/>
      </c>
      <c r="B458" s="11">
        <f>Raw_Data!B458</f>
        <v/>
      </c>
      <c r="C458">
        <f>Raw_Data!C458</f>
        <v/>
      </c>
      <c r="D458">
        <f>Raw_Data!D458</f>
        <v/>
      </c>
      <c r="E458">
        <f>Raw_Data!E458</f>
        <v/>
      </c>
      <c r="F458">
        <f>Raw_Data!F458</f>
        <v/>
      </c>
      <c r="G458">
        <f>Raw_Data!G458</f>
        <v/>
      </c>
      <c r="H458">
        <f>Raw_Data!H458</f>
        <v/>
      </c>
      <c r="I458">
        <f>Raw_Data!I458</f>
        <v/>
      </c>
      <c r="J458" s="12">
        <f>Raw_Data!J458</f>
        <v/>
      </c>
      <c r="K458" s="13">
        <f>Raw_Data!K458</f>
        <v/>
      </c>
      <c r="L458" s="12">
        <f>Raw_Data!L458</f>
        <v/>
      </c>
      <c r="M458" s="12">
        <f>Raw_Data!M458</f>
        <v/>
      </c>
      <c r="N458" s="12">
        <f>Raw_Data!N458</f>
        <v/>
      </c>
      <c r="O458">
        <f>Raw_Data!O458</f>
        <v/>
      </c>
      <c r="P458">
        <f>Raw_Data!P458</f>
        <v/>
      </c>
      <c r="Q458">
        <f>YEAR(B458)</f>
        <v/>
      </c>
      <c r="R458">
        <f>TEXT(B458,"mmm")</f>
        <v/>
      </c>
      <c r="S458" s="15">
        <f>IFERROR(N458/L458,0)</f>
        <v/>
      </c>
    </row>
    <row r="459">
      <c r="A459">
        <f>Raw_Data!A459</f>
        <v/>
      </c>
      <c r="B459" s="11">
        <f>Raw_Data!B459</f>
        <v/>
      </c>
      <c r="C459">
        <f>Raw_Data!C459</f>
        <v/>
      </c>
      <c r="D459">
        <f>Raw_Data!D459</f>
        <v/>
      </c>
      <c r="E459">
        <f>Raw_Data!E459</f>
        <v/>
      </c>
      <c r="F459">
        <f>Raw_Data!F459</f>
        <v/>
      </c>
      <c r="G459">
        <f>Raw_Data!G459</f>
        <v/>
      </c>
      <c r="H459">
        <f>Raw_Data!H459</f>
        <v/>
      </c>
      <c r="I459">
        <f>Raw_Data!I459</f>
        <v/>
      </c>
      <c r="J459" s="12">
        <f>Raw_Data!J459</f>
        <v/>
      </c>
      <c r="K459" s="13">
        <f>Raw_Data!K459</f>
        <v/>
      </c>
      <c r="L459" s="12">
        <f>Raw_Data!L459</f>
        <v/>
      </c>
      <c r="M459" s="12">
        <f>Raw_Data!M459</f>
        <v/>
      </c>
      <c r="N459" s="12">
        <f>Raw_Data!N459</f>
        <v/>
      </c>
      <c r="O459">
        <f>Raw_Data!O459</f>
        <v/>
      </c>
      <c r="P459">
        <f>Raw_Data!P459</f>
        <v/>
      </c>
      <c r="Q459">
        <f>YEAR(B459)</f>
        <v/>
      </c>
      <c r="R459">
        <f>TEXT(B459,"mmm")</f>
        <v/>
      </c>
      <c r="S459" s="15">
        <f>IFERROR(N459/L459,0)</f>
        <v/>
      </c>
    </row>
    <row r="460">
      <c r="A460">
        <f>Raw_Data!A460</f>
        <v/>
      </c>
      <c r="B460" s="11">
        <f>Raw_Data!B460</f>
        <v/>
      </c>
      <c r="C460">
        <f>Raw_Data!C460</f>
        <v/>
      </c>
      <c r="D460">
        <f>Raw_Data!D460</f>
        <v/>
      </c>
      <c r="E460">
        <f>Raw_Data!E460</f>
        <v/>
      </c>
      <c r="F460">
        <f>Raw_Data!F460</f>
        <v/>
      </c>
      <c r="G460">
        <f>Raw_Data!G460</f>
        <v/>
      </c>
      <c r="H460">
        <f>Raw_Data!H460</f>
        <v/>
      </c>
      <c r="I460">
        <f>Raw_Data!I460</f>
        <v/>
      </c>
      <c r="J460" s="12">
        <f>Raw_Data!J460</f>
        <v/>
      </c>
      <c r="K460" s="13">
        <f>Raw_Data!K460</f>
        <v/>
      </c>
      <c r="L460" s="12">
        <f>Raw_Data!L460</f>
        <v/>
      </c>
      <c r="M460" s="12">
        <f>Raw_Data!M460</f>
        <v/>
      </c>
      <c r="N460" s="12">
        <f>Raw_Data!N460</f>
        <v/>
      </c>
      <c r="O460">
        <f>Raw_Data!O460</f>
        <v/>
      </c>
      <c r="P460">
        <f>Raw_Data!P460</f>
        <v/>
      </c>
      <c r="Q460">
        <f>YEAR(B460)</f>
        <v/>
      </c>
      <c r="R460">
        <f>TEXT(B460,"mmm")</f>
        <v/>
      </c>
      <c r="S460" s="15">
        <f>IFERROR(N460/L460,0)</f>
        <v/>
      </c>
    </row>
    <row r="461">
      <c r="A461">
        <f>Raw_Data!A461</f>
        <v/>
      </c>
      <c r="B461" s="11">
        <f>Raw_Data!B461</f>
        <v/>
      </c>
      <c r="C461">
        <f>Raw_Data!C461</f>
        <v/>
      </c>
      <c r="D461">
        <f>Raw_Data!D461</f>
        <v/>
      </c>
      <c r="E461">
        <f>Raw_Data!E461</f>
        <v/>
      </c>
      <c r="F461">
        <f>Raw_Data!F461</f>
        <v/>
      </c>
      <c r="G461">
        <f>Raw_Data!G461</f>
        <v/>
      </c>
      <c r="H461">
        <f>Raw_Data!H461</f>
        <v/>
      </c>
      <c r="I461">
        <f>Raw_Data!I461</f>
        <v/>
      </c>
      <c r="J461" s="12">
        <f>Raw_Data!J461</f>
        <v/>
      </c>
      <c r="K461" s="13">
        <f>Raw_Data!K461</f>
        <v/>
      </c>
      <c r="L461" s="12">
        <f>Raw_Data!L461</f>
        <v/>
      </c>
      <c r="M461" s="12">
        <f>Raw_Data!M461</f>
        <v/>
      </c>
      <c r="N461" s="12">
        <f>Raw_Data!N461</f>
        <v/>
      </c>
      <c r="O461">
        <f>Raw_Data!O461</f>
        <v/>
      </c>
      <c r="P461">
        <f>Raw_Data!P461</f>
        <v/>
      </c>
      <c r="Q461">
        <f>YEAR(B461)</f>
        <v/>
      </c>
      <c r="R461">
        <f>TEXT(B461,"mmm")</f>
        <v/>
      </c>
      <c r="S461" s="15">
        <f>IFERROR(N461/L461,0)</f>
        <v/>
      </c>
    </row>
    <row r="462">
      <c r="A462">
        <f>Raw_Data!A462</f>
        <v/>
      </c>
      <c r="B462" s="11">
        <f>Raw_Data!B462</f>
        <v/>
      </c>
      <c r="C462">
        <f>Raw_Data!C462</f>
        <v/>
      </c>
      <c r="D462">
        <f>Raw_Data!D462</f>
        <v/>
      </c>
      <c r="E462">
        <f>Raw_Data!E462</f>
        <v/>
      </c>
      <c r="F462">
        <f>Raw_Data!F462</f>
        <v/>
      </c>
      <c r="G462">
        <f>Raw_Data!G462</f>
        <v/>
      </c>
      <c r="H462">
        <f>Raw_Data!H462</f>
        <v/>
      </c>
      <c r="I462">
        <f>Raw_Data!I462</f>
        <v/>
      </c>
      <c r="J462" s="12">
        <f>Raw_Data!J462</f>
        <v/>
      </c>
      <c r="K462" s="13">
        <f>Raw_Data!K462</f>
        <v/>
      </c>
      <c r="L462" s="12">
        <f>Raw_Data!L462</f>
        <v/>
      </c>
      <c r="M462" s="12">
        <f>Raw_Data!M462</f>
        <v/>
      </c>
      <c r="N462" s="12">
        <f>Raw_Data!N462</f>
        <v/>
      </c>
      <c r="O462">
        <f>Raw_Data!O462</f>
        <v/>
      </c>
      <c r="P462">
        <f>Raw_Data!P462</f>
        <v/>
      </c>
      <c r="Q462">
        <f>YEAR(B462)</f>
        <v/>
      </c>
      <c r="R462">
        <f>TEXT(B462,"mmm")</f>
        <v/>
      </c>
      <c r="S462" s="15">
        <f>IFERROR(N462/L462,0)</f>
        <v/>
      </c>
    </row>
    <row r="463">
      <c r="A463">
        <f>Raw_Data!A463</f>
        <v/>
      </c>
      <c r="B463" s="11">
        <f>Raw_Data!B463</f>
        <v/>
      </c>
      <c r="C463">
        <f>Raw_Data!C463</f>
        <v/>
      </c>
      <c r="D463">
        <f>Raw_Data!D463</f>
        <v/>
      </c>
      <c r="E463">
        <f>Raw_Data!E463</f>
        <v/>
      </c>
      <c r="F463">
        <f>Raw_Data!F463</f>
        <v/>
      </c>
      <c r="G463">
        <f>Raw_Data!G463</f>
        <v/>
      </c>
      <c r="H463">
        <f>Raw_Data!H463</f>
        <v/>
      </c>
      <c r="I463">
        <f>Raw_Data!I463</f>
        <v/>
      </c>
      <c r="J463" s="12">
        <f>Raw_Data!J463</f>
        <v/>
      </c>
      <c r="K463" s="13">
        <f>Raw_Data!K463</f>
        <v/>
      </c>
      <c r="L463" s="12">
        <f>Raw_Data!L463</f>
        <v/>
      </c>
      <c r="M463" s="12">
        <f>Raw_Data!M463</f>
        <v/>
      </c>
      <c r="N463" s="12">
        <f>Raw_Data!N463</f>
        <v/>
      </c>
      <c r="O463">
        <f>Raw_Data!O463</f>
        <v/>
      </c>
      <c r="P463">
        <f>Raw_Data!P463</f>
        <v/>
      </c>
      <c r="Q463">
        <f>YEAR(B463)</f>
        <v/>
      </c>
      <c r="R463">
        <f>TEXT(B463,"mmm")</f>
        <v/>
      </c>
      <c r="S463" s="15">
        <f>IFERROR(N463/L463,0)</f>
        <v/>
      </c>
    </row>
    <row r="464">
      <c r="A464">
        <f>Raw_Data!A464</f>
        <v/>
      </c>
      <c r="B464" s="11">
        <f>Raw_Data!B464</f>
        <v/>
      </c>
      <c r="C464">
        <f>Raw_Data!C464</f>
        <v/>
      </c>
      <c r="D464">
        <f>Raw_Data!D464</f>
        <v/>
      </c>
      <c r="E464">
        <f>Raw_Data!E464</f>
        <v/>
      </c>
      <c r="F464">
        <f>Raw_Data!F464</f>
        <v/>
      </c>
      <c r="G464">
        <f>Raw_Data!G464</f>
        <v/>
      </c>
      <c r="H464">
        <f>Raw_Data!H464</f>
        <v/>
      </c>
      <c r="I464">
        <f>Raw_Data!I464</f>
        <v/>
      </c>
      <c r="J464" s="12">
        <f>Raw_Data!J464</f>
        <v/>
      </c>
      <c r="K464" s="13">
        <f>Raw_Data!K464</f>
        <v/>
      </c>
      <c r="L464" s="12">
        <f>Raw_Data!L464</f>
        <v/>
      </c>
      <c r="M464" s="12">
        <f>Raw_Data!M464</f>
        <v/>
      </c>
      <c r="N464" s="12">
        <f>Raw_Data!N464</f>
        <v/>
      </c>
      <c r="O464">
        <f>Raw_Data!O464</f>
        <v/>
      </c>
      <c r="P464">
        <f>Raw_Data!P464</f>
        <v/>
      </c>
      <c r="Q464">
        <f>YEAR(B464)</f>
        <v/>
      </c>
      <c r="R464">
        <f>TEXT(B464,"mmm")</f>
        <v/>
      </c>
      <c r="S464" s="15">
        <f>IFERROR(N464/L464,0)</f>
        <v/>
      </c>
    </row>
    <row r="465">
      <c r="A465">
        <f>Raw_Data!A465</f>
        <v/>
      </c>
      <c r="B465" s="11">
        <f>Raw_Data!B465</f>
        <v/>
      </c>
      <c r="C465">
        <f>Raw_Data!C465</f>
        <v/>
      </c>
      <c r="D465">
        <f>Raw_Data!D465</f>
        <v/>
      </c>
      <c r="E465">
        <f>Raw_Data!E465</f>
        <v/>
      </c>
      <c r="F465">
        <f>Raw_Data!F465</f>
        <v/>
      </c>
      <c r="G465">
        <f>Raw_Data!G465</f>
        <v/>
      </c>
      <c r="H465">
        <f>Raw_Data!H465</f>
        <v/>
      </c>
      <c r="I465">
        <f>Raw_Data!I465</f>
        <v/>
      </c>
      <c r="J465" s="12">
        <f>Raw_Data!J465</f>
        <v/>
      </c>
      <c r="K465" s="13">
        <f>Raw_Data!K465</f>
        <v/>
      </c>
      <c r="L465" s="12">
        <f>Raw_Data!L465</f>
        <v/>
      </c>
      <c r="M465" s="12">
        <f>Raw_Data!M465</f>
        <v/>
      </c>
      <c r="N465" s="12">
        <f>Raw_Data!N465</f>
        <v/>
      </c>
      <c r="O465">
        <f>Raw_Data!O465</f>
        <v/>
      </c>
      <c r="P465">
        <f>Raw_Data!P465</f>
        <v/>
      </c>
      <c r="Q465">
        <f>YEAR(B465)</f>
        <v/>
      </c>
      <c r="R465">
        <f>TEXT(B465,"mmm")</f>
        <v/>
      </c>
      <c r="S465" s="15">
        <f>IFERROR(N465/L465,0)</f>
        <v/>
      </c>
    </row>
    <row r="466">
      <c r="A466">
        <f>Raw_Data!A466</f>
        <v/>
      </c>
      <c r="B466" s="11">
        <f>Raw_Data!B466</f>
        <v/>
      </c>
      <c r="C466">
        <f>Raw_Data!C466</f>
        <v/>
      </c>
      <c r="D466">
        <f>Raw_Data!D466</f>
        <v/>
      </c>
      <c r="E466">
        <f>Raw_Data!E466</f>
        <v/>
      </c>
      <c r="F466">
        <f>Raw_Data!F466</f>
        <v/>
      </c>
      <c r="G466">
        <f>Raw_Data!G466</f>
        <v/>
      </c>
      <c r="H466">
        <f>Raw_Data!H466</f>
        <v/>
      </c>
      <c r="I466">
        <f>Raw_Data!I466</f>
        <v/>
      </c>
      <c r="J466" s="12">
        <f>Raw_Data!J466</f>
        <v/>
      </c>
      <c r="K466" s="13">
        <f>Raw_Data!K466</f>
        <v/>
      </c>
      <c r="L466" s="12">
        <f>Raw_Data!L466</f>
        <v/>
      </c>
      <c r="M466" s="12">
        <f>Raw_Data!M466</f>
        <v/>
      </c>
      <c r="N466" s="12">
        <f>Raw_Data!N466</f>
        <v/>
      </c>
      <c r="O466">
        <f>Raw_Data!O466</f>
        <v/>
      </c>
      <c r="P466">
        <f>Raw_Data!P466</f>
        <v/>
      </c>
      <c r="Q466">
        <f>YEAR(B466)</f>
        <v/>
      </c>
      <c r="R466">
        <f>TEXT(B466,"mmm")</f>
        <v/>
      </c>
      <c r="S466" s="15">
        <f>IFERROR(N466/L466,0)</f>
        <v/>
      </c>
    </row>
    <row r="467">
      <c r="A467">
        <f>Raw_Data!A467</f>
        <v/>
      </c>
      <c r="B467" s="11">
        <f>Raw_Data!B467</f>
        <v/>
      </c>
      <c r="C467">
        <f>Raw_Data!C467</f>
        <v/>
      </c>
      <c r="D467">
        <f>Raw_Data!D467</f>
        <v/>
      </c>
      <c r="E467">
        <f>Raw_Data!E467</f>
        <v/>
      </c>
      <c r="F467">
        <f>Raw_Data!F467</f>
        <v/>
      </c>
      <c r="G467">
        <f>Raw_Data!G467</f>
        <v/>
      </c>
      <c r="H467">
        <f>Raw_Data!H467</f>
        <v/>
      </c>
      <c r="I467">
        <f>Raw_Data!I467</f>
        <v/>
      </c>
      <c r="J467" s="12">
        <f>Raw_Data!J467</f>
        <v/>
      </c>
      <c r="K467" s="13">
        <f>Raw_Data!K467</f>
        <v/>
      </c>
      <c r="L467" s="12">
        <f>Raw_Data!L467</f>
        <v/>
      </c>
      <c r="M467" s="12">
        <f>Raw_Data!M467</f>
        <v/>
      </c>
      <c r="N467" s="12">
        <f>Raw_Data!N467</f>
        <v/>
      </c>
      <c r="O467">
        <f>Raw_Data!O467</f>
        <v/>
      </c>
      <c r="P467">
        <f>Raw_Data!P467</f>
        <v/>
      </c>
      <c r="Q467">
        <f>YEAR(B467)</f>
        <v/>
      </c>
      <c r="R467">
        <f>TEXT(B467,"mmm")</f>
        <v/>
      </c>
      <c r="S467" s="15">
        <f>IFERROR(N467/L467,0)</f>
        <v/>
      </c>
    </row>
    <row r="468">
      <c r="A468">
        <f>Raw_Data!A468</f>
        <v/>
      </c>
      <c r="B468" s="11">
        <f>Raw_Data!B468</f>
        <v/>
      </c>
      <c r="C468">
        <f>Raw_Data!C468</f>
        <v/>
      </c>
      <c r="D468">
        <f>Raw_Data!D468</f>
        <v/>
      </c>
      <c r="E468">
        <f>Raw_Data!E468</f>
        <v/>
      </c>
      <c r="F468">
        <f>Raw_Data!F468</f>
        <v/>
      </c>
      <c r="G468">
        <f>Raw_Data!G468</f>
        <v/>
      </c>
      <c r="H468">
        <f>Raw_Data!H468</f>
        <v/>
      </c>
      <c r="I468">
        <f>Raw_Data!I468</f>
        <v/>
      </c>
      <c r="J468" s="12">
        <f>Raw_Data!J468</f>
        <v/>
      </c>
      <c r="K468" s="13">
        <f>Raw_Data!K468</f>
        <v/>
      </c>
      <c r="L468" s="12">
        <f>Raw_Data!L468</f>
        <v/>
      </c>
      <c r="M468" s="12">
        <f>Raw_Data!M468</f>
        <v/>
      </c>
      <c r="N468" s="12">
        <f>Raw_Data!N468</f>
        <v/>
      </c>
      <c r="O468">
        <f>Raw_Data!O468</f>
        <v/>
      </c>
      <c r="P468">
        <f>Raw_Data!P468</f>
        <v/>
      </c>
      <c r="Q468">
        <f>YEAR(B468)</f>
        <v/>
      </c>
      <c r="R468">
        <f>TEXT(B468,"mmm")</f>
        <v/>
      </c>
      <c r="S468" s="15">
        <f>IFERROR(N468/L468,0)</f>
        <v/>
      </c>
    </row>
    <row r="469">
      <c r="A469">
        <f>Raw_Data!A469</f>
        <v/>
      </c>
      <c r="B469" s="11">
        <f>Raw_Data!B469</f>
        <v/>
      </c>
      <c r="C469">
        <f>Raw_Data!C469</f>
        <v/>
      </c>
      <c r="D469">
        <f>Raw_Data!D469</f>
        <v/>
      </c>
      <c r="E469">
        <f>Raw_Data!E469</f>
        <v/>
      </c>
      <c r="F469">
        <f>Raw_Data!F469</f>
        <v/>
      </c>
      <c r="G469">
        <f>Raw_Data!G469</f>
        <v/>
      </c>
      <c r="H469">
        <f>Raw_Data!H469</f>
        <v/>
      </c>
      <c r="I469">
        <f>Raw_Data!I469</f>
        <v/>
      </c>
      <c r="J469" s="12">
        <f>Raw_Data!J469</f>
        <v/>
      </c>
      <c r="K469" s="13">
        <f>Raw_Data!K469</f>
        <v/>
      </c>
      <c r="L469" s="12">
        <f>Raw_Data!L469</f>
        <v/>
      </c>
      <c r="M469" s="12">
        <f>Raw_Data!M469</f>
        <v/>
      </c>
      <c r="N469" s="12">
        <f>Raw_Data!N469</f>
        <v/>
      </c>
      <c r="O469">
        <f>Raw_Data!O469</f>
        <v/>
      </c>
      <c r="P469">
        <f>Raw_Data!P469</f>
        <v/>
      </c>
      <c r="Q469">
        <f>YEAR(B469)</f>
        <v/>
      </c>
      <c r="R469">
        <f>TEXT(B469,"mmm")</f>
        <v/>
      </c>
      <c r="S469" s="15">
        <f>IFERROR(N469/L469,0)</f>
        <v/>
      </c>
    </row>
    <row r="470">
      <c r="A470">
        <f>Raw_Data!A470</f>
        <v/>
      </c>
      <c r="B470" s="11">
        <f>Raw_Data!B470</f>
        <v/>
      </c>
      <c r="C470">
        <f>Raw_Data!C470</f>
        <v/>
      </c>
      <c r="D470">
        <f>Raw_Data!D470</f>
        <v/>
      </c>
      <c r="E470">
        <f>Raw_Data!E470</f>
        <v/>
      </c>
      <c r="F470">
        <f>Raw_Data!F470</f>
        <v/>
      </c>
      <c r="G470">
        <f>Raw_Data!G470</f>
        <v/>
      </c>
      <c r="H470">
        <f>Raw_Data!H470</f>
        <v/>
      </c>
      <c r="I470">
        <f>Raw_Data!I470</f>
        <v/>
      </c>
      <c r="J470" s="12">
        <f>Raw_Data!J470</f>
        <v/>
      </c>
      <c r="K470" s="13">
        <f>Raw_Data!K470</f>
        <v/>
      </c>
      <c r="L470" s="12">
        <f>Raw_Data!L470</f>
        <v/>
      </c>
      <c r="M470" s="12">
        <f>Raw_Data!M470</f>
        <v/>
      </c>
      <c r="N470" s="12">
        <f>Raw_Data!N470</f>
        <v/>
      </c>
      <c r="O470">
        <f>Raw_Data!O470</f>
        <v/>
      </c>
      <c r="P470">
        <f>Raw_Data!P470</f>
        <v/>
      </c>
      <c r="Q470">
        <f>YEAR(B470)</f>
        <v/>
      </c>
      <c r="R470">
        <f>TEXT(B470,"mmm")</f>
        <v/>
      </c>
      <c r="S470" s="15">
        <f>IFERROR(N470/L470,0)</f>
        <v/>
      </c>
    </row>
    <row r="471">
      <c r="A471">
        <f>Raw_Data!A471</f>
        <v/>
      </c>
      <c r="B471" s="11">
        <f>Raw_Data!B471</f>
        <v/>
      </c>
      <c r="C471">
        <f>Raw_Data!C471</f>
        <v/>
      </c>
      <c r="D471">
        <f>Raw_Data!D471</f>
        <v/>
      </c>
      <c r="E471">
        <f>Raw_Data!E471</f>
        <v/>
      </c>
      <c r="F471">
        <f>Raw_Data!F471</f>
        <v/>
      </c>
      <c r="G471">
        <f>Raw_Data!G471</f>
        <v/>
      </c>
      <c r="H471">
        <f>Raw_Data!H471</f>
        <v/>
      </c>
      <c r="I471">
        <f>Raw_Data!I471</f>
        <v/>
      </c>
      <c r="J471" s="12">
        <f>Raw_Data!J471</f>
        <v/>
      </c>
      <c r="K471" s="13">
        <f>Raw_Data!K471</f>
        <v/>
      </c>
      <c r="L471" s="12">
        <f>Raw_Data!L471</f>
        <v/>
      </c>
      <c r="M471" s="12">
        <f>Raw_Data!M471</f>
        <v/>
      </c>
      <c r="N471" s="12">
        <f>Raw_Data!N471</f>
        <v/>
      </c>
      <c r="O471">
        <f>Raw_Data!O471</f>
        <v/>
      </c>
      <c r="P471">
        <f>Raw_Data!P471</f>
        <v/>
      </c>
      <c r="Q471">
        <f>YEAR(B471)</f>
        <v/>
      </c>
      <c r="R471">
        <f>TEXT(B471,"mmm")</f>
        <v/>
      </c>
      <c r="S471" s="15">
        <f>IFERROR(N471/L471,0)</f>
        <v/>
      </c>
    </row>
    <row r="472">
      <c r="A472">
        <f>Raw_Data!A472</f>
        <v/>
      </c>
      <c r="B472" s="11">
        <f>Raw_Data!B472</f>
        <v/>
      </c>
      <c r="C472">
        <f>Raw_Data!C472</f>
        <v/>
      </c>
      <c r="D472">
        <f>Raw_Data!D472</f>
        <v/>
      </c>
      <c r="E472">
        <f>Raw_Data!E472</f>
        <v/>
      </c>
      <c r="F472">
        <f>Raw_Data!F472</f>
        <v/>
      </c>
      <c r="G472">
        <f>Raw_Data!G472</f>
        <v/>
      </c>
      <c r="H472">
        <f>Raw_Data!H472</f>
        <v/>
      </c>
      <c r="I472">
        <f>Raw_Data!I472</f>
        <v/>
      </c>
      <c r="J472" s="12">
        <f>Raw_Data!J472</f>
        <v/>
      </c>
      <c r="K472" s="13">
        <f>Raw_Data!K472</f>
        <v/>
      </c>
      <c r="L472" s="12">
        <f>Raw_Data!L472</f>
        <v/>
      </c>
      <c r="M472" s="12">
        <f>Raw_Data!M472</f>
        <v/>
      </c>
      <c r="N472" s="12">
        <f>Raw_Data!N472</f>
        <v/>
      </c>
      <c r="O472">
        <f>Raw_Data!O472</f>
        <v/>
      </c>
      <c r="P472">
        <f>Raw_Data!P472</f>
        <v/>
      </c>
      <c r="Q472">
        <f>YEAR(B472)</f>
        <v/>
      </c>
      <c r="R472">
        <f>TEXT(B472,"mmm")</f>
        <v/>
      </c>
      <c r="S472" s="15">
        <f>IFERROR(N472/L472,0)</f>
        <v/>
      </c>
    </row>
    <row r="473">
      <c r="A473">
        <f>Raw_Data!A473</f>
        <v/>
      </c>
      <c r="B473" s="11">
        <f>Raw_Data!B473</f>
        <v/>
      </c>
      <c r="C473">
        <f>Raw_Data!C473</f>
        <v/>
      </c>
      <c r="D473">
        <f>Raw_Data!D473</f>
        <v/>
      </c>
      <c r="E473">
        <f>Raw_Data!E473</f>
        <v/>
      </c>
      <c r="F473">
        <f>Raw_Data!F473</f>
        <v/>
      </c>
      <c r="G473">
        <f>Raw_Data!G473</f>
        <v/>
      </c>
      <c r="H473">
        <f>Raw_Data!H473</f>
        <v/>
      </c>
      <c r="I473">
        <f>Raw_Data!I473</f>
        <v/>
      </c>
      <c r="J473" s="12">
        <f>Raw_Data!J473</f>
        <v/>
      </c>
      <c r="K473" s="13">
        <f>Raw_Data!K473</f>
        <v/>
      </c>
      <c r="L473" s="12">
        <f>Raw_Data!L473</f>
        <v/>
      </c>
      <c r="M473" s="12">
        <f>Raw_Data!M473</f>
        <v/>
      </c>
      <c r="N473" s="12">
        <f>Raw_Data!N473</f>
        <v/>
      </c>
      <c r="O473">
        <f>Raw_Data!O473</f>
        <v/>
      </c>
      <c r="P473">
        <f>Raw_Data!P473</f>
        <v/>
      </c>
      <c r="Q473">
        <f>YEAR(B473)</f>
        <v/>
      </c>
      <c r="R473">
        <f>TEXT(B473,"mmm")</f>
        <v/>
      </c>
      <c r="S473" s="15">
        <f>IFERROR(N473/L473,0)</f>
        <v/>
      </c>
    </row>
    <row r="474">
      <c r="A474">
        <f>Raw_Data!A474</f>
        <v/>
      </c>
      <c r="B474" s="11">
        <f>Raw_Data!B474</f>
        <v/>
      </c>
      <c r="C474">
        <f>Raw_Data!C474</f>
        <v/>
      </c>
      <c r="D474">
        <f>Raw_Data!D474</f>
        <v/>
      </c>
      <c r="E474">
        <f>Raw_Data!E474</f>
        <v/>
      </c>
      <c r="F474">
        <f>Raw_Data!F474</f>
        <v/>
      </c>
      <c r="G474">
        <f>Raw_Data!G474</f>
        <v/>
      </c>
      <c r="H474">
        <f>Raw_Data!H474</f>
        <v/>
      </c>
      <c r="I474">
        <f>Raw_Data!I474</f>
        <v/>
      </c>
      <c r="J474" s="12">
        <f>Raw_Data!J474</f>
        <v/>
      </c>
      <c r="K474" s="13">
        <f>Raw_Data!K474</f>
        <v/>
      </c>
      <c r="L474" s="12">
        <f>Raw_Data!L474</f>
        <v/>
      </c>
      <c r="M474" s="12">
        <f>Raw_Data!M474</f>
        <v/>
      </c>
      <c r="N474" s="12">
        <f>Raw_Data!N474</f>
        <v/>
      </c>
      <c r="O474">
        <f>Raw_Data!O474</f>
        <v/>
      </c>
      <c r="P474">
        <f>Raw_Data!P474</f>
        <v/>
      </c>
      <c r="Q474">
        <f>YEAR(B474)</f>
        <v/>
      </c>
      <c r="R474">
        <f>TEXT(B474,"mmm")</f>
        <v/>
      </c>
      <c r="S474" s="15">
        <f>IFERROR(N474/L474,0)</f>
        <v/>
      </c>
    </row>
    <row r="475">
      <c r="A475">
        <f>Raw_Data!A475</f>
        <v/>
      </c>
      <c r="B475" s="11">
        <f>Raw_Data!B475</f>
        <v/>
      </c>
      <c r="C475">
        <f>Raw_Data!C475</f>
        <v/>
      </c>
      <c r="D475">
        <f>Raw_Data!D475</f>
        <v/>
      </c>
      <c r="E475">
        <f>Raw_Data!E475</f>
        <v/>
      </c>
      <c r="F475">
        <f>Raw_Data!F475</f>
        <v/>
      </c>
      <c r="G475">
        <f>Raw_Data!G475</f>
        <v/>
      </c>
      <c r="H475">
        <f>Raw_Data!H475</f>
        <v/>
      </c>
      <c r="I475">
        <f>Raw_Data!I475</f>
        <v/>
      </c>
      <c r="J475" s="12">
        <f>Raw_Data!J475</f>
        <v/>
      </c>
      <c r="K475" s="13">
        <f>Raw_Data!K475</f>
        <v/>
      </c>
      <c r="L475" s="12">
        <f>Raw_Data!L475</f>
        <v/>
      </c>
      <c r="M475" s="12">
        <f>Raw_Data!M475</f>
        <v/>
      </c>
      <c r="N475" s="12">
        <f>Raw_Data!N475</f>
        <v/>
      </c>
      <c r="O475">
        <f>Raw_Data!O475</f>
        <v/>
      </c>
      <c r="P475">
        <f>Raw_Data!P475</f>
        <v/>
      </c>
      <c r="Q475">
        <f>YEAR(B475)</f>
        <v/>
      </c>
      <c r="R475">
        <f>TEXT(B475,"mmm")</f>
        <v/>
      </c>
      <c r="S475" s="15">
        <f>IFERROR(N475/L475,0)</f>
        <v/>
      </c>
    </row>
    <row r="476">
      <c r="A476">
        <f>Raw_Data!A476</f>
        <v/>
      </c>
      <c r="B476" s="11">
        <f>Raw_Data!B476</f>
        <v/>
      </c>
      <c r="C476">
        <f>Raw_Data!C476</f>
        <v/>
      </c>
      <c r="D476">
        <f>Raw_Data!D476</f>
        <v/>
      </c>
      <c r="E476">
        <f>Raw_Data!E476</f>
        <v/>
      </c>
      <c r="F476">
        <f>Raw_Data!F476</f>
        <v/>
      </c>
      <c r="G476">
        <f>Raw_Data!G476</f>
        <v/>
      </c>
      <c r="H476">
        <f>Raw_Data!H476</f>
        <v/>
      </c>
      <c r="I476">
        <f>Raw_Data!I476</f>
        <v/>
      </c>
      <c r="J476" s="12">
        <f>Raw_Data!J476</f>
        <v/>
      </c>
      <c r="K476" s="13">
        <f>Raw_Data!K476</f>
        <v/>
      </c>
      <c r="L476" s="12">
        <f>Raw_Data!L476</f>
        <v/>
      </c>
      <c r="M476" s="12">
        <f>Raw_Data!M476</f>
        <v/>
      </c>
      <c r="N476" s="12">
        <f>Raw_Data!N476</f>
        <v/>
      </c>
      <c r="O476">
        <f>Raw_Data!O476</f>
        <v/>
      </c>
      <c r="P476">
        <f>Raw_Data!P476</f>
        <v/>
      </c>
      <c r="Q476">
        <f>YEAR(B476)</f>
        <v/>
      </c>
      <c r="R476">
        <f>TEXT(B476,"mmm")</f>
        <v/>
      </c>
      <c r="S476" s="15">
        <f>IFERROR(N476/L476,0)</f>
        <v/>
      </c>
    </row>
    <row r="477">
      <c r="A477">
        <f>Raw_Data!A477</f>
        <v/>
      </c>
      <c r="B477" s="11">
        <f>Raw_Data!B477</f>
        <v/>
      </c>
      <c r="C477">
        <f>Raw_Data!C477</f>
        <v/>
      </c>
      <c r="D477">
        <f>Raw_Data!D477</f>
        <v/>
      </c>
      <c r="E477">
        <f>Raw_Data!E477</f>
        <v/>
      </c>
      <c r="F477">
        <f>Raw_Data!F477</f>
        <v/>
      </c>
      <c r="G477">
        <f>Raw_Data!G477</f>
        <v/>
      </c>
      <c r="H477">
        <f>Raw_Data!H477</f>
        <v/>
      </c>
      <c r="I477">
        <f>Raw_Data!I477</f>
        <v/>
      </c>
      <c r="J477" s="12">
        <f>Raw_Data!J477</f>
        <v/>
      </c>
      <c r="K477" s="13">
        <f>Raw_Data!K477</f>
        <v/>
      </c>
      <c r="L477" s="12">
        <f>Raw_Data!L477</f>
        <v/>
      </c>
      <c r="M477" s="12">
        <f>Raw_Data!M477</f>
        <v/>
      </c>
      <c r="N477" s="12">
        <f>Raw_Data!N477</f>
        <v/>
      </c>
      <c r="O477">
        <f>Raw_Data!O477</f>
        <v/>
      </c>
      <c r="P477">
        <f>Raw_Data!P477</f>
        <v/>
      </c>
      <c r="Q477">
        <f>YEAR(B477)</f>
        <v/>
      </c>
      <c r="R477">
        <f>TEXT(B477,"mmm")</f>
        <v/>
      </c>
      <c r="S477" s="15">
        <f>IFERROR(N477/L477,0)</f>
        <v/>
      </c>
    </row>
    <row r="478">
      <c r="A478">
        <f>Raw_Data!A478</f>
        <v/>
      </c>
      <c r="B478" s="11">
        <f>Raw_Data!B478</f>
        <v/>
      </c>
      <c r="C478">
        <f>Raw_Data!C478</f>
        <v/>
      </c>
      <c r="D478">
        <f>Raw_Data!D478</f>
        <v/>
      </c>
      <c r="E478">
        <f>Raw_Data!E478</f>
        <v/>
      </c>
      <c r="F478">
        <f>Raw_Data!F478</f>
        <v/>
      </c>
      <c r="G478">
        <f>Raw_Data!G478</f>
        <v/>
      </c>
      <c r="H478">
        <f>Raw_Data!H478</f>
        <v/>
      </c>
      <c r="I478">
        <f>Raw_Data!I478</f>
        <v/>
      </c>
      <c r="J478" s="12">
        <f>Raw_Data!J478</f>
        <v/>
      </c>
      <c r="K478" s="13">
        <f>Raw_Data!K478</f>
        <v/>
      </c>
      <c r="L478" s="12">
        <f>Raw_Data!L478</f>
        <v/>
      </c>
      <c r="M478" s="12">
        <f>Raw_Data!M478</f>
        <v/>
      </c>
      <c r="N478" s="12">
        <f>Raw_Data!N478</f>
        <v/>
      </c>
      <c r="O478">
        <f>Raw_Data!O478</f>
        <v/>
      </c>
      <c r="P478">
        <f>Raw_Data!P478</f>
        <v/>
      </c>
      <c r="Q478">
        <f>YEAR(B478)</f>
        <v/>
      </c>
      <c r="R478">
        <f>TEXT(B478,"mmm")</f>
        <v/>
      </c>
      <c r="S478" s="15">
        <f>IFERROR(N478/L478,0)</f>
        <v/>
      </c>
    </row>
    <row r="479">
      <c r="A479">
        <f>Raw_Data!A479</f>
        <v/>
      </c>
      <c r="B479" s="11">
        <f>Raw_Data!B479</f>
        <v/>
      </c>
      <c r="C479">
        <f>Raw_Data!C479</f>
        <v/>
      </c>
      <c r="D479">
        <f>Raw_Data!D479</f>
        <v/>
      </c>
      <c r="E479">
        <f>Raw_Data!E479</f>
        <v/>
      </c>
      <c r="F479">
        <f>Raw_Data!F479</f>
        <v/>
      </c>
      <c r="G479">
        <f>Raw_Data!G479</f>
        <v/>
      </c>
      <c r="H479">
        <f>Raw_Data!H479</f>
        <v/>
      </c>
      <c r="I479">
        <f>Raw_Data!I479</f>
        <v/>
      </c>
      <c r="J479" s="12">
        <f>Raw_Data!J479</f>
        <v/>
      </c>
      <c r="K479" s="13">
        <f>Raw_Data!K479</f>
        <v/>
      </c>
      <c r="L479" s="12">
        <f>Raw_Data!L479</f>
        <v/>
      </c>
      <c r="M479" s="12">
        <f>Raw_Data!M479</f>
        <v/>
      </c>
      <c r="N479" s="12">
        <f>Raw_Data!N479</f>
        <v/>
      </c>
      <c r="O479">
        <f>Raw_Data!O479</f>
        <v/>
      </c>
      <c r="P479">
        <f>Raw_Data!P479</f>
        <v/>
      </c>
      <c r="Q479">
        <f>YEAR(B479)</f>
        <v/>
      </c>
      <c r="R479">
        <f>TEXT(B479,"mmm")</f>
        <v/>
      </c>
      <c r="S479" s="15">
        <f>IFERROR(N479/L479,0)</f>
        <v/>
      </c>
    </row>
    <row r="480">
      <c r="A480">
        <f>Raw_Data!A480</f>
        <v/>
      </c>
      <c r="B480" s="11">
        <f>Raw_Data!B480</f>
        <v/>
      </c>
      <c r="C480">
        <f>Raw_Data!C480</f>
        <v/>
      </c>
      <c r="D480">
        <f>Raw_Data!D480</f>
        <v/>
      </c>
      <c r="E480">
        <f>Raw_Data!E480</f>
        <v/>
      </c>
      <c r="F480">
        <f>Raw_Data!F480</f>
        <v/>
      </c>
      <c r="G480">
        <f>Raw_Data!G480</f>
        <v/>
      </c>
      <c r="H480">
        <f>Raw_Data!H480</f>
        <v/>
      </c>
      <c r="I480">
        <f>Raw_Data!I480</f>
        <v/>
      </c>
      <c r="J480" s="12">
        <f>Raw_Data!J480</f>
        <v/>
      </c>
      <c r="K480" s="13">
        <f>Raw_Data!K480</f>
        <v/>
      </c>
      <c r="L480" s="12">
        <f>Raw_Data!L480</f>
        <v/>
      </c>
      <c r="M480" s="12">
        <f>Raw_Data!M480</f>
        <v/>
      </c>
      <c r="N480" s="12">
        <f>Raw_Data!N480</f>
        <v/>
      </c>
      <c r="O480">
        <f>Raw_Data!O480</f>
        <v/>
      </c>
      <c r="P480">
        <f>Raw_Data!P480</f>
        <v/>
      </c>
      <c r="Q480">
        <f>YEAR(B480)</f>
        <v/>
      </c>
      <c r="R480">
        <f>TEXT(B480,"mmm")</f>
        <v/>
      </c>
      <c r="S480" s="15">
        <f>IFERROR(N480/L480,0)</f>
        <v/>
      </c>
    </row>
    <row r="481">
      <c r="A481">
        <f>Raw_Data!A481</f>
        <v/>
      </c>
      <c r="B481" s="11">
        <f>Raw_Data!B481</f>
        <v/>
      </c>
      <c r="C481">
        <f>Raw_Data!C481</f>
        <v/>
      </c>
      <c r="D481">
        <f>Raw_Data!D481</f>
        <v/>
      </c>
      <c r="E481">
        <f>Raw_Data!E481</f>
        <v/>
      </c>
      <c r="F481">
        <f>Raw_Data!F481</f>
        <v/>
      </c>
      <c r="G481">
        <f>Raw_Data!G481</f>
        <v/>
      </c>
      <c r="H481">
        <f>Raw_Data!H481</f>
        <v/>
      </c>
      <c r="I481">
        <f>Raw_Data!I481</f>
        <v/>
      </c>
      <c r="J481" s="12">
        <f>Raw_Data!J481</f>
        <v/>
      </c>
      <c r="K481" s="13">
        <f>Raw_Data!K481</f>
        <v/>
      </c>
      <c r="L481" s="12">
        <f>Raw_Data!L481</f>
        <v/>
      </c>
      <c r="M481" s="12">
        <f>Raw_Data!M481</f>
        <v/>
      </c>
      <c r="N481" s="12">
        <f>Raw_Data!N481</f>
        <v/>
      </c>
      <c r="O481">
        <f>Raw_Data!O481</f>
        <v/>
      </c>
      <c r="P481">
        <f>Raw_Data!P481</f>
        <v/>
      </c>
      <c r="Q481">
        <f>YEAR(B481)</f>
        <v/>
      </c>
      <c r="R481">
        <f>TEXT(B481,"mmm")</f>
        <v/>
      </c>
      <c r="S481" s="15">
        <f>IFERROR(N481/L481,0)</f>
        <v/>
      </c>
    </row>
    <row r="482">
      <c r="A482">
        <f>Raw_Data!A482</f>
        <v/>
      </c>
      <c r="B482" s="11">
        <f>Raw_Data!B482</f>
        <v/>
      </c>
      <c r="C482">
        <f>Raw_Data!C482</f>
        <v/>
      </c>
      <c r="D482">
        <f>Raw_Data!D482</f>
        <v/>
      </c>
      <c r="E482">
        <f>Raw_Data!E482</f>
        <v/>
      </c>
      <c r="F482">
        <f>Raw_Data!F482</f>
        <v/>
      </c>
      <c r="G482">
        <f>Raw_Data!G482</f>
        <v/>
      </c>
      <c r="H482">
        <f>Raw_Data!H482</f>
        <v/>
      </c>
      <c r="I482">
        <f>Raw_Data!I482</f>
        <v/>
      </c>
      <c r="J482" s="12">
        <f>Raw_Data!J482</f>
        <v/>
      </c>
      <c r="K482" s="13">
        <f>Raw_Data!K482</f>
        <v/>
      </c>
      <c r="L482" s="12">
        <f>Raw_Data!L482</f>
        <v/>
      </c>
      <c r="M482" s="12">
        <f>Raw_Data!M482</f>
        <v/>
      </c>
      <c r="N482" s="12">
        <f>Raw_Data!N482</f>
        <v/>
      </c>
      <c r="O482">
        <f>Raw_Data!O482</f>
        <v/>
      </c>
      <c r="P482">
        <f>Raw_Data!P482</f>
        <v/>
      </c>
      <c r="Q482">
        <f>YEAR(B482)</f>
        <v/>
      </c>
      <c r="R482">
        <f>TEXT(B482,"mmm")</f>
        <v/>
      </c>
      <c r="S482" s="15">
        <f>IFERROR(N482/L482,0)</f>
        <v/>
      </c>
    </row>
    <row r="483">
      <c r="A483">
        <f>Raw_Data!A483</f>
        <v/>
      </c>
      <c r="B483" s="11">
        <f>Raw_Data!B483</f>
        <v/>
      </c>
      <c r="C483">
        <f>Raw_Data!C483</f>
        <v/>
      </c>
      <c r="D483">
        <f>Raw_Data!D483</f>
        <v/>
      </c>
      <c r="E483">
        <f>Raw_Data!E483</f>
        <v/>
      </c>
      <c r="F483">
        <f>Raw_Data!F483</f>
        <v/>
      </c>
      <c r="G483">
        <f>Raw_Data!G483</f>
        <v/>
      </c>
      <c r="H483">
        <f>Raw_Data!H483</f>
        <v/>
      </c>
      <c r="I483">
        <f>Raw_Data!I483</f>
        <v/>
      </c>
      <c r="J483" s="12">
        <f>Raw_Data!J483</f>
        <v/>
      </c>
      <c r="K483" s="13">
        <f>Raw_Data!K483</f>
        <v/>
      </c>
      <c r="L483" s="12">
        <f>Raw_Data!L483</f>
        <v/>
      </c>
      <c r="M483" s="12">
        <f>Raw_Data!M483</f>
        <v/>
      </c>
      <c r="N483" s="12">
        <f>Raw_Data!N483</f>
        <v/>
      </c>
      <c r="O483">
        <f>Raw_Data!O483</f>
        <v/>
      </c>
      <c r="P483">
        <f>Raw_Data!P483</f>
        <v/>
      </c>
      <c r="Q483">
        <f>YEAR(B483)</f>
        <v/>
      </c>
      <c r="R483">
        <f>TEXT(B483,"mmm")</f>
        <v/>
      </c>
      <c r="S483" s="15">
        <f>IFERROR(N483/L483,0)</f>
        <v/>
      </c>
    </row>
    <row r="484">
      <c r="A484">
        <f>Raw_Data!A484</f>
        <v/>
      </c>
      <c r="B484" s="11">
        <f>Raw_Data!B484</f>
        <v/>
      </c>
      <c r="C484">
        <f>Raw_Data!C484</f>
        <v/>
      </c>
      <c r="D484">
        <f>Raw_Data!D484</f>
        <v/>
      </c>
      <c r="E484">
        <f>Raw_Data!E484</f>
        <v/>
      </c>
      <c r="F484">
        <f>Raw_Data!F484</f>
        <v/>
      </c>
      <c r="G484">
        <f>Raw_Data!G484</f>
        <v/>
      </c>
      <c r="H484">
        <f>Raw_Data!H484</f>
        <v/>
      </c>
      <c r="I484">
        <f>Raw_Data!I484</f>
        <v/>
      </c>
      <c r="J484" s="12">
        <f>Raw_Data!J484</f>
        <v/>
      </c>
      <c r="K484" s="13">
        <f>Raw_Data!K484</f>
        <v/>
      </c>
      <c r="L484" s="12">
        <f>Raw_Data!L484</f>
        <v/>
      </c>
      <c r="M484" s="12">
        <f>Raw_Data!M484</f>
        <v/>
      </c>
      <c r="N484" s="12">
        <f>Raw_Data!N484</f>
        <v/>
      </c>
      <c r="O484">
        <f>Raw_Data!O484</f>
        <v/>
      </c>
      <c r="P484">
        <f>Raw_Data!P484</f>
        <v/>
      </c>
      <c r="Q484">
        <f>YEAR(B484)</f>
        <v/>
      </c>
      <c r="R484">
        <f>TEXT(B484,"mmm")</f>
        <v/>
      </c>
      <c r="S484" s="15">
        <f>IFERROR(N484/L484,0)</f>
        <v/>
      </c>
    </row>
    <row r="485">
      <c r="A485">
        <f>Raw_Data!A485</f>
        <v/>
      </c>
      <c r="B485" s="11">
        <f>Raw_Data!B485</f>
        <v/>
      </c>
      <c r="C485">
        <f>Raw_Data!C485</f>
        <v/>
      </c>
      <c r="D485">
        <f>Raw_Data!D485</f>
        <v/>
      </c>
      <c r="E485">
        <f>Raw_Data!E485</f>
        <v/>
      </c>
      <c r="F485">
        <f>Raw_Data!F485</f>
        <v/>
      </c>
      <c r="G485">
        <f>Raw_Data!G485</f>
        <v/>
      </c>
      <c r="H485">
        <f>Raw_Data!H485</f>
        <v/>
      </c>
      <c r="I485">
        <f>Raw_Data!I485</f>
        <v/>
      </c>
      <c r="J485" s="12">
        <f>Raw_Data!J485</f>
        <v/>
      </c>
      <c r="K485" s="13">
        <f>Raw_Data!K485</f>
        <v/>
      </c>
      <c r="L485" s="12">
        <f>Raw_Data!L485</f>
        <v/>
      </c>
      <c r="M485" s="12">
        <f>Raw_Data!M485</f>
        <v/>
      </c>
      <c r="N485" s="12">
        <f>Raw_Data!N485</f>
        <v/>
      </c>
      <c r="O485">
        <f>Raw_Data!O485</f>
        <v/>
      </c>
      <c r="P485">
        <f>Raw_Data!P485</f>
        <v/>
      </c>
      <c r="Q485">
        <f>YEAR(B485)</f>
        <v/>
      </c>
      <c r="R485">
        <f>TEXT(B485,"mmm")</f>
        <v/>
      </c>
      <c r="S485" s="15">
        <f>IFERROR(N485/L485,0)</f>
        <v/>
      </c>
    </row>
    <row r="486">
      <c r="A486">
        <f>Raw_Data!A486</f>
        <v/>
      </c>
      <c r="B486" s="11">
        <f>Raw_Data!B486</f>
        <v/>
      </c>
      <c r="C486">
        <f>Raw_Data!C486</f>
        <v/>
      </c>
      <c r="D486">
        <f>Raw_Data!D486</f>
        <v/>
      </c>
      <c r="E486">
        <f>Raw_Data!E486</f>
        <v/>
      </c>
      <c r="F486">
        <f>Raw_Data!F486</f>
        <v/>
      </c>
      <c r="G486">
        <f>Raw_Data!G486</f>
        <v/>
      </c>
      <c r="H486">
        <f>Raw_Data!H486</f>
        <v/>
      </c>
      <c r="I486">
        <f>Raw_Data!I486</f>
        <v/>
      </c>
      <c r="J486" s="12">
        <f>Raw_Data!J486</f>
        <v/>
      </c>
      <c r="K486" s="13">
        <f>Raw_Data!K486</f>
        <v/>
      </c>
      <c r="L486" s="12">
        <f>Raw_Data!L486</f>
        <v/>
      </c>
      <c r="M486" s="12">
        <f>Raw_Data!M486</f>
        <v/>
      </c>
      <c r="N486" s="12">
        <f>Raw_Data!N486</f>
        <v/>
      </c>
      <c r="O486">
        <f>Raw_Data!O486</f>
        <v/>
      </c>
      <c r="P486">
        <f>Raw_Data!P486</f>
        <v/>
      </c>
      <c r="Q486">
        <f>YEAR(B486)</f>
        <v/>
      </c>
      <c r="R486">
        <f>TEXT(B486,"mmm")</f>
        <v/>
      </c>
      <c r="S486" s="15">
        <f>IFERROR(N486/L486,0)</f>
        <v/>
      </c>
    </row>
    <row r="487">
      <c r="A487">
        <f>Raw_Data!A487</f>
        <v/>
      </c>
      <c r="B487" s="11">
        <f>Raw_Data!B487</f>
        <v/>
      </c>
      <c r="C487">
        <f>Raw_Data!C487</f>
        <v/>
      </c>
      <c r="D487">
        <f>Raw_Data!D487</f>
        <v/>
      </c>
      <c r="E487">
        <f>Raw_Data!E487</f>
        <v/>
      </c>
      <c r="F487">
        <f>Raw_Data!F487</f>
        <v/>
      </c>
      <c r="G487">
        <f>Raw_Data!G487</f>
        <v/>
      </c>
      <c r="H487">
        <f>Raw_Data!H487</f>
        <v/>
      </c>
      <c r="I487">
        <f>Raw_Data!I487</f>
        <v/>
      </c>
      <c r="J487" s="12">
        <f>Raw_Data!J487</f>
        <v/>
      </c>
      <c r="K487" s="13">
        <f>Raw_Data!K487</f>
        <v/>
      </c>
      <c r="L487" s="12">
        <f>Raw_Data!L487</f>
        <v/>
      </c>
      <c r="M487" s="12">
        <f>Raw_Data!M487</f>
        <v/>
      </c>
      <c r="N487" s="12">
        <f>Raw_Data!N487</f>
        <v/>
      </c>
      <c r="O487">
        <f>Raw_Data!O487</f>
        <v/>
      </c>
      <c r="P487">
        <f>Raw_Data!P487</f>
        <v/>
      </c>
      <c r="Q487">
        <f>YEAR(B487)</f>
        <v/>
      </c>
      <c r="R487">
        <f>TEXT(B487,"mmm")</f>
        <v/>
      </c>
      <c r="S487" s="15">
        <f>IFERROR(N487/L487,0)</f>
        <v/>
      </c>
    </row>
    <row r="488">
      <c r="A488">
        <f>Raw_Data!A488</f>
        <v/>
      </c>
      <c r="B488" s="11">
        <f>Raw_Data!B488</f>
        <v/>
      </c>
      <c r="C488">
        <f>Raw_Data!C488</f>
        <v/>
      </c>
      <c r="D488">
        <f>Raw_Data!D488</f>
        <v/>
      </c>
      <c r="E488">
        <f>Raw_Data!E488</f>
        <v/>
      </c>
      <c r="F488">
        <f>Raw_Data!F488</f>
        <v/>
      </c>
      <c r="G488">
        <f>Raw_Data!G488</f>
        <v/>
      </c>
      <c r="H488">
        <f>Raw_Data!H488</f>
        <v/>
      </c>
      <c r="I488">
        <f>Raw_Data!I488</f>
        <v/>
      </c>
      <c r="J488" s="12">
        <f>Raw_Data!J488</f>
        <v/>
      </c>
      <c r="K488" s="13">
        <f>Raw_Data!K488</f>
        <v/>
      </c>
      <c r="L488" s="12">
        <f>Raw_Data!L488</f>
        <v/>
      </c>
      <c r="M488" s="12">
        <f>Raw_Data!M488</f>
        <v/>
      </c>
      <c r="N488" s="12">
        <f>Raw_Data!N488</f>
        <v/>
      </c>
      <c r="O488">
        <f>Raw_Data!O488</f>
        <v/>
      </c>
      <c r="P488">
        <f>Raw_Data!P488</f>
        <v/>
      </c>
      <c r="Q488">
        <f>YEAR(B488)</f>
        <v/>
      </c>
      <c r="R488">
        <f>TEXT(B488,"mmm")</f>
        <v/>
      </c>
      <c r="S488" s="15">
        <f>IFERROR(N488/L488,0)</f>
        <v/>
      </c>
    </row>
    <row r="489">
      <c r="A489">
        <f>Raw_Data!A489</f>
        <v/>
      </c>
      <c r="B489" s="11">
        <f>Raw_Data!B489</f>
        <v/>
      </c>
      <c r="C489">
        <f>Raw_Data!C489</f>
        <v/>
      </c>
      <c r="D489">
        <f>Raw_Data!D489</f>
        <v/>
      </c>
      <c r="E489">
        <f>Raw_Data!E489</f>
        <v/>
      </c>
      <c r="F489">
        <f>Raw_Data!F489</f>
        <v/>
      </c>
      <c r="G489">
        <f>Raw_Data!G489</f>
        <v/>
      </c>
      <c r="H489">
        <f>Raw_Data!H489</f>
        <v/>
      </c>
      <c r="I489">
        <f>Raw_Data!I489</f>
        <v/>
      </c>
      <c r="J489" s="12">
        <f>Raw_Data!J489</f>
        <v/>
      </c>
      <c r="K489" s="13">
        <f>Raw_Data!K489</f>
        <v/>
      </c>
      <c r="L489" s="12">
        <f>Raw_Data!L489</f>
        <v/>
      </c>
      <c r="M489" s="12">
        <f>Raw_Data!M489</f>
        <v/>
      </c>
      <c r="N489" s="12">
        <f>Raw_Data!N489</f>
        <v/>
      </c>
      <c r="O489">
        <f>Raw_Data!O489</f>
        <v/>
      </c>
      <c r="P489">
        <f>Raw_Data!P489</f>
        <v/>
      </c>
      <c r="Q489">
        <f>YEAR(B489)</f>
        <v/>
      </c>
      <c r="R489">
        <f>TEXT(B489,"mmm")</f>
        <v/>
      </c>
      <c r="S489" s="15">
        <f>IFERROR(N489/L489,0)</f>
        <v/>
      </c>
    </row>
    <row r="490">
      <c r="A490">
        <f>Raw_Data!A490</f>
        <v/>
      </c>
      <c r="B490" s="11">
        <f>Raw_Data!B490</f>
        <v/>
      </c>
      <c r="C490">
        <f>Raw_Data!C490</f>
        <v/>
      </c>
      <c r="D490">
        <f>Raw_Data!D490</f>
        <v/>
      </c>
      <c r="E490">
        <f>Raw_Data!E490</f>
        <v/>
      </c>
      <c r="F490">
        <f>Raw_Data!F490</f>
        <v/>
      </c>
      <c r="G490">
        <f>Raw_Data!G490</f>
        <v/>
      </c>
      <c r="H490">
        <f>Raw_Data!H490</f>
        <v/>
      </c>
      <c r="I490">
        <f>Raw_Data!I490</f>
        <v/>
      </c>
      <c r="J490" s="12">
        <f>Raw_Data!J490</f>
        <v/>
      </c>
      <c r="K490" s="13">
        <f>Raw_Data!K490</f>
        <v/>
      </c>
      <c r="L490" s="12">
        <f>Raw_Data!L490</f>
        <v/>
      </c>
      <c r="M490" s="12">
        <f>Raw_Data!M490</f>
        <v/>
      </c>
      <c r="N490" s="12">
        <f>Raw_Data!N490</f>
        <v/>
      </c>
      <c r="O490">
        <f>Raw_Data!O490</f>
        <v/>
      </c>
      <c r="P490">
        <f>Raw_Data!P490</f>
        <v/>
      </c>
      <c r="Q490">
        <f>YEAR(B490)</f>
        <v/>
      </c>
      <c r="R490">
        <f>TEXT(B490,"mmm")</f>
        <v/>
      </c>
      <c r="S490" s="15">
        <f>IFERROR(N490/L490,0)</f>
        <v/>
      </c>
    </row>
    <row r="491">
      <c r="A491">
        <f>Raw_Data!A491</f>
        <v/>
      </c>
      <c r="B491" s="11">
        <f>Raw_Data!B491</f>
        <v/>
      </c>
      <c r="C491">
        <f>Raw_Data!C491</f>
        <v/>
      </c>
      <c r="D491">
        <f>Raw_Data!D491</f>
        <v/>
      </c>
      <c r="E491">
        <f>Raw_Data!E491</f>
        <v/>
      </c>
      <c r="F491">
        <f>Raw_Data!F491</f>
        <v/>
      </c>
      <c r="G491">
        <f>Raw_Data!G491</f>
        <v/>
      </c>
      <c r="H491">
        <f>Raw_Data!H491</f>
        <v/>
      </c>
      <c r="I491">
        <f>Raw_Data!I491</f>
        <v/>
      </c>
      <c r="J491" s="12">
        <f>Raw_Data!J491</f>
        <v/>
      </c>
      <c r="K491" s="13">
        <f>Raw_Data!K491</f>
        <v/>
      </c>
      <c r="L491" s="12">
        <f>Raw_Data!L491</f>
        <v/>
      </c>
      <c r="M491" s="12">
        <f>Raw_Data!M491</f>
        <v/>
      </c>
      <c r="N491" s="12">
        <f>Raw_Data!N491</f>
        <v/>
      </c>
      <c r="O491">
        <f>Raw_Data!O491</f>
        <v/>
      </c>
      <c r="P491">
        <f>Raw_Data!P491</f>
        <v/>
      </c>
      <c r="Q491">
        <f>YEAR(B491)</f>
        <v/>
      </c>
      <c r="R491">
        <f>TEXT(B491,"mmm")</f>
        <v/>
      </c>
      <c r="S491" s="15">
        <f>IFERROR(N491/L491,0)</f>
        <v/>
      </c>
    </row>
    <row r="492">
      <c r="A492">
        <f>Raw_Data!A492</f>
        <v/>
      </c>
      <c r="B492" s="11">
        <f>Raw_Data!B492</f>
        <v/>
      </c>
      <c r="C492">
        <f>Raw_Data!C492</f>
        <v/>
      </c>
      <c r="D492">
        <f>Raw_Data!D492</f>
        <v/>
      </c>
      <c r="E492">
        <f>Raw_Data!E492</f>
        <v/>
      </c>
      <c r="F492">
        <f>Raw_Data!F492</f>
        <v/>
      </c>
      <c r="G492">
        <f>Raw_Data!G492</f>
        <v/>
      </c>
      <c r="H492">
        <f>Raw_Data!H492</f>
        <v/>
      </c>
      <c r="I492">
        <f>Raw_Data!I492</f>
        <v/>
      </c>
      <c r="J492" s="12">
        <f>Raw_Data!J492</f>
        <v/>
      </c>
      <c r="K492" s="13">
        <f>Raw_Data!K492</f>
        <v/>
      </c>
      <c r="L492" s="12">
        <f>Raw_Data!L492</f>
        <v/>
      </c>
      <c r="M492" s="12">
        <f>Raw_Data!M492</f>
        <v/>
      </c>
      <c r="N492" s="12">
        <f>Raw_Data!N492</f>
        <v/>
      </c>
      <c r="O492">
        <f>Raw_Data!O492</f>
        <v/>
      </c>
      <c r="P492">
        <f>Raw_Data!P492</f>
        <v/>
      </c>
      <c r="Q492">
        <f>YEAR(B492)</f>
        <v/>
      </c>
      <c r="R492">
        <f>TEXT(B492,"mmm")</f>
        <v/>
      </c>
      <c r="S492" s="15">
        <f>IFERROR(N492/L492,0)</f>
        <v/>
      </c>
    </row>
    <row r="493">
      <c r="A493">
        <f>Raw_Data!A493</f>
        <v/>
      </c>
      <c r="B493" s="11">
        <f>Raw_Data!B493</f>
        <v/>
      </c>
      <c r="C493">
        <f>Raw_Data!C493</f>
        <v/>
      </c>
      <c r="D493">
        <f>Raw_Data!D493</f>
        <v/>
      </c>
      <c r="E493">
        <f>Raw_Data!E493</f>
        <v/>
      </c>
      <c r="F493">
        <f>Raw_Data!F493</f>
        <v/>
      </c>
      <c r="G493">
        <f>Raw_Data!G493</f>
        <v/>
      </c>
      <c r="H493">
        <f>Raw_Data!H493</f>
        <v/>
      </c>
      <c r="I493">
        <f>Raw_Data!I493</f>
        <v/>
      </c>
      <c r="J493" s="12">
        <f>Raw_Data!J493</f>
        <v/>
      </c>
      <c r="K493" s="13">
        <f>Raw_Data!K493</f>
        <v/>
      </c>
      <c r="L493" s="12">
        <f>Raw_Data!L493</f>
        <v/>
      </c>
      <c r="M493" s="12">
        <f>Raw_Data!M493</f>
        <v/>
      </c>
      <c r="N493" s="12">
        <f>Raw_Data!N493</f>
        <v/>
      </c>
      <c r="O493">
        <f>Raw_Data!O493</f>
        <v/>
      </c>
      <c r="P493">
        <f>Raw_Data!P493</f>
        <v/>
      </c>
      <c r="Q493">
        <f>YEAR(B493)</f>
        <v/>
      </c>
      <c r="R493">
        <f>TEXT(B493,"mmm")</f>
        <v/>
      </c>
      <c r="S493" s="15">
        <f>IFERROR(N493/L493,0)</f>
        <v/>
      </c>
    </row>
    <row r="494">
      <c r="A494">
        <f>Raw_Data!A494</f>
        <v/>
      </c>
      <c r="B494" s="11">
        <f>Raw_Data!B494</f>
        <v/>
      </c>
      <c r="C494">
        <f>Raw_Data!C494</f>
        <v/>
      </c>
      <c r="D494">
        <f>Raw_Data!D494</f>
        <v/>
      </c>
      <c r="E494">
        <f>Raw_Data!E494</f>
        <v/>
      </c>
      <c r="F494">
        <f>Raw_Data!F494</f>
        <v/>
      </c>
      <c r="G494">
        <f>Raw_Data!G494</f>
        <v/>
      </c>
      <c r="H494">
        <f>Raw_Data!H494</f>
        <v/>
      </c>
      <c r="I494">
        <f>Raw_Data!I494</f>
        <v/>
      </c>
      <c r="J494" s="12">
        <f>Raw_Data!J494</f>
        <v/>
      </c>
      <c r="K494" s="13">
        <f>Raw_Data!K494</f>
        <v/>
      </c>
      <c r="L494" s="12">
        <f>Raw_Data!L494</f>
        <v/>
      </c>
      <c r="M494" s="12">
        <f>Raw_Data!M494</f>
        <v/>
      </c>
      <c r="N494" s="12">
        <f>Raw_Data!N494</f>
        <v/>
      </c>
      <c r="O494">
        <f>Raw_Data!O494</f>
        <v/>
      </c>
      <c r="P494">
        <f>Raw_Data!P494</f>
        <v/>
      </c>
      <c r="Q494">
        <f>YEAR(B494)</f>
        <v/>
      </c>
      <c r="R494">
        <f>TEXT(B494,"mmm")</f>
        <v/>
      </c>
      <c r="S494" s="15">
        <f>IFERROR(N494/L494,0)</f>
        <v/>
      </c>
    </row>
    <row r="495">
      <c r="A495">
        <f>Raw_Data!A495</f>
        <v/>
      </c>
      <c r="B495" s="11">
        <f>Raw_Data!B495</f>
        <v/>
      </c>
      <c r="C495">
        <f>Raw_Data!C495</f>
        <v/>
      </c>
      <c r="D495">
        <f>Raw_Data!D495</f>
        <v/>
      </c>
      <c r="E495">
        <f>Raw_Data!E495</f>
        <v/>
      </c>
      <c r="F495">
        <f>Raw_Data!F495</f>
        <v/>
      </c>
      <c r="G495">
        <f>Raw_Data!G495</f>
        <v/>
      </c>
      <c r="H495">
        <f>Raw_Data!H495</f>
        <v/>
      </c>
      <c r="I495">
        <f>Raw_Data!I495</f>
        <v/>
      </c>
      <c r="J495" s="12">
        <f>Raw_Data!J495</f>
        <v/>
      </c>
      <c r="K495" s="13">
        <f>Raw_Data!K495</f>
        <v/>
      </c>
      <c r="L495" s="12">
        <f>Raw_Data!L495</f>
        <v/>
      </c>
      <c r="M495" s="12">
        <f>Raw_Data!M495</f>
        <v/>
      </c>
      <c r="N495" s="12">
        <f>Raw_Data!N495</f>
        <v/>
      </c>
      <c r="O495">
        <f>Raw_Data!O495</f>
        <v/>
      </c>
      <c r="P495">
        <f>Raw_Data!P495</f>
        <v/>
      </c>
      <c r="Q495">
        <f>YEAR(B495)</f>
        <v/>
      </c>
      <c r="R495">
        <f>TEXT(B495,"mmm")</f>
        <v/>
      </c>
      <c r="S495" s="15">
        <f>IFERROR(N495/L495,0)</f>
        <v/>
      </c>
    </row>
    <row r="496">
      <c r="A496">
        <f>Raw_Data!A496</f>
        <v/>
      </c>
      <c r="B496" s="11">
        <f>Raw_Data!B496</f>
        <v/>
      </c>
      <c r="C496">
        <f>Raw_Data!C496</f>
        <v/>
      </c>
      <c r="D496">
        <f>Raw_Data!D496</f>
        <v/>
      </c>
      <c r="E496">
        <f>Raw_Data!E496</f>
        <v/>
      </c>
      <c r="F496">
        <f>Raw_Data!F496</f>
        <v/>
      </c>
      <c r="G496">
        <f>Raw_Data!G496</f>
        <v/>
      </c>
      <c r="H496">
        <f>Raw_Data!H496</f>
        <v/>
      </c>
      <c r="I496">
        <f>Raw_Data!I496</f>
        <v/>
      </c>
      <c r="J496" s="12">
        <f>Raw_Data!J496</f>
        <v/>
      </c>
      <c r="K496" s="13">
        <f>Raw_Data!K496</f>
        <v/>
      </c>
      <c r="L496" s="12">
        <f>Raw_Data!L496</f>
        <v/>
      </c>
      <c r="M496" s="12">
        <f>Raw_Data!M496</f>
        <v/>
      </c>
      <c r="N496" s="12">
        <f>Raw_Data!N496</f>
        <v/>
      </c>
      <c r="O496">
        <f>Raw_Data!O496</f>
        <v/>
      </c>
      <c r="P496">
        <f>Raw_Data!P496</f>
        <v/>
      </c>
      <c r="Q496">
        <f>YEAR(B496)</f>
        <v/>
      </c>
      <c r="R496">
        <f>TEXT(B496,"mmm")</f>
        <v/>
      </c>
      <c r="S496" s="15">
        <f>IFERROR(N496/L496,0)</f>
        <v/>
      </c>
    </row>
    <row r="497">
      <c r="A497">
        <f>Raw_Data!A497</f>
        <v/>
      </c>
      <c r="B497" s="11">
        <f>Raw_Data!B497</f>
        <v/>
      </c>
      <c r="C497">
        <f>Raw_Data!C497</f>
        <v/>
      </c>
      <c r="D497">
        <f>Raw_Data!D497</f>
        <v/>
      </c>
      <c r="E497">
        <f>Raw_Data!E497</f>
        <v/>
      </c>
      <c r="F497">
        <f>Raw_Data!F497</f>
        <v/>
      </c>
      <c r="G497">
        <f>Raw_Data!G497</f>
        <v/>
      </c>
      <c r="H497">
        <f>Raw_Data!H497</f>
        <v/>
      </c>
      <c r="I497">
        <f>Raw_Data!I497</f>
        <v/>
      </c>
      <c r="J497" s="12">
        <f>Raw_Data!J497</f>
        <v/>
      </c>
      <c r="K497" s="13">
        <f>Raw_Data!K497</f>
        <v/>
      </c>
      <c r="L497" s="12">
        <f>Raw_Data!L497</f>
        <v/>
      </c>
      <c r="M497" s="12">
        <f>Raw_Data!M497</f>
        <v/>
      </c>
      <c r="N497" s="12">
        <f>Raw_Data!N497</f>
        <v/>
      </c>
      <c r="O497">
        <f>Raw_Data!O497</f>
        <v/>
      </c>
      <c r="P497">
        <f>Raw_Data!P497</f>
        <v/>
      </c>
      <c r="Q497">
        <f>YEAR(B497)</f>
        <v/>
      </c>
      <c r="R497">
        <f>TEXT(B497,"mmm")</f>
        <v/>
      </c>
      <c r="S497" s="15">
        <f>IFERROR(N497/L497,0)</f>
        <v/>
      </c>
    </row>
    <row r="498">
      <c r="A498">
        <f>Raw_Data!A498</f>
        <v/>
      </c>
      <c r="B498" s="11">
        <f>Raw_Data!B498</f>
        <v/>
      </c>
      <c r="C498">
        <f>Raw_Data!C498</f>
        <v/>
      </c>
      <c r="D498">
        <f>Raw_Data!D498</f>
        <v/>
      </c>
      <c r="E498">
        <f>Raw_Data!E498</f>
        <v/>
      </c>
      <c r="F498">
        <f>Raw_Data!F498</f>
        <v/>
      </c>
      <c r="G498">
        <f>Raw_Data!G498</f>
        <v/>
      </c>
      <c r="H498">
        <f>Raw_Data!H498</f>
        <v/>
      </c>
      <c r="I498">
        <f>Raw_Data!I498</f>
        <v/>
      </c>
      <c r="J498" s="12">
        <f>Raw_Data!J498</f>
        <v/>
      </c>
      <c r="K498" s="13">
        <f>Raw_Data!K498</f>
        <v/>
      </c>
      <c r="L498" s="12">
        <f>Raw_Data!L498</f>
        <v/>
      </c>
      <c r="M498" s="12">
        <f>Raw_Data!M498</f>
        <v/>
      </c>
      <c r="N498" s="12">
        <f>Raw_Data!N498</f>
        <v/>
      </c>
      <c r="O498">
        <f>Raw_Data!O498</f>
        <v/>
      </c>
      <c r="P498">
        <f>Raw_Data!P498</f>
        <v/>
      </c>
      <c r="Q498">
        <f>YEAR(B498)</f>
        <v/>
      </c>
      <c r="R498">
        <f>TEXT(B498,"mmm")</f>
        <v/>
      </c>
      <c r="S498" s="15">
        <f>IFERROR(N498/L498,0)</f>
        <v/>
      </c>
    </row>
    <row r="499">
      <c r="A499">
        <f>Raw_Data!A499</f>
        <v/>
      </c>
      <c r="B499" s="11">
        <f>Raw_Data!B499</f>
        <v/>
      </c>
      <c r="C499">
        <f>Raw_Data!C499</f>
        <v/>
      </c>
      <c r="D499">
        <f>Raw_Data!D499</f>
        <v/>
      </c>
      <c r="E499">
        <f>Raw_Data!E499</f>
        <v/>
      </c>
      <c r="F499">
        <f>Raw_Data!F499</f>
        <v/>
      </c>
      <c r="G499">
        <f>Raw_Data!G499</f>
        <v/>
      </c>
      <c r="H499">
        <f>Raw_Data!H499</f>
        <v/>
      </c>
      <c r="I499">
        <f>Raw_Data!I499</f>
        <v/>
      </c>
      <c r="J499" s="12">
        <f>Raw_Data!J499</f>
        <v/>
      </c>
      <c r="K499" s="13">
        <f>Raw_Data!K499</f>
        <v/>
      </c>
      <c r="L499" s="12">
        <f>Raw_Data!L499</f>
        <v/>
      </c>
      <c r="M499" s="12">
        <f>Raw_Data!M499</f>
        <v/>
      </c>
      <c r="N499" s="12">
        <f>Raw_Data!N499</f>
        <v/>
      </c>
      <c r="O499">
        <f>Raw_Data!O499</f>
        <v/>
      </c>
      <c r="P499">
        <f>Raw_Data!P499</f>
        <v/>
      </c>
      <c r="Q499">
        <f>YEAR(B499)</f>
        <v/>
      </c>
      <c r="R499">
        <f>TEXT(B499,"mmm")</f>
        <v/>
      </c>
      <c r="S499" s="15">
        <f>IFERROR(N499/L499,0)</f>
        <v/>
      </c>
    </row>
    <row r="500">
      <c r="A500">
        <f>Raw_Data!A500</f>
        <v/>
      </c>
      <c r="B500" s="11">
        <f>Raw_Data!B500</f>
        <v/>
      </c>
      <c r="C500">
        <f>Raw_Data!C500</f>
        <v/>
      </c>
      <c r="D500">
        <f>Raw_Data!D500</f>
        <v/>
      </c>
      <c r="E500">
        <f>Raw_Data!E500</f>
        <v/>
      </c>
      <c r="F500">
        <f>Raw_Data!F500</f>
        <v/>
      </c>
      <c r="G500">
        <f>Raw_Data!G500</f>
        <v/>
      </c>
      <c r="H500">
        <f>Raw_Data!H500</f>
        <v/>
      </c>
      <c r="I500">
        <f>Raw_Data!I500</f>
        <v/>
      </c>
      <c r="J500" s="12">
        <f>Raw_Data!J500</f>
        <v/>
      </c>
      <c r="K500" s="13">
        <f>Raw_Data!K500</f>
        <v/>
      </c>
      <c r="L500" s="12">
        <f>Raw_Data!L500</f>
        <v/>
      </c>
      <c r="M500" s="12">
        <f>Raw_Data!M500</f>
        <v/>
      </c>
      <c r="N500" s="12">
        <f>Raw_Data!N500</f>
        <v/>
      </c>
      <c r="O500">
        <f>Raw_Data!O500</f>
        <v/>
      </c>
      <c r="P500">
        <f>Raw_Data!P500</f>
        <v/>
      </c>
      <c r="Q500">
        <f>YEAR(B500)</f>
        <v/>
      </c>
      <c r="R500">
        <f>TEXT(B500,"mmm")</f>
        <v/>
      </c>
      <c r="S500" s="15">
        <f>IFERROR(N500/L500,0)</f>
        <v/>
      </c>
    </row>
    <row r="501">
      <c r="A501">
        <f>Raw_Data!A501</f>
        <v/>
      </c>
      <c r="B501" s="11">
        <f>Raw_Data!B501</f>
        <v/>
      </c>
      <c r="C501">
        <f>Raw_Data!C501</f>
        <v/>
      </c>
      <c r="D501">
        <f>Raw_Data!D501</f>
        <v/>
      </c>
      <c r="E501">
        <f>Raw_Data!E501</f>
        <v/>
      </c>
      <c r="F501">
        <f>Raw_Data!F501</f>
        <v/>
      </c>
      <c r="G501">
        <f>Raw_Data!G501</f>
        <v/>
      </c>
      <c r="H501">
        <f>Raw_Data!H501</f>
        <v/>
      </c>
      <c r="I501">
        <f>Raw_Data!I501</f>
        <v/>
      </c>
      <c r="J501" s="12">
        <f>Raw_Data!J501</f>
        <v/>
      </c>
      <c r="K501" s="13">
        <f>Raw_Data!K501</f>
        <v/>
      </c>
      <c r="L501" s="12">
        <f>Raw_Data!L501</f>
        <v/>
      </c>
      <c r="M501" s="12">
        <f>Raw_Data!M501</f>
        <v/>
      </c>
      <c r="N501" s="12">
        <f>Raw_Data!N501</f>
        <v/>
      </c>
      <c r="O501">
        <f>Raw_Data!O501</f>
        <v/>
      </c>
      <c r="P501">
        <f>Raw_Data!P501</f>
        <v/>
      </c>
      <c r="Q501">
        <f>YEAR(B501)</f>
        <v/>
      </c>
      <c r="R501">
        <f>TEXT(B501,"mmm")</f>
        <v/>
      </c>
      <c r="S501" s="15">
        <f>IFERROR(N501/L501,0)</f>
        <v/>
      </c>
    </row>
    <row r="502">
      <c r="A502">
        <f>Raw_Data!A502</f>
        <v/>
      </c>
      <c r="B502" s="11">
        <f>Raw_Data!B502</f>
        <v/>
      </c>
      <c r="C502">
        <f>Raw_Data!C502</f>
        <v/>
      </c>
      <c r="D502">
        <f>Raw_Data!D502</f>
        <v/>
      </c>
      <c r="E502">
        <f>Raw_Data!E502</f>
        <v/>
      </c>
      <c r="F502">
        <f>Raw_Data!F502</f>
        <v/>
      </c>
      <c r="G502">
        <f>Raw_Data!G502</f>
        <v/>
      </c>
      <c r="H502">
        <f>Raw_Data!H502</f>
        <v/>
      </c>
      <c r="I502">
        <f>Raw_Data!I502</f>
        <v/>
      </c>
      <c r="J502" s="12">
        <f>Raw_Data!J502</f>
        <v/>
      </c>
      <c r="K502" s="13">
        <f>Raw_Data!K502</f>
        <v/>
      </c>
      <c r="L502" s="12">
        <f>Raw_Data!L502</f>
        <v/>
      </c>
      <c r="M502" s="12">
        <f>Raw_Data!M502</f>
        <v/>
      </c>
      <c r="N502" s="12">
        <f>Raw_Data!N502</f>
        <v/>
      </c>
      <c r="O502">
        <f>Raw_Data!O502</f>
        <v/>
      </c>
      <c r="P502">
        <f>Raw_Data!P502</f>
        <v/>
      </c>
      <c r="Q502">
        <f>YEAR(B502)</f>
        <v/>
      </c>
      <c r="R502">
        <f>TEXT(B502,"mmm")</f>
        <v/>
      </c>
      <c r="S502" s="15">
        <f>IFERROR(N502/L502,0)</f>
        <v/>
      </c>
    </row>
    <row r="503">
      <c r="A503">
        <f>Raw_Data!A503</f>
        <v/>
      </c>
      <c r="B503" s="11">
        <f>Raw_Data!B503</f>
        <v/>
      </c>
      <c r="C503">
        <f>Raw_Data!C503</f>
        <v/>
      </c>
      <c r="D503">
        <f>Raw_Data!D503</f>
        <v/>
      </c>
      <c r="E503">
        <f>Raw_Data!E503</f>
        <v/>
      </c>
      <c r="F503">
        <f>Raw_Data!F503</f>
        <v/>
      </c>
      <c r="G503">
        <f>Raw_Data!G503</f>
        <v/>
      </c>
      <c r="H503">
        <f>Raw_Data!H503</f>
        <v/>
      </c>
      <c r="I503">
        <f>Raw_Data!I503</f>
        <v/>
      </c>
      <c r="J503" s="12">
        <f>Raw_Data!J503</f>
        <v/>
      </c>
      <c r="K503" s="13">
        <f>Raw_Data!K503</f>
        <v/>
      </c>
      <c r="L503" s="12">
        <f>Raw_Data!L503</f>
        <v/>
      </c>
      <c r="M503" s="12">
        <f>Raw_Data!M503</f>
        <v/>
      </c>
      <c r="N503" s="12">
        <f>Raw_Data!N503</f>
        <v/>
      </c>
      <c r="O503">
        <f>Raw_Data!O503</f>
        <v/>
      </c>
      <c r="P503">
        <f>Raw_Data!P503</f>
        <v/>
      </c>
      <c r="Q503">
        <f>YEAR(B503)</f>
        <v/>
      </c>
      <c r="R503">
        <f>TEXT(B503,"mmm")</f>
        <v/>
      </c>
      <c r="S503" s="15">
        <f>IFERROR(N503/L503,0)</f>
        <v/>
      </c>
    </row>
    <row r="504">
      <c r="A504">
        <f>Raw_Data!A504</f>
        <v/>
      </c>
      <c r="B504" s="11">
        <f>Raw_Data!B504</f>
        <v/>
      </c>
      <c r="C504">
        <f>Raw_Data!C504</f>
        <v/>
      </c>
      <c r="D504">
        <f>Raw_Data!D504</f>
        <v/>
      </c>
      <c r="E504">
        <f>Raw_Data!E504</f>
        <v/>
      </c>
      <c r="F504">
        <f>Raw_Data!F504</f>
        <v/>
      </c>
      <c r="G504">
        <f>Raw_Data!G504</f>
        <v/>
      </c>
      <c r="H504">
        <f>Raw_Data!H504</f>
        <v/>
      </c>
      <c r="I504">
        <f>Raw_Data!I504</f>
        <v/>
      </c>
      <c r="J504" s="12">
        <f>Raw_Data!J504</f>
        <v/>
      </c>
      <c r="K504" s="13">
        <f>Raw_Data!K504</f>
        <v/>
      </c>
      <c r="L504" s="12">
        <f>Raw_Data!L504</f>
        <v/>
      </c>
      <c r="M504" s="12">
        <f>Raw_Data!M504</f>
        <v/>
      </c>
      <c r="N504" s="12">
        <f>Raw_Data!N504</f>
        <v/>
      </c>
      <c r="O504">
        <f>Raw_Data!O504</f>
        <v/>
      </c>
      <c r="P504">
        <f>Raw_Data!P504</f>
        <v/>
      </c>
      <c r="Q504">
        <f>YEAR(B504)</f>
        <v/>
      </c>
      <c r="R504">
        <f>TEXT(B504,"mmm")</f>
        <v/>
      </c>
      <c r="S504" s="15">
        <f>IFERROR(N504/L504,0)</f>
        <v/>
      </c>
    </row>
    <row r="505">
      <c r="A505">
        <f>Raw_Data!A505</f>
        <v/>
      </c>
      <c r="B505" s="11">
        <f>Raw_Data!B505</f>
        <v/>
      </c>
      <c r="C505">
        <f>Raw_Data!C505</f>
        <v/>
      </c>
      <c r="D505">
        <f>Raw_Data!D505</f>
        <v/>
      </c>
      <c r="E505">
        <f>Raw_Data!E505</f>
        <v/>
      </c>
      <c r="F505">
        <f>Raw_Data!F505</f>
        <v/>
      </c>
      <c r="G505">
        <f>Raw_Data!G505</f>
        <v/>
      </c>
      <c r="H505">
        <f>Raw_Data!H505</f>
        <v/>
      </c>
      <c r="I505">
        <f>Raw_Data!I505</f>
        <v/>
      </c>
      <c r="J505" s="12">
        <f>Raw_Data!J505</f>
        <v/>
      </c>
      <c r="K505" s="13">
        <f>Raw_Data!K505</f>
        <v/>
      </c>
      <c r="L505" s="12">
        <f>Raw_Data!L505</f>
        <v/>
      </c>
      <c r="M505" s="12">
        <f>Raw_Data!M505</f>
        <v/>
      </c>
      <c r="N505" s="12">
        <f>Raw_Data!N505</f>
        <v/>
      </c>
      <c r="O505">
        <f>Raw_Data!O505</f>
        <v/>
      </c>
      <c r="P505">
        <f>Raw_Data!P505</f>
        <v/>
      </c>
      <c r="Q505">
        <f>YEAR(B505)</f>
        <v/>
      </c>
      <c r="R505">
        <f>TEXT(B505,"mmm")</f>
        <v/>
      </c>
      <c r="S505" s="15">
        <f>IFERROR(N505/L505,0)</f>
        <v/>
      </c>
    </row>
    <row r="506">
      <c r="A506">
        <f>Raw_Data!A506</f>
        <v/>
      </c>
      <c r="B506" s="11">
        <f>Raw_Data!B506</f>
        <v/>
      </c>
      <c r="C506">
        <f>Raw_Data!C506</f>
        <v/>
      </c>
      <c r="D506">
        <f>Raw_Data!D506</f>
        <v/>
      </c>
      <c r="E506">
        <f>Raw_Data!E506</f>
        <v/>
      </c>
      <c r="F506">
        <f>Raw_Data!F506</f>
        <v/>
      </c>
      <c r="G506">
        <f>Raw_Data!G506</f>
        <v/>
      </c>
      <c r="H506">
        <f>Raw_Data!H506</f>
        <v/>
      </c>
      <c r="I506">
        <f>Raw_Data!I506</f>
        <v/>
      </c>
      <c r="J506" s="12">
        <f>Raw_Data!J506</f>
        <v/>
      </c>
      <c r="K506" s="13">
        <f>Raw_Data!K506</f>
        <v/>
      </c>
      <c r="L506" s="12">
        <f>Raw_Data!L506</f>
        <v/>
      </c>
      <c r="M506" s="12">
        <f>Raw_Data!M506</f>
        <v/>
      </c>
      <c r="N506" s="12">
        <f>Raw_Data!N506</f>
        <v/>
      </c>
      <c r="O506">
        <f>Raw_Data!O506</f>
        <v/>
      </c>
      <c r="P506">
        <f>Raw_Data!P506</f>
        <v/>
      </c>
      <c r="Q506">
        <f>YEAR(B506)</f>
        <v/>
      </c>
      <c r="R506">
        <f>TEXT(B506,"mmm")</f>
        <v/>
      </c>
      <c r="S506" s="15">
        <f>IFERROR(N506/L506,0)</f>
        <v/>
      </c>
    </row>
    <row r="507">
      <c r="A507">
        <f>Raw_Data!A507</f>
        <v/>
      </c>
      <c r="B507" s="11">
        <f>Raw_Data!B507</f>
        <v/>
      </c>
      <c r="C507">
        <f>Raw_Data!C507</f>
        <v/>
      </c>
      <c r="D507">
        <f>Raw_Data!D507</f>
        <v/>
      </c>
      <c r="E507">
        <f>Raw_Data!E507</f>
        <v/>
      </c>
      <c r="F507">
        <f>Raw_Data!F507</f>
        <v/>
      </c>
      <c r="G507">
        <f>Raw_Data!G507</f>
        <v/>
      </c>
      <c r="H507">
        <f>Raw_Data!H507</f>
        <v/>
      </c>
      <c r="I507">
        <f>Raw_Data!I507</f>
        <v/>
      </c>
      <c r="J507" s="12">
        <f>Raw_Data!J507</f>
        <v/>
      </c>
      <c r="K507" s="13">
        <f>Raw_Data!K507</f>
        <v/>
      </c>
      <c r="L507" s="12">
        <f>Raw_Data!L507</f>
        <v/>
      </c>
      <c r="M507" s="12">
        <f>Raw_Data!M507</f>
        <v/>
      </c>
      <c r="N507" s="12">
        <f>Raw_Data!N507</f>
        <v/>
      </c>
      <c r="O507">
        <f>Raw_Data!O507</f>
        <v/>
      </c>
      <c r="P507">
        <f>Raw_Data!P507</f>
        <v/>
      </c>
      <c r="Q507">
        <f>YEAR(B507)</f>
        <v/>
      </c>
      <c r="R507">
        <f>TEXT(B507,"mmm")</f>
        <v/>
      </c>
      <c r="S507" s="15">
        <f>IFERROR(N507/L507,0)</f>
        <v/>
      </c>
    </row>
    <row r="508">
      <c r="A508">
        <f>Raw_Data!A508</f>
        <v/>
      </c>
      <c r="B508" s="11">
        <f>Raw_Data!B508</f>
        <v/>
      </c>
      <c r="C508">
        <f>Raw_Data!C508</f>
        <v/>
      </c>
      <c r="D508">
        <f>Raw_Data!D508</f>
        <v/>
      </c>
      <c r="E508">
        <f>Raw_Data!E508</f>
        <v/>
      </c>
      <c r="F508">
        <f>Raw_Data!F508</f>
        <v/>
      </c>
      <c r="G508">
        <f>Raw_Data!G508</f>
        <v/>
      </c>
      <c r="H508">
        <f>Raw_Data!H508</f>
        <v/>
      </c>
      <c r="I508">
        <f>Raw_Data!I508</f>
        <v/>
      </c>
      <c r="J508" s="12">
        <f>Raw_Data!J508</f>
        <v/>
      </c>
      <c r="K508" s="13">
        <f>Raw_Data!K508</f>
        <v/>
      </c>
      <c r="L508" s="12">
        <f>Raw_Data!L508</f>
        <v/>
      </c>
      <c r="M508" s="12">
        <f>Raw_Data!M508</f>
        <v/>
      </c>
      <c r="N508" s="12">
        <f>Raw_Data!N508</f>
        <v/>
      </c>
      <c r="O508">
        <f>Raw_Data!O508</f>
        <v/>
      </c>
      <c r="P508">
        <f>Raw_Data!P508</f>
        <v/>
      </c>
      <c r="Q508">
        <f>YEAR(B508)</f>
        <v/>
      </c>
      <c r="R508">
        <f>TEXT(B508,"mmm")</f>
        <v/>
      </c>
      <c r="S508" s="15">
        <f>IFERROR(N508/L508,0)</f>
        <v/>
      </c>
    </row>
    <row r="509">
      <c r="A509">
        <f>Raw_Data!A509</f>
        <v/>
      </c>
      <c r="B509" s="11">
        <f>Raw_Data!B509</f>
        <v/>
      </c>
      <c r="C509">
        <f>Raw_Data!C509</f>
        <v/>
      </c>
      <c r="D509">
        <f>Raw_Data!D509</f>
        <v/>
      </c>
      <c r="E509">
        <f>Raw_Data!E509</f>
        <v/>
      </c>
      <c r="F509">
        <f>Raw_Data!F509</f>
        <v/>
      </c>
      <c r="G509">
        <f>Raw_Data!G509</f>
        <v/>
      </c>
      <c r="H509">
        <f>Raw_Data!H509</f>
        <v/>
      </c>
      <c r="I509">
        <f>Raw_Data!I509</f>
        <v/>
      </c>
      <c r="J509" s="12">
        <f>Raw_Data!J509</f>
        <v/>
      </c>
      <c r="K509" s="13">
        <f>Raw_Data!K509</f>
        <v/>
      </c>
      <c r="L509" s="12">
        <f>Raw_Data!L509</f>
        <v/>
      </c>
      <c r="M509" s="12">
        <f>Raw_Data!M509</f>
        <v/>
      </c>
      <c r="N509" s="12">
        <f>Raw_Data!N509</f>
        <v/>
      </c>
      <c r="O509">
        <f>Raw_Data!O509</f>
        <v/>
      </c>
      <c r="P509">
        <f>Raw_Data!P509</f>
        <v/>
      </c>
      <c r="Q509">
        <f>YEAR(B509)</f>
        <v/>
      </c>
      <c r="R509">
        <f>TEXT(B509,"mmm")</f>
        <v/>
      </c>
      <c r="S509" s="15">
        <f>IFERROR(N509/L509,0)</f>
        <v/>
      </c>
    </row>
    <row r="510">
      <c r="A510">
        <f>Raw_Data!A510</f>
        <v/>
      </c>
      <c r="B510" s="11">
        <f>Raw_Data!B510</f>
        <v/>
      </c>
      <c r="C510">
        <f>Raw_Data!C510</f>
        <v/>
      </c>
      <c r="D510">
        <f>Raw_Data!D510</f>
        <v/>
      </c>
      <c r="E510">
        <f>Raw_Data!E510</f>
        <v/>
      </c>
      <c r="F510">
        <f>Raw_Data!F510</f>
        <v/>
      </c>
      <c r="G510">
        <f>Raw_Data!G510</f>
        <v/>
      </c>
      <c r="H510">
        <f>Raw_Data!H510</f>
        <v/>
      </c>
      <c r="I510">
        <f>Raw_Data!I510</f>
        <v/>
      </c>
      <c r="J510" s="12">
        <f>Raw_Data!J510</f>
        <v/>
      </c>
      <c r="K510" s="13">
        <f>Raw_Data!K510</f>
        <v/>
      </c>
      <c r="L510" s="12">
        <f>Raw_Data!L510</f>
        <v/>
      </c>
      <c r="M510" s="12">
        <f>Raw_Data!M510</f>
        <v/>
      </c>
      <c r="N510" s="12">
        <f>Raw_Data!N510</f>
        <v/>
      </c>
      <c r="O510">
        <f>Raw_Data!O510</f>
        <v/>
      </c>
      <c r="P510">
        <f>Raw_Data!P510</f>
        <v/>
      </c>
      <c r="Q510">
        <f>YEAR(B510)</f>
        <v/>
      </c>
      <c r="R510">
        <f>TEXT(B510,"mmm")</f>
        <v/>
      </c>
      <c r="S510" s="15">
        <f>IFERROR(N510/L510,0)</f>
        <v/>
      </c>
    </row>
    <row r="511">
      <c r="A511">
        <f>Raw_Data!A511</f>
        <v/>
      </c>
      <c r="B511" s="11">
        <f>Raw_Data!B511</f>
        <v/>
      </c>
      <c r="C511">
        <f>Raw_Data!C511</f>
        <v/>
      </c>
      <c r="D511">
        <f>Raw_Data!D511</f>
        <v/>
      </c>
      <c r="E511">
        <f>Raw_Data!E511</f>
        <v/>
      </c>
      <c r="F511">
        <f>Raw_Data!F511</f>
        <v/>
      </c>
      <c r="G511">
        <f>Raw_Data!G511</f>
        <v/>
      </c>
      <c r="H511">
        <f>Raw_Data!H511</f>
        <v/>
      </c>
      <c r="I511">
        <f>Raw_Data!I511</f>
        <v/>
      </c>
      <c r="J511" s="12">
        <f>Raw_Data!J511</f>
        <v/>
      </c>
      <c r="K511" s="13">
        <f>Raw_Data!K511</f>
        <v/>
      </c>
      <c r="L511" s="12">
        <f>Raw_Data!L511</f>
        <v/>
      </c>
      <c r="M511" s="12">
        <f>Raw_Data!M511</f>
        <v/>
      </c>
      <c r="N511" s="12">
        <f>Raw_Data!N511</f>
        <v/>
      </c>
      <c r="O511">
        <f>Raw_Data!O511</f>
        <v/>
      </c>
      <c r="P511">
        <f>Raw_Data!P511</f>
        <v/>
      </c>
      <c r="Q511">
        <f>YEAR(B511)</f>
        <v/>
      </c>
      <c r="R511">
        <f>TEXT(B511,"mmm")</f>
        <v/>
      </c>
      <c r="S511" s="15">
        <f>IFERROR(N511/L511,0)</f>
        <v/>
      </c>
    </row>
    <row r="512">
      <c r="A512">
        <f>Raw_Data!A512</f>
        <v/>
      </c>
      <c r="B512" s="11">
        <f>Raw_Data!B512</f>
        <v/>
      </c>
      <c r="C512">
        <f>Raw_Data!C512</f>
        <v/>
      </c>
      <c r="D512">
        <f>Raw_Data!D512</f>
        <v/>
      </c>
      <c r="E512">
        <f>Raw_Data!E512</f>
        <v/>
      </c>
      <c r="F512">
        <f>Raw_Data!F512</f>
        <v/>
      </c>
      <c r="G512">
        <f>Raw_Data!G512</f>
        <v/>
      </c>
      <c r="H512">
        <f>Raw_Data!H512</f>
        <v/>
      </c>
      <c r="I512">
        <f>Raw_Data!I512</f>
        <v/>
      </c>
      <c r="J512" s="12">
        <f>Raw_Data!J512</f>
        <v/>
      </c>
      <c r="K512" s="13">
        <f>Raw_Data!K512</f>
        <v/>
      </c>
      <c r="L512" s="12">
        <f>Raw_Data!L512</f>
        <v/>
      </c>
      <c r="M512" s="12">
        <f>Raw_Data!M512</f>
        <v/>
      </c>
      <c r="N512" s="12">
        <f>Raw_Data!N512</f>
        <v/>
      </c>
      <c r="O512">
        <f>Raw_Data!O512</f>
        <v/>
      </c>
      <c r="P512">
        <f>Raw_Data!P512</f>
        <v/>
      </c>
      <c r="Q512">
        <f>YEAR(B512)</f>
        <v/>
      </c>
      <c r="R512">
        <f>TEXT(B512,"mmm")</f>
        <v/>
      </c>
      <c r="S512" s="15">
        <f>IFERROR(N512/L512,0)</f>
        <v/>
      </c>
    </row>
    <row r="513">
      <c r="A513">
        <f>Raw_Data!A513</f>
        <v/>
      </c>
      <c r="B513" s="11">
        <f>Raw_Data!B513</f>
        <v/>
      </c>
      <c r="C513">
        <f>Raw_Data!C513</f>
        <v/>
      </c>
      <c r="D513">
        <f>Raw_Data!D513</f>
        <v/>
      </c>
      <c r="E513">
        <f>Raw_Data!E513</f>
        <v/>
      </c>
      <c r="F513">
        <f>Raw_Data!F513</f>
        <v/>
      </c>
      <c r="G513">
        <f>Raw_Data!G513</f>
        <v/>
      </c>
      <c r="H513">
        <f>Raw_Data!H513</f>
        <v/>
      </c>
      <c r="I513">
        <f>Raw_Data!I513</f>
        <v/>
      </c>
      <c r="J513" s="12">
        <f>Raw_Data!J513</f>
        <v/>
      </c>
      <c r="K513" s="13">
        <f>Raw_Data!K513</f>
        <v/>
      </c>
      <c r="L513" s="12">
        <f>Raw_Data!L513</f>
        <v/>
      </c>
      <c r="M513" s="12">
        <f>Raw_Data!M513</f>
        <v/>
      </c>
      <c r="N513" s="12">
        <f>Raw_Data!N513</f>
        <v/>
      </c>
      <c r="O513">
        <f>Raw_Data!O513</f>
        <v/>
      </c>
      <c r="P513">
        <f>Raw_Data!P513</f>
        <v/>
      </c>
      <c r="Q513">
        <f>YEAR(B513)</f>
        <v/>
      </c>
      <c r="R513">
        <f>TEXT(B513,"mmm")</f>
        <v/>
      </c>
      <c r="S513" s="15">
        <f>IFERROR(N513/L513,0)</f>
        <v/>
      </c>
    </row>
    <row r="514">
      <c r="A514">
        <f>Raw_Data!A514</f>
        <v/>
      </c>
      <c r="B514" s="11">
        <f>Raw_Data!B514</f>
        <v/>
      </c>
      <c r="C514">
        <f>Raw_Data!C514</f>
        <v/>
      </c>
      <c r="D514">
        <f>Raw_Data!D514</f>
        <v/>
      </c>
      <c r="E514">
        <f>Raw_Data!E514</f>
        <v/>
      </c>
      <c r="F514">
        <f>Raw_Data!F514</f>
        <v/>
      </c>
      <c r="G514">
        <f>Raw_Data!G514</f>
        <v/>
      </c>
      <c r="H514">
        <f>Raw_Data!H514</f>
        <v/>
      </c>
      <c r="I514">
        <f>Raw_Data!I514</f>
        <v/>
      </c>
      <c r="J514" s="12">
        <f>Raw_Data!J514</f>
        <v/>
      </c>
      <c r="K514" s="13">
        <f>Raw_Data!K514</f>
        <v/>
      </c>
      <c r="L514" s="12">
        <f>Raw_Data!L514</f>
        <v/>
      </c>
      <c r="M514" s="12">
        <f>Raw_Data!M514</f>
        <v/>
      </c>
      <c r="N514" s="12">
        <f>Raw_Data!N514</f>
        <v/>
      </c>
      <c r="O514">
        <f>Raw_Data!O514</f>
        <v/>
      </c>
      <c r="P514">
        <f>Raw_Data!P514</f>
        <v/>
      </c>
      <c r="Q514">
        <f>YEAR(B514)</f>
        <v/>
      </c>
      <c r="R514">
        <f>TEXT(B514,"mmm")</f>
        <v/>
      </c>
      <c r="S514" s="15">
        <f>IFERROR(N514/L514,0)</f>
        <v/>
      </c>
    </row>
    <row r="515">
      <c r="A515">
        <f>Raw_Data!A515</f>
        <v/>
      </c>
      <c r="B515" s="11">
        <f>Raw_Data!B515</f>
        <v/>
      </c>
      <c r="C515">
        <f>Raw_Data!C515</f>
        <v/>
      </c>
      <c r="D515">
        <f>Raw_Data!D515</f>
        <v/>
      </c>
      <c r="E515">
        <f>Raw_Data!E515</f>
        <v/>
      </c>
      <c r="F515">
        <f>Raw_Data!F515</f>
        <v/>
      </c>
      <c r="G515">
        <f>Raw_Data!G515</f>
        <v/>
      </c>
      <c r="H515">
        <f>Raw_Data!H515</f>
        <v/>
      </c>
      <c r="I515">
        <f>Raw_Data!I515</f>
        <v/>
      </c>
      <c r="J515" s="12">
        <f>Raw_Data!J515</f>
        <v/>
      </c>
      <c r="K515" s="13">
        <f>Raw_Data!K515</f>
        <v/>
      </c>
      <c r="L515" s="12">
        <f>Raw_Data!L515</f>
        <v/>
      </c>
      <c r="M515" s="12">
        <f>Raw_Data!M515</f>
        <v/>
      </c>
      <c r="N515" s="12">
        <f>Raw_Data!N515</f>
        <v/>
      </c>
      <c r="O515">
        <f>Raw_Data!O515</f>
        <v/>
      </c>
      <c r="P515">
        <f>Raw_Data!P515</f>
        <v/>
      </c>
      <c r="Q515">
        <f>YEAR(B515)</f>
        <v/>
      </c>
      <c r="R515">
        <f>TEXT(B515,"mmm")</f>
        <v/>
      </c>
      <c r="S515" s="15">
        <f>IFERROR(N515/L515,0)</f>
        <v/>
      </c>
    </row>
    <row r="516">
      <c r="A516">
        <f>Raw_Data!A516</f>
        <v/>
      </c>
      <c r="B516" s="11">
        <f>Raw_Data!B516</f>
        <v/>
      </c>
      <c r="C516">
        <f>Raw_Data!C516</f>
        <v/>
      </c>
      <c r="D516">
        <f>Raw_Data!D516</f>
        <v/>
      </c>
      <c r="E516">
        <f>Raw_Data!E516</f>
        <v/>
      </c>
      <c r="F516">
        <f>Raw_Data!F516</f>
        <v/>
      </c>
      <c r="G516">
        <f>Raw_Data!G516</f>
        <v/>
      </c>
      <c r="H516">
        <f>Raw_Data!H516</f>
        <v/>
      </c>
      <c r="I516">
        <f>Raw_Data!I516</f>
        <v/>
      </c>
      <c r="J516" s="12">
        <f>Raw_Data!J516</f>
        <v/>
      </c>
      <c r="K516" s="13">
        <f>Raw_Data!K516</f>
        <v/>
      </c>
      <c r="L516" s="12">
        <f>Raw_Data!L516</f>
        <v/>
      </c>
      <c r="M516" s="12">
        <f>Raw_Data!M516</f>
        <v/>
      </c>
      <c r="N516" s="12">
        <f>Raw_Data!N516</f>
        <v/>
      </c>
      <c r="O516">
        <f>Raw_Data!O516</f>
        <v/>
      </c>
      <c r="P516">
        <f>Raw_Data!P516</f>
        <v/>
      </c>
      <c r="Q516">
        <f>YEAR(B516)</f>
        <v/>
      </c>
      <c r="R516">
        <f>TEXT(B516,"mmm")</f>
        <v/>
      </c>
      <c r="S516" s="15">
        <f>IFERROR(N516/L516,0)</f>
        <v/>
      </c>
    </row>
    <row r="517">
      <c r="A517">
        <f>Raw_Data!A517</f>
        <v/>
      </c>
      <c r="B517" s="11">
        <f>Raw_Data!B517</f>
        <v/>
      </c>
      <c r="C517">
        <f>Raw_Data!C517</f>
        <v/>
      </c>
      <c r="D517">
        <f>Raw_Data!D517</f>
        <v/>
      </c>
      <c r="E517">
        <f>Raw_Data!E517</f>
        <v/>
      </c>
      <c r="F517">
        <f>Raw_Data!F517</f>
        <v/>
      </c>
      <c r="G517">
        <f>Raw_Data!G517</f>
        <v/>
      </c>
      <c r="H517">
        <f>Raw_Data!H517</f>
        <v/>
      </c>
      <c r="I517">
        <f>Raw_Data!I517</f>
        <v/>
      </c>
      <c r="J517" s="12">
        <f>Raw_Data!J517</f>
        <v/>
      </c>
      <c r="K517" s="13">
        <f>Raw_Data!K517</f>
        <v/>
      </c>
      <c r="L517" s="12">
        <f>Raw_Data!L517</f>
        <v/>
      </c>
      <c r="M517" s="12">
        <f>Raw_Data!M517</f>
        <v/>
      </c>
      <c r="N517" s="12">
        <f>Raw_Data!N517</f>
        <v/>
      </c>
      <c r="O517">
        <f>Raw_Data!O517</f>
        <v/>
      </c>
      <c r="P517">
        <f>Raw_Data!P517</f>
        <v/>
      </c>
      <c r="Q517">
        <f>YEAR(B517)</f>
        <v/>
      </c>
      <c r="R517">
        <f>TEXT(B517,"mmm")</f>
        <v/>
      </c>
      <c r="S517" s="15">
        <f>IFERROR(N517/L517,0)</f>
        <v/>
      </c>
    </row>
    <row r="518">
      <c r="A518">
        <f>Raw_Data!A518</f>
        <v/>
      </c>
      <c r="B518" s="11">
        <f>Raw_Data!B518</f>
        <v/>
      </c>
      <c r="C518">
        <f>Raw_Data!C518</f>
        <v/>
      </c>
      <c r="D518">
        <f>Raw_Data!D518</f>
        <v/>
      </c>
      <c r="E518">
        <f>Raw_Data!E518</f>
        <v/>
      </c>
      <c r="F518">
        <f>Raw_Data!F518</f>
        <v/>
      </c>
      <c r="G518">
        <f>Raw_Data!G518</f>
        <v/>
      </c>
      <c r="H518">
        <f>Raw_Data!H518</f>
        <v/>
      </c>
      <c r="I518">
        <f>Raw_Data!I518</f>
        <v/>
      </c>
      <c r="J518" s="12">
        <f>Raw_Data!J518</f>
        <v/>
      </c>
      <c r="K518" s="13">
        <f>Raw_Data!K518</f>
        <v/>
      </c>
      <c r="L518" s="12">
        <f>Raw_Data!L518</f>
        <v/>
      </c>
      <c r="M518" s="12">
        <f>Raw_Data!M518</f>
        <v/>
      </c>
      <c r="N518" s="12">
        <f>Raw_Data!N518</f>
        <v/>
      </c>
      <c r="O518">
        <f>Raw_Data!O518</f>
        <v/>
      </c>
      <c r="P518">
        <f>Raw_Data!P518</f>
        <v/>
      </c>
      <c r="Q518">
        <f>YEAR(B518)</f>
        <v/>
      </c>
      <c r="R518">
        <f>TEXT(B518,"mmm")</f>
        <v/>
      </c>
      <c r="S518" s="15">
        <f>IFERROR(N518/L518,0)</f>
        <v/>
      </c>
    </row>
    <row r="519">
      <c r="A519">
        <f>Raw_Data!A519</f>
        <v/>
      </c>
      <c r="B519" s="11">
        <f>Raw_Data!B519</f>
        <v/>
      </c>
      <c r="C519">
        <f>Raw_Data!C519</f>
        <v/>
      </c>
      <c r="D519">
        <f>Raw_Data!D519</f>
        <v/>
      </c>
      <c r="E519">
        <f>Raw_Data!E519</f>
        <v/>
      </c>
      <c r="F519">
        <f>Raw_Data!F519</f>
        <v/>
      </c>
      <c r="G519">
        <f>Raw_Data!G519</f>
        <v/>
      </c>
      <c r="H519">
        <f>Raw_Data!H519</f>
        <v/>
      </c>
      <c r="I519">
        <f>Raw_Data!I519</f>
        <v/>
      </c>
      <c r="J519" s="12">
        <f>Raw_Data!J519</f>
        <v/>
      </c>
      <c r="K519" s="13">
        <f>Raw_Data!K519</f>
        <v/>
      </c>
      <c r="L519" s="12">
        <f>Raw_Data!L519</f>
        <v/>
      </c>
      <c r="M519" s="12">
        <f>Raw_Data!M519</f>
        <v/>
      </c>
      <c r="N519" s="12">
        <f>Raw_Data!N519</f>
        <v/>
      </c>
      <c r="O519">
        <f>Raw_Data!O519</f>
        <v/>
      </c>
      <c r="P519">
        <f>Raw_Data!P519</f>
        <v/>
      </c>
      <c r="Q519">
        <f>YEAR(B519)</f>
        <v/>
      </c>
      <c r="R519">
        <f>TEXT(B519,"mmm")</f>
        <v/>
      </c>
      <c r="S519" s="15">
        <f>IFERROR(N519/L519,0)</f>
        <v/>
      </c>
    </row>
    <row r="520">
      <c r="A520">
        <f>Raw_Data!A520</f>
        <v/>
      </c>
      <c r="B520" s="11">
        <f>Raw_Data!B520</f>
        <v/>
      </c>
      <c r="C520">
        <f>Raw_Data!C520</f>
        <v/>
      </c>
      <c r="D520">
        <f>Raw_Data!D520</f>
        <v/>
      </c>
      <c r="E520">
        <f>Raw_Data!E520</f>
        <v/>
      </c>
      <c r="F520">
        <f>Raw_Data!F520</f>
        <v/>
      </c>
      <c r="G520">
        <f>Raw_Data!G520</f>
        <v/>
      </c>
      <c r="H520">
        <f>Raw_Data!H520</f>
        <v/>
      </c>
      <c r="I520">
        <f>Raw_Data!I520</f>
        <v/>
      </c>
      <c r="J520" s="12">
        <f>Raw_Data!J520</f>
        <v/>
      </c>
      <c r="K520" s="13">
        <f>Raw_Data!K520</f>
        <v/>
      </c>
      <c r="L520" s="12">
        <f>Raw_Data!L520</f>
        <v/>
      </c>
      <c r="M520" s="12">
        <f>Raw_Data!M520</f>
        <v/>
      </c>
      <c r="N520" s="12">
        <f>Raw_Data!N520</f>
        <v/>
      </c>
      <c r="O520">
        <f>Raw_Data!O520</f>
        <v/>
      </c>
      <c r="P520">
        <f>Raw_Data!P520</f>
        <v/>
      </c>
      <c r="Q520">
        <f>YEAR(B520)</f>
        <v/>
      </c>
      <c r="R520">
        <f>TEXT(B520,"mmm")</f>
        <v/>
      </c>
      <c r="S520" s="15">
        <f>IFERROR(N520/L520,0)</f>
        <v/>
      </c>
    </row>
    <row r="521">
      <c r="A521">
        <f>Raw_Data!A521</f>
        <v/>
      </c>
      <c r="B521" s="11">
        <f>Raw_Data!B521</f>
        <v/>
      </c>
      <c r="C521">
        <f>Raw_Data!C521</f>
        <v/>
      </c>
      <c r="D521">
        <f>Raw_Data!D521</f>
        <v/>
      </c>
      <c r="E521">
        <f>Raw_Data!E521</f>
        <v/>
      </c>
      <c r="F521">
        <f>Raw_Data!F521</f>
        <v/>
      </c>
      <c r="G521">
        <f>Raw_Data!G521</f>
        <v/>
      </c>
      <c r="H521">
        <f>Raw_Data!H521</f>
        <v/>
      </c>
      <c r="I521">
        <f>Raw_Data!I521</f>
        <v/>
      </c>
      <c r="J521" s="12">
        <f>Raw_Data!J521</f>
        <v/>
      </c>
      <c r="K521" s="13">
        <f>Raw_Data!K521</f>
        <v/>
      </c>
      <c r="L521" s="12">
        <f>Raw_Data!L521</f>
        <v/>
      </c>
      <c r="M521" s="12">
        <f>Raw_Data!M521</f>
        <v/>
      </c>
      <c r="N521" s="12">
        <f>Raw_Data!N521</f>
        <v/>
      </c>
      <c r="O521">
        <f>Raw_Data!O521</f>
        <v/>
      </c>
      <c r="P521">
        <f>Raw_Data!P521</f>
        <v/>
      </c>
      <c r="Q521">
        <f>YEAR(B521)</f>
        <v/>
      </c>
      <c r="R521">
        <f>TEXT(B521,"mmm")</f>
        <v/>
      </c>
      <c r="S521" s="15">
        <f>IFERROR(N521/L521,0)</f>
        <v/>
      </c>
    </row>
    <row r="522">
      <c r="A522">
        <f>Raw_Data!A522</f>
        <v/>
      </c>
      <c r="B522" s="11">
        <f>Raw_Data!B522</f>
        <v/>
      </c>
      <c r="C522">
        <f>Raw_Data!C522</f>
        <v/>
      </c>
      <c r="D522">
        <f>Raw_Data!D522</f>
        <v/>
      </c>
      <c r="E522">
        <f>Raw_Data!E522</f>
        <v/>
      </c>
      <c r="F522">
        <f>Raw_Data!F522</f>
        <v/>
      </c>
      <c r="G522">
        <f>Raw_Data!G522</f>
        <v/>
      </c>
      <c r="H522">
        <f>Raw_Data!H522</f>
        <v/>
      </c>
      <c r="I522">
        <f>Raw_Data!I522</f>
        <v/>
      </c>
      <c r="J522" s="12">
        <f>Raw_Data!J522</f>
        <v/>
      </c>
      <c r="K522" s="13">
        <f>Raw_Data!K522</f>
        <v/>
      </c>
      <c r="L522" s="12">
        <f>Raw_Data!L522</f>
        <v/>
      </c>
      <c r="M522" s="12">
        <f>Raw_Data!M522</f>
        <v/>
      </c>
      <c r="N522" s="12">
        <f>Raw_Data!N522</f>
        <v/>
      </c>
      <c r="O522">
        <f>Raw_Data!O522</f>
        <v/>
      </c>
      <c r="P522">
        <f>Raw_Data!P522</f>
        <v/>
      </c>
      <c r="Q522">
        <f>YEAR(B522)</f>
        <v/>
      </c>
      <c r="R522">
        <f>TEXT(B522,"mmm")</f>
        <v/>
      </c>
      <c r="S522" s="15">
        <f>IFERROR(N522/L522,0)</f>
        <v/>
      </c>
    </row>
    <row r="523">
      <c r="A523">
        <f>Raw_Data!A523</f>
        <v/>
      </c>
      <c r="B523" s="11">
        <f>Raw_Data!B523</f>
        <v/>
      </c>
      <c r="C523">
        <f>Raw_Data!C523</f>
        <v/>
      </c>
      <c r="D523">
        <f>Raw_Data!D523</f>
        <v/>
      </c>
      <c r="E523">
        <f>Raw_Data!E523</f>
        <v/>
      </c>
      <c r="F523">
        <f>Raw_Data!F523</f>
        <v/>
      </c>
      <c r="G523">
        <f>Raw_Data!G523</f>
        <v/>
      </c>
      <c r="H523">
        <f>Raw_Data!H523</f>
        <v/>
      </c>
      <c r="I523">
        <f>Raw_Data!I523</f>
        <v/>
      </c>
      <c r="J523" s="12">
        <f>Raw_Data!J523</f>
        <v/>
      </c>
      <c r="K523" s="13">
        <f>Raw_Data!K523</f>
        <v/>
      </c>
      <c r="L523" s="12">
        <f>Raw_Data!L523</f>
        <v/>
      </c>
      <c r="M523" s="12">
        <f>Raw_Data!M523</f>
        <v/>
      </c>
      <c r="N523" s="12">
        <f>Raw_Data!N523</f>
        <v/>
      </c>
      <c r="O523">
        <f>Raw_Data!O523</f>
        <v/>
      </c>
      <c r="P523">
        <f>Raw_Data!P523</f>
        <v/>
      </c>
      <c r="Q523">
        <f>YEAR(B523)</f>
        <v/>
      </c>
      <c r="R523">
        <f>TEXT(B523,"mmm")</f>
        <v/>
      </c>
      <c r="S523" s="15">
        <f>IFERROR(N523/L523,0)</f>
        <v/>
      </c>
    </row>
    <row r="524">
      <c r="A524">
        <f>Raw_Data!A524</f>
        <v/>
      </c>
      <c r="B524" s="11">
        <f>Raw_Data!B524</f>
        <v/>
      </c>
      <c r="C524">
        <f>Raw_Data!C524</f>
        <v/>
      </c>
      <c r="D524">
        <f>Raw_Data!D524</f>
        <v/>
      </c>
      <c r="E524">
        <f>Raw_Data!E524</f>
        <v/>
      </c>
      <c r="F524">
        <f>Raw_Data!F524</f>
        <v/>
      </c>
      <c r="G524">
        <f>Raw_Data!G524</f>
        <v/>
      </c>
      <c r="H524">
        <f>Raw_Data!H524</f>
        <v/>
      </c>
      <c r="I524">
        <f>Raw_Data!I524</f>
        <v/>
      </c>
      <c r="J524" s="12">
        <f>Raw_Data!J524</f>
        <v/>
      </c>
      <c r="K524" s="13">
        <f>Raw_Data!K524</f>
        <v/>
      </c>
      <c r="L524" s="12">
        <f>Raw_Data!L524</f>
        <v/>
      </c>
      <c r="M524" s="12">
        <f>Raw_Data!M524</f>
        <v/>
      </c>
      <c r="N524" s="12">
        <f>Raw_Data!N524</f>
        <v/>
      </c>
      <c r="O524">
        <f>Raw_Data!O524</f>
        <v/>
      </c>
      <c r="P524">
        <f>Raw_Data!P524</f>
        <v/>
      </c>
      <c r="Q524">
        <f>YEAR(B524)</f>
        <v/>
      </c>
      <c r="R524">
        <f>TEXT(B524,"mmm")</f>
        <v/>
      </c>
      <c r="S524" s="15">
        <f>IFERROR(N524/L524,0)</f>
        <v/>
      </c>
    </row>
    <row r="525">
      <c r="A525">
        <f>Raw_Data!A525</f>
        <v/>
      </c>
      <c r="B525" s="11">
        <f>Raw_Data!B525</f>
        <v/>
      </c>
      <c r="C525">
        <f>Raw_Data!C525</f>
        <v/>
      </c>
      <c r="D525">
        <f>Raw_Data!D525</f>
        <v/>
      </c>
      <c r="E525">
        <f>Raw_Data!E525</f>
        <v/>
      </c>
      <c r="F525">
        <f>Raw_Data!F525</f>
        <v/>
      </c>
      <c r="G525">
        <f>Raw_Data!G525</f>
        <v/>
      </c>
      <c r="H525">
        <f>Raw_Data!H525</f>
        <v/>
      </c>
      <c r="I525">
        <f>Raw_Data!I525</f>
        <v/>
      </c>
      <c r="J525" s="12">
        <f>Raw_Data!J525</f>
        <v/>
      </c>
      <c r="K525" s="13">
        <f>Raw_Data!K525</f>
        <v/>
      </c>
      <c r="L525" s="12">
        <f>Raw_Data!L525</f>
        <v/>
      </c>
      <c r="M525" s="12">
        <f>Raw_Data!M525</f>
        <v/>
      </c>
      <c r="N525" s="12">
        <f>Raw_Data!N525</f>
        <v/>
      </c>
      <c r="O525">
        <f>Raw_Data!O525</f>
        <v/>
      </c>
      <c r="P525">
        <f>Raw_Data!P525</f>
        <v/>
      </c>
      <c r="Q525">
        <f>YEAR(B525)</f>
        <v/>
      </c>
      <c r="R525">
        <f>TEXT(B525,"mmm")</f>
        <v/>
      </c>
      <c r="S525" s="15">
        <f>IFERROR(N525/L525,0)</f>
        <v/>
      </c>
    </row>
    <row r="526">
      <c r="A526">
        <f>Raw_Data!A526</f>
        <v/>
      </c>
      <c r="B526" s="11">
        <f>Raw_Data!B526</f>
        <v/>
      </c>
      <c r="C526">
        <f>Raw_Data!C526</f>
        <v/>
      </c>
      <c r="D526">
        <f>Raw_Data!D526</f>
        <v/>
      </c>
      <c r="E526">
        <f>Raw_Data!E526</f>
        <v/>
      </c>
      <c r="F526">
        <f>Raw_Data!F526</f>
        <v/>
      </c>
      <c r="G526">
        <f>Raw_Data!G526</f>
        <v/>
      </c>
      <c r="H526">
        <f>Raw_Data!H526</f>
        <v/>
      </c>
      <c r="I526">
        <f>Raw_Data!I526</f>
        <v/>
      </c>
      <c r="J526" s="12">
        <f>Raw_Data!J526</f>
        <v/>
      </c>
      <c r="K526" s="13">
        <f>Raw_Data!K526</f>
        <v/>
      </c>
      <c r="L526" s="12">
        <f>Raw_Data!L526</f>
        <v/>
      </c>
      <c r="M526" s="12">
        <f>Raw_Data!M526</f>
        <v/>
      </c>
      <c r="N526" s="12">
        <f>Raw_Data!N526</f>
        <v/>
      </c>
      <c r="O526">
        <f>Raw_Data!O526</f>
        <v/>
      </c>
      <c r="P526">
        <f>Raw_Data!P526</f>
        <v/>
      </c>
      <c r="Q526">
        <f>YEAR(B526)</f>
        <v/>
      </c>
      <c r="R526">
        <f>TEXT(B526,"mmm")</f>
        <v/>
      </c>
      <c r="S526" s="15">
        <f>IFERROR(N526/L526,0)</f>
        <v/>
      </c>
    </row>
    <row r="527">
      <c r="A527">
        <f>Raw_Data!A527</f>
        <v/>
      </c>
      <c r="B527" s="11">
        <f>Raw_Data!B527</f>
        <v/>
      </c>
      <c r="C527">
        <f>Raw_Data!C527</f>
        <v/>
      </c>
      <c r="D527">
        <f>Raw_Data!D527</f>
        <v/>
      </c>
      <c r="E527">
        <f>Raw_Data!E527</f>
        <v/>
      </c>
      <c r="F527">
        <f>Raw_Data!F527</f>
        <v/>
      </c>
      <c r="G527">
        <f>Raw_Data!G527</f>
        <v/>
      </c>
      <c r="H527">
        <f>Raw_Data!H527</f>
        <v/>
      </c>
      <c r="I527">
        <f>Raw_Data!I527</f>
        <v/>
      </c>
      <c r="J527" s="12">
        <f>Raw_Data!J527</f>
        <v/>
      </c>
      <c r="K527" s="13">
        <f>Raw_Data!K527</f>
        <v/>
      </c>
      <c r="L527" s="12">
        <f>Raw_Data!L527</f>
        <v/>
      </c>
      <c r="M527" s="12">
        <f>Raw_Data!M527</f>
        <v/>
      </c>
      <c r="N527" s="12">
        <f>Raw_Data!N527</f>
        <v/>
      </c>
      <c r="O527">
        <f>Raw_Data!O527</f>
        <v/>
      </c>
      <c r="P527">
        <f>Raw_Data!P527</f>
        <v/>
      </c>
      <c r="Q527">
        <f>YEAR(B527)</f>
        <v/>
      </c>
      <c r="R527">
        <f>TEXT(B527,"mmm")</f>
        <v/>
      </c>
      <c r="S527" s="15">
        <f>IFERROR(N527/L527,0)</f>
        <v/>
      </c>
    </row>
    <row r="528">
      <c r="A528">
        <f>Raw_Data!A528</f>
        <v/>
      </c>
      <c r="B528" s="11">
        <f>Raw_Data!B528</f>
        <v/>
      </c>
      <c r="C528">
        <f>Raw_Data!C528</f>
        <v/>
      </c>
      <c r="D528">
        <f>Raw_Data!D528</f>
        <v/>
      </c>
      <c r="E528">
        <f>Raw_Data!E528</f>
        <v/>
      </c>
      <c r="F528">
        <f>Raw_Data!F528</f>
        <v/>
      </c>
      <c r="G528">
        <f>Raw_Data!G528</f>
        <v/>
      </c>
      <c r="H528">
        <f>Raw_Data!H528</f>
        <v/>
      </c>
      <c r="I528">
        <f>Raw_Data!I528</f>
        <v/>
      </c>
      <c r="J528" s="12">
        <f>Raw_Data!J528</f>
        <v/>
      </c>
      <c r="K528" s="13">
        <f>Raw_Data!K528</f>
        <v/>
      </c>
      <c r="L528" s="12">
        <f>Raw_Data!L528</f>
        <v/>
      </c>
      <c r="M528" s="12">
        <f>Raw_Data!M528</f>
        <v/>
      </c>
      <c r="N528" s="12">
        <f>Raw_Data!N528</f>
        <v/>
      </c>
      <c r="O528">
        <f>Raw_Data!O528</f>
        <v/>
      </c>
      <c r="P528">
        <f>Raw_Data!P528</f>
        <v/>
      </c>
      <c r="Q528">
        <f>YEAR(B528)</f>
        <v/>
      </c>
      <c r="R528">
        <f>TEXT(B528,"mmm")</f>
        <v/>
      </c>
      <c r="S528" s="15">
        <f>IFERROR(N528/L528,0)</f>
        <v/>
      </c>
    </row>
    <row r="529">
      <c r="A529">
        <f>Raw_Data!A529</f>
        <v/>
      </c>
      <c r="B529" s="11">
        <f>Raw_Data!B529</f>
        <v/>
      </c>
      <c r="C529">
        <f>Raw_Data!C529</f>
        <v/>
      </c>
      <c r="D529">
        <f>Raw_Data!D529</f>
        <v/>
      </c>
      <c r="E529">
        <f>Raw_Data!E529</f>
        <v/>
      </c>
      <c r="F529">
        <f>Raw_Data!F529</f>
        <v/>
      </c>
      <c r="G529">
        <f>Raw_Data!G529</f>
        <v/>
      </c>
      <c r="H529">
        <f>Raw_Data!H529</f>
        <v/>
      </c>
      <c r="I529">
        <f>Raw_Data!I529</f>
        <v/>
      </c>
      <c r="J529" s="12">
        <f>Raw_Data!J529</f>
        <v/>
      </c>
      <c r="K529" s="13">
        <f>Raw_Data!K529</f>
        <v/>
      </c>
      <c r="L529" s="12">
        <f>Raw_Data!L529</f>
        <v/>
      </c>
      <c r="M529" s="12">
        <f>Raw_Data!M529</f>
        <v/>
      </c>
      <c r="N529" s="12">
        <f>Raw_Data!N529</f>
        <v/>
      </c>
      <c r="O529">
        <f>Raw_Data!O529</f>
        <v/>
      </c>
      <c r="P529">
        <f>Raw_Data!P529</f>
        <v/>
      </c>
      <c r="Q529">
        <f>YEAR(B529)</f>
        <v/>
      </c>
      <c r="R529">
        <f>TEXT(B529,"mmm")</f>
        <v/>
      </c>
      <c r="S529" s="15">
        <f>IFERROR(N529/L529,0)</f>
        <v/>
      </c>
    </row>
    <row r="530">
      <c r="A530">
        <f>Raw_Data!A530</f>
        <v/>
      </c>
      <c r="B530" s="11">
        <f>Raw_Data!B530</f>
        <v/>
      </c>
      <c r="C530">
        <f>Raw_Data!C530</f>
        <v/>
      </c>
      <c r="D530">
        <f>Raw_Data!D530</f>
        <v/>
      </c>
      <c r="E530">
        <f>Raw_Data!E530</f>
        <v/>
      </c>
      <c r="F530">
        <f>Raw_Data!F530</f>
        <v/>
      </c>
      <c r="G530">
        <f>Raw_Data!G530</f>
        <v/>
      </c>
      <c r="H530">
        <f>Raw_Data!H530</f>
        <v/>
      </c>
      <c r="I530">
        <f>Raw_Data!I530</f>
        <v/>
      </c>
      <c r="J530" s="12">
        <f>Raw_Data!J530</f>
        <v/>
      </c>
      <c r="K530" s="13">
        <f>Raw_Data!K530</f>
        <v/>
      </c>
      <c r="L530" s="12">
        <f>Raw_Data!L530</f>
        <v/>
      </c>
      <c r="M530" s="12">
        <f>Raw_Data!M530</f>
        <v/>
      </c>
      <c r="N530" s="12">
        <f>Raw_Data!N530</f>
        <v/>
      </c>
      <c r="O530">
        <f>Raw_Data!O530</f>
        <v/>
      </c>
      <c r="P530">
        <f>Raw_Data!P530</f>
        <v/>
      </c>
      <c r="Q530">
        <f>YEAR(B530)</f>
        <v/>
      </c>
      <c r="R530">
        <f>TEXT(B530,"mmm")</f>
        <v/>
      </c>
      <c r="S530" s="15">
        <f>IFERROR(N530/L530,0)</f>
        <v/>
      </c>
    </row>
    <row r="531">
      <c r="A531">
        <f>Raw_Data!A531</f>
        <v/>
      </c>
      <c r="B531" s="11">
        <f>Raw_Data!B531</f>
        <v/>
      </c>
      <c r="C531">
        <f>Raw_Data!C531</f>
        <v/>
      </c>
      <c r="D531">
        <f>Raw_Data!D531</f>
        <v/>
      </c>
      <c r="E531">
        <f>Raw_Data!E531</f>
        <v/>
      </c>
      <c r="F531">
        <f>Raw_Data!F531</f>
        <v/>
      </c>
      <c r="G531">
        <f>Raw_Data!G531</f>
        <v/>
      </c>
      <c r="H531">
        <f>Raw_Data!H531</f>
        <v/>
      </c>
      <c r="I531">
        <f>Raw_Data!I531</f>
        <v/>
      </c>
      <c r="J531" s="12">
        <f>Raw_Data!J531</f>
        <v/>
      </c>
      <c r="K531" s="13">
        <f>Raw_Data!K531</f>
        <v/>
      </c>
      <c r="L531" s="12">
        <f>Raw_Data!L531</f>
        <v/>
      </c>
      <c r="M531" s="12">
        <f>Raw_Data!M531</f>
        <v/>
      </c>
      <c r="N531" s="12">
        <f>Raw_Data!N531</f>
        <v/>
      </c>
      <c r="O531">
        <f>Raw_Data!O531</f>
        <v/>
      </c>
      <c r="P531">
        <f>Raw_Data!P531</f>
        <v/>
      </c>
      <c r="Q531">
        <f>YEAR(B531)</f>
        <v/>
      </c>
      <c r="R531">
        <f>TEXT(B531,"mmm")</f>
        <v/>
      </c>
      <c r="S531" s="15">
        <f>IFERROR(N531/L531,0)</f>
        <v/>
      </c>
    </row>
    <row r="532">
      <c r="A532">
        <f>Raw_Data!A532</f>
        <v/>
      </c>
      <c r="B532" s="11">
        <f>Raw_Data!B532</f>
        <v/>
      </c>
      <c r="C532">
        <f>Raw_Data!C532</f>
        <v/>
      </c>
      <c r="D532">
        <f>Raw_Data!D532</f>
        <v/>
      </c>
      <c r="E532">
        <f>Raw_Data!E532</f>
        <v/>
      </c>
      <c r="F532">
        <f>Raw_Data!F532</f>
        <v/>
      </c>
      <c r="G532">
        <f>Raw_Data!G532</f>
        <v/>
      </c>
      <c r="H532">
        <f>Raw_Data!H532</f>
        <v/>
      </c>
      <c r="I532">
        <f>Raw_Data!I532</f>
        <v/>
      </c>
      <c r="J532" s="12">
        <f>Raw_Data!J532</f>
        <v/>
      </c>
      <c r="K532" s="13">
        <f>Raw_Data!K532</f>
        <v/>
      </c>
      <c r="L532" s="12">
        <f>Raw_Data!L532</f>
        <v/>
      </c>
      <c r="M532" s="12">
        <f>Raw_Data!M532</f>
        <v/>
      </c>
      <c r="N532" s="12">
        <f>Raw_Data!N532</f>
        <v/>
      </c>
      <c r="O532">
        <f>Raw_Data!O532</f>
        <v/>
      </c>
      <c r="P532">
        <f>Raw_Data!P532</f>
        <v/>
      </c>
      <c r="Q532">
        <f>YEAR(B532)</f>
        <v/>
      </c>
      <c r="R532">
        <f>TEXT(B532,"mmm")</f>
        <v/>
      </c>
      <c r="S532" s="15">
        <f>IFERROR(N532/L532,0)</f>
        <v/>
      </c>
    </row>
    <row r="533">
      <c r="A533">
        <f>Raw_Data!A533</f>
        <v/>
      </c>
      <c r="B533" s="11">
        <f>Raw_Data!B533</f>
        <v/>
      </c>
      <c r="C533">
        <f>Raw_Data!C533</f>
        <v/>
      </c>
      <c r="D533">
        <f>Raw_Data!D533</f>
        <v/>
      </c>
      <c r="E533">
        <f>Raw_Data!E533</f>
        <v/>
      </c>
      <c r="F533">
        <f>Raw_Data!F533</f>
        <v/>
      </c>
      <c r="G533">
        <f>Raw_Data!G533</f>
        <v/>
      </c>
      <c r="H533">
        <f>Raw_Data!H533</f>
        <v/>
      </c>
      <c r="I533">
        <f>Raw_Data!I533</f>
        <v/>
      </c>
      <c r="J533" s="12">
        <f>Raw_Data!J533</f>
        <v/>
      </c>
      <c r="K533" s="13">
        <f>Raw_Data!K533</f>
        <v/>
      </c>
      <c r="L533" s="12">
        <f>Raw_Data!L533</f>
        <v/>
      </c>
      <c r="M533" s="12">
        <f>Raw_Data!M533</f>
        <v/>
      </c>
      <c r="N533" s="12">
        <f>Raw_Data!N533</f>
        <v/>
      </c>
      <c r="O533">
        <f>Raw_Data!O533</f>
        <v/>
      </c>
      <c r="P533">
        <f>Raw_Data!P533</f>
        <v/>
      </c>
      <c r="Q533">
        <f>YEAR(B533)</f>
        <v/>
      </c>
      <c r="R533">
        <f>TEXT(B533,"mmm")</f>
        <v/>
      </c>
      <c r="S533" s="15">
        <f>IFERROR(N533/L533,0)</f>
        <v/>
      </c>
    </row>
    <row r="534">
      <c r="A534">
        <f>Raw_Data!A534</f>
        <v/>
      </c>
      <c r="B534" s="11">
        <f>Raw_Data!B534</f>
        <v/>
      </c>
      <c r="C534">
        <f>Raw_Data!C534</f>
        <v/>
      </c>
      <c r="D534">
        <f>Raw_Data!D534</f>
        <v/>
      </c>
      <c r="E534">
        <f>Raw_Data!E534</f>
        <v/>
      </c>
      <c r="F534">
        <f>Raw_Data!F534</f>
        <v/>
      </c>
      <c r="G534">
        <f>Raw_Data!G534</f>
        <v/>
      </c>
      <c r="H534">
        <f>Raw_Data!H534</f>
        <v/>
      </c>
      <c r="I534">
        <f>Raw_Data!I534</f>
        <v/>
      </c>
      <c r="J534" s="12">
        <f>Raw_Data!J534</f>
        <v/>
      </c>
      <c r="K534" s="13">
        <f>Raw_Data!K534</f>
        <v/>
      </c>
      <c r="L534" s="12">
        <f>Raw_Data!L534</f>
        <v/>
      </c>
      <c r="M534" s="12">
        <f>Raw_Data!M534</f>
        <v/>
      </c>
      <c r="N534" s="12">
        <f>Raw_Data!N534</f>
        <v/>
      </c>
      <c r="O534">
        <f>Raw_Data!O534</f>
        <v/>
      </c>
      <c r="P534">
        <f>Raw_Data!P534</f>
        <v/>
      </c>
      <c r="Q534">
        <f>YEAR(B534)</f>
        <v/>
      </c>
      <c r="R534">
        <f>TEXT(B534,"mmm")</f>
        <v/>
      </c>
      <c r="S534" s="15">
        <f>IFERROR(N534/L534,0)</f>
        <v/>
      </c>
    </row>
    <row r="535">
      <c r="A535">
        <f>Raw_Data!A535</f>
        <v/>
      </c>
      <c r="B535" s="11">
        <f>Raw_Data!B535</f>
        <v/>
      </c>
      <c r="C535">
        <f>Raw_Data!C535</f>
        <v/>
      </c>
      <c r="D535">
        <f>Raw_Data!D535</f>
        <v/>
      </c>
      <c r="E535">
        <f>Raw_Data!E535</f>
        <v/>
      </c>
      <c r="F535">
        <f>Raw_Data!F535</f>
        <v/>
      </c>
      <c r="G535">
        <f>Raw_Data!G535</f>
        <v/>
      </c>
      <c r="H535">
        <f>Raw_Data!H535</f>
        <v/>
      </c>
      <c r="I535">
        <f>Raw_Data!I535</f>
        <v/>
      </c>
      <c r="J535" s="12">
        <f>Raw_Data!J535</f>
        <v/>
      </c>
      <c r="K535" s="13">
        <f>Raw_Data!K535</f>
        <v/>
      </c>
      <c r="L535" s="12">
        <f>Raw_Data!L535</f>
        <v/>
      </c>
      <c r="M535" s="12">
        <f>Raw_Data!M535</f>
        <v/>
      </c>
      <c r="N535" s="12">
        <f>Raw_Data!N535</f>
        <v/>
      </c>
      <c r="O535">
        <f>Raw_Data!O535</f>
        <v/>
      </c>
      <c r="P535">
        <f>Raw_Data!P535</f>
        <v/>
      </c>
      <c r="Q535">
        <f>YEAR(B535)</f>
        <v/>
      </c>
      <c r="R535">
        <f>TEXT(B535,"mmm")</f>
        <v/>
      </c>
      <c r="S535" s="15">
        <f>IFERROR(N535/L535,0)</f>
        <v/>
      </c>
    </row>
    <row r="536">
      <c r="A536">
        <f>Raw_Data!A536</f>
        <v/>
      </c>
      <c r="B536" s="11">
        <f>Raw_Data!B536</f>
        <v/>
      </c>
      <c r="C536">
        <f>Raw_Data!C536</f>
        <v/>
      </c>
      <c r="D536">
        <f>Raw_Data!D536</f>
        <v/>
      </c>
      <c r="E536">
        <f>Raw_Data!E536</f>
        <v/>
      </c>
      <c r="F536">
        <f>Raw_Data!F536</f>
        <v/>
      </c>
      <c r="G536">
        <f>Raw_Data!G536</f>
        <v/>
      </c>
      <c r="H536">
        <f>Raw_Data!H536</f>
        <v/>
      </c>
      <c r="I536">
        <f>Raw_Data!I536</f>
        <v/>
      </c>
      <c r="J536" s="12">
        <f>Raw_Data!J536</f>
        <v/>
      </c>
      <c r="K536" s="13">
        <f>Raw_Data!K536</f>
        <v/>
      </c>
      <c r="L536" s="12">
        <f>Raw_Data!L536</f>
        <v/>
      </c>
      <c r="M536" s="12">
        <f>Raw_Data!M536</f>
        <v/>
      </c>
      <c r="N536" s="12">
        <f>Raw_Data!N536</f>
        <v/>
      </c>
      <c r="O536">
        <f>Raw_Data!O536</f>
        <v/>
      </c>
      <c r="P536">
        <f>Raw_Data!P536</f>
        <v/>
      </c>
      <c r="Q536">
        <f>YEAR(B536)</f>
        <v/>
      </c>
      <c r="R536">
        <f>TEXT(B536,"mmm")</f>
        <v/>
      </c>
      <c r="S536" s="15">
        <f>IFERROR(N536/L536,0)</f>
        <v/>
      </c>
    </row>
    <row r="537">
      <c r="A537">
        <f>Raw_Data!A537</f>
        <v/>
      </c>
      <c r="B537" s="11">
        <f>Raw_Data!B537</f>
        <v/>
      </c>
      <c r="C537">
        <f>Raw_Data!C537</f>
        <v/>
      </c>
      <c r="D537">
        <f>Raw_Data!D537</f>
        <v/>
      </c>
      <c r="E537">
        <f>Raw_Data!E537</f>
        <v/>
      </c>
      <c r="F537">
        <f>Raw_Data!F537</f>
        <v/>
      </c>
      <c r="G537">
        <f>Raw_Data!G537</f>
        <v/>
      </c>
      <c r="H537">
        <f>Raw_Data!H537</f>
        <v/>
      </c>
      <c r="I537">
        <f>Raw_Data!I537</f>
        <v/>
      </c>
      <c r="J537" s="12">
        <f>Raw_Data!J537</f>
        <v/>
      </c>
      <c r="K537" s="13">
        <f>Raw_Data!K537</f>
        <v/>
      </c>
      <c r="L537" s="12">
        <f>Raw_Data!L537</f>
        <v/>
      </c>
      <c r="M537" s="12">
        <f>Raw_Data!M537</f>
        <v/>
      </c>
      <c r="N537" s="12">
        <f>Raw_Data!N537</f>
        <v/>
      </c>
      <c r="O537">
        <f>Raw_Data!O537</f>
        <v/>
      </c>
      <c r="P537">
        <f>Raw_Data!P537</f>
        <v/>
      </c>
      <c r="Q537">
        <f>YEAR(B537)</f>
        <v/>
      </c>
      <c r="R537">
        <f>TEXT(B537,"mmm")</f>
        <v/>
      </c>
      <c r="S537" s="15">
        <f>IFERROR(N537/L537,0)</f>
        <v/>
      </c>
    </row>
    <row r="538">
      <c r="A538">
        <f>Raw_Data!A538</f>
        <v/>
      </c>
      <c r="B538" s="11">
        <f>Raw_Data!B538</f>
        <v/>
      </c>
      <c r="C538">
        <f>Raw_Data!C538</f>
        <v/>
      </c>
      <c r="D538">
        <f>Raw_Data!D538</f>
        <v/>
      </c>
      <c r="E538">
        <f>Raw_Data!E538</f>
        <v/>
      </c>
      <c r="F538">
        <f>Raw_Data!F538</f>
        <v/>
      </c>
      <c r="G538">
        <f>Raw_Data!G538</f>
        <v/>
      </c>
      <c r="H538">
        <f>Raw_Data!H538</f>
        <v/>
      </c>
      <c r="I538">
        <f>Raw_Data!I538</f>
        <v/>
      </c>
      <c r="J538" s="12">
        <f>Raw_Data!J538</f>
        <v/>
      </c>
      <c r="K538" s="13">
        <f>Raw_Data!K538</f>
        <v/>
      </c>
      <c r="L538" s="12">
        <f>Raw_Data!L538</f>
        <v/>
      </c>
      <c r="M538" s="12">
        <f>Raw_Data!M538</f>
        <v/>
      </c>
      <c r="N538" s="12">
        <f>Raw_Data!N538</f>
        <v/>
      </c>
      <c r="O538">
        <f>Raw_Data!O538</f>
        <v/>
      </c>
      <c r="P538">
        <f>Raw_Data!P538</f>
        <v/>
      </c>
      <c r="Q538">
        <f>YEAR(B538)</f>
        <v/>
      </c>
      <c r="R538">
        <f>TEXT(B538,"mmm")</f>
        <v/>
      </c>
      <c r="S538" s="15">
        <f>IFERROR(N538/L538,0)</f>
        <v/>
      </c>
    </row>
    <row r="539">
      <c r="A539">
        <f>Raw_Data!A539</f>
        <v/>
      </c>
      <c r="B539" s="11">
        <f>Raw_Data!B539</f>
        <v/>
      </c>
      <c r="C539">
        <f>Raw_Data!C539</f>
        <v/>
      </c>
      <c r="D539">
        <f>Raw_Data!D539</f>
        <v/>
      </c>
      <c r="E539">
        <f>Raw_Data!E539</f>
        <v/>
      </c>
      <c r="F539">
        <f>Raw_Data!F539</f>
        <v/>
      </c>
      <c r="G539">
        <f>Raw_Data!G539</f>
        <v/>
      </c>
      <c r="H539">
        <f>Raw_Data!H539</f>
        <v/>
      </c>
      <c r="I539">
        <f>Raw_Data!I539</f>
        <v/>
      </c>
      <c r="J539" s="12">
        <f>Raw_Data!J539</f>
        <v/>
      </c>
      <c r="K539" s="13">
        <f>Raw_Data!K539</f>
        <v/>
      </c>
      <c r="L539" s="12">
        <f>Raw_Data!L539</f>
        <v/>
      </c>
      <c r="M539" s="12">
        <f>Raw_Data!M539</f>
        <v/>
      </c>
      <c r="N539" s="12">
        <f>Raw_Data!N539</f>
        <v/>
      </c>
      <c r="O539">
        <f>Raw_Data!O539</f>
        <v/>
      </c>
      <c r="P539">
        <f>Raw_Data!P539</f>
        <v/>
      </c>
      <c r="Q539">
        <f>YEAR(B539)</f>
        <v/>
      </c>
      <c r="R539">
        <f>TEXT(B539,"mmm")</f>
        <v/>
      </c>
      <c r="S539" s="15">
        <f>IFERROR(N539/L539,0)</f>
        <v/>
      </c>
    </row>
    <row r="540">
      <c r="A540">
        <f>Raw_Data!A540</f>
        <v/>
      </c>
      <c r="B540" s="11">
        <f>Raw_Data!B540</f>
        <v/>
      </c>
      <c r="C540">
        <f>Raw_Data!C540</f>
        <v/>
      </c>
      <c r="D540">
        <f>Raw_Data!D540</f>
        <v/>
      </c>
      <c r="E540">
        <f>Raw_Data!E540</f>
        <v/>
      </c>
      <c r="F540">
        <f>Raw_Data!F540</f>
        <v/>
      </c>
      <c r="G540">
        <f>Raw_Data!G540</f>
        <v/>
      </c>
      <c r="H540">
        <f>Raw_Data!H540</f>
        <v/>
      </c>
      <c r="I540">
        <f>Raw_Data!I540</f>
        <v/>
      </c>
      <c r="J540" s="12">
        <f>Raw_Data!J540</f>
        <v/>
      </c>
      <c r="K540" s="13">
        <f>Raw_Data!K540</f>
        <v/>
      </c>
      <c r="L540" s="12">
        <f>Raw_Data!L540</f>
        <v/>
      </c>
      <c r="M540" s="12">
        <f>Raw_Data!M540</f>
        <v/>
      </c>
      <c r="N540" s="12">
        <f>Raw_Data!N540</f>
        <v/>
      </c>
      <c r="O540">
        <f>Raw_Data!O540</f>
        <v/>
      </c>
      <c r="P540">
        <f>Raw_Data!P540</f>
        <v/>
      </c>
      <c r="Q540">
        <f>YEAR(B540)</f>
        <v/>
      </c>
      <c r="R540">
        <f>TEXT(B540,"mmm")</f>
        <v/>
      </c>
      <c r="S540" s="15">
        <f>IFERROR(N540/L540,0)</f>
        <v/>
      </c>
    </row>
    <row r="541">
      <c r="A541">
        <f>Raw_Data!A541</f>
        <v/>
      </c>
      <c r="B541" s="11">
        <f>Raw_Data!B541</f>
        <v/>
      </c>
      <c r="C541">
        <f>Raw_Data!C541</f>
        <v/>
      </c>
      <c r="D541">
        <f>Raw_Data!D541</f>
        <v/>
      </c>
      <c r="E541">
        <f>Raw_Data!E541</f>
        <v/>
      </c>
      <c r="F541">
        <f>Raw_Data!F541</f>
        <v/>
      </c>
      <c r="G541">
        <f>Raw_Data!G541</f>
        <v/>
      </c>
      <c r="H541">
        <f>Raw_Data!H541</f>
        <v/>
      </c>
      <c r="I541">
        <f>Raw_Data!I541</f>
        <v/>
      </c>
      <c r="J541" s="12">
        <f>Raw_Data!J541</f>
        <v/>
      </c>
      <c r="K541" s="13">
        <f>Raw_Data!K541</f>
        <v/>
      </c>
      <c r="L541" s="12">
        <f>Raw_Data!L541</f>
        <v/>
      </c>
      <c r="M541" s="12">
        <f>Raw_Data!M541</f>
        <v/>
      </c>
      <c r="N541" s="12">
        <f>Raw_Data!N541</f>
        <v/>
      </c>
      <c r="O541">
        <f>Raw_Data!O541</f>
        <v/>
      </c>
      <c r="P541">
        <f>Raw_Data!P541</f>
        <v/>
      </c>
      <c r="Q541">
        <f>YEAR(B541)</f>
        <v/>
      </c>
      <c r="R541">
        <f>TEXT(B541,"mmm")</f>
        <v/>
      </c>
      <c r="S541" s="15">
        <f>IFERROR(N541/L541,0)</f>
        <v/>
      </c>
    </row>
    <row r="542">
      <c r="A542">
        <f>Raw_Data!A542</f>
        <v/>
      </c>
      <c r="B542" s="11">
        <f>Raw_Data!B542</f>
        <v/>
      </c>
      <c r="C542">
        <f>Raw_Data!C542</f>
        <v/>
      </c>
      <c r="D542">
        <f>Raw_Data!D542</f>
        <v/>
      </c>
      <c r="E542">
        <f>Raw_Data!E542</f>
        <v/>
      </c>
      <c r="F542">
        <f>Raw_Data!F542</f>
        <v/>
      </c>
      <c r="G542">
        <f>Raw_Data!G542</f>
        <v/>
      </c>
      <c r="H542">
        <f>Raw_Data!H542</f>
        <v/>
      </c>
      <c r="I542">
        <f>Raw_Data!I542</f>
        <v/>
      </c>
      <c r="J542" s="12">
        <f>Raw_Data!J542</f>
        <v/>
      </c>
      <c r="K542" s="13">
        <f>Raw_Data!K542</f>
        <v/>
      </c>
      <c r="L542" s="12">
        <f>Raw_Data!L542</f>
        <v/>
      </c>
      <c r="M542" s="12">
        <f>Raw_Data!M542</f>
        <v/>
      </c>
      <c r="N542" s="12">
        <f>Raw_Data!N542</f>
        <v/>
      </c>
      <c r="O542">
        <f>Raw_Data!O542</f>
        <v/>
      </c>
      <c r="P542">
        <f>Raw_Data!P542</f>
        <v/>
      </c>
      <c r="Q542">
        <f>YEAR(B542)</f>
        <v/>
      </c>
      <c r="R542">
        <f>TEXT(B542,"mmm")</f>
        <v/>
      </c>
      <c r="S542" s="15">
        <f>IFERROR(N542/L542,0)</f>
        <v/>
      </c>
    </row>
    <row r="543">
      <c r="A543">
        <f>Raw_Data!A543</f>
        <v/>
      </c>
      <c r="B543" s="11">
        <f>Raw_Data!B543</f>
        <v/>
      </c>
      <c r="C543">
        <f>Raw_Data!C543</f>
        <v/>
      </c>
      <c r="D543">
        <f>Raw_Data!D543</f>
        <v/>
      </c>
      <c r="E543">
        <f>Raw_Data!E543</f>
        <v/>
      </c>
      <c r="F543">
        <f>Raw_Data!F543</f>
        <v/>
      </c>
      <c r="G543">
        <f>Raw_Data!G543</f>
        <v/>
      </c>
      <c r="H543">
        <f>Raw_Data!H543</f>
        <v/>
      </c>
      <c r="I543">
        <f>Raw_Data!I543</f>
        <v/>
      </c>
      <c r="J543" s="12">
        <f>Raw_Data!J543</f>
        <v/>
      </c>
      <c r="K543" s="13">
        <f>Raw_Data!K543</f>
        <v/>
      </c>
      <c r="L543" s="12">
        <f>Raw_Data!L543</f>
        <v/>
      </c>
      <c r="M543" s="12">
        <f>Raw_Data!M543</f>
        <v/>
      </c>
      <c r="N543" s="12">
        <f>Raw_Data!N543</f>
        <v/>
      </c>
      <c r="O543">
        <f>Raw_Data!O543</f>
        <v/>
      </c>
      <c r="P543">
        <f>Raw_Data!P543</f>
        <v/>
      </c>
      <c r="Q543">
        <f>YEAR(B543)</f>
        <v/>
      </c>
      <c r="R543">
        <f>TEXT(B543,"mmm")</f>
        <v/>
      </c>
      <c r="S543" s="15">
        <f>IFERROR(N543/L543,0)</f>
        <v/>
      </c>
    </row>
    <row r="544">
      <c r="A544">
        <f>Raw_Data!A544</f>
        <v/>
      </c>
      <c r="B544" s="11">
        <f>Raw_Data!B544</f>
        <v/>
      </c>
      <c r="C544">
        <f>Raw_Data!C544</f>
        <v/>
      </c>
      <c r="D544">
        <f>Raw_Data!D544</f>
        <v/>
      </c>
      <c r="E544">
        <f>Raw_Data!E544</f>
        <v/>
      </c>
      <c r="F544">
        <f>Raw_Data!F544</f>
        <v/>
      </c>
      <c r="G544">
        <f>Raw_Data!G544</f>
        <v/>
      </c>
      <c r="H544">
        <f>Raw_Data!H544</f>
        <v/>
      </c>
      <c r="I544">
        <f>Raw_Data!I544</f>
        <v/>
      </c>
      <c r="J544" s="12">
        <f>Raw_Data!J544</f>
        <v/>
      </c>
      <c r="K544" s="13">
        <f>Raw_Data!K544</f>
        <v/>
      </c>
      <c r="L544" s="12">
        <f>Raw_Data!L544</f>
        <v/>
      </c>
      <c r="M544" s="12">
        <f>Raw_Data!M544</f>
        <v/>
      </c>
      <c r="N544" s="12">
        <f>Raw_Data!N544</f>
        <v/>
      </c>
      <c r="O544">
        <f>Raw_Data!O544</f>
        <v/>
      </c>
      <c r="P544">
        <f>Raw_Data!P544</f>
        <v/>
      </c>
      <c r="Q544">
        <f>YEAR(B544)</f>
        <v/>
      </c>
      <c r="R544">
        <f>TEXT(B544,"mmm")</f>
        <v/>
      </c>
      <c r="S544" s="15">
        <f>IFERROR(N544/L544,0)</f>
        <v/>
      </c>
    </row>
    <row r="545">
      <c r="A545">
        <f>Raw_Data!A545</f>
        <v/>
      </c>
      <c r="B545" s="11">
        <f>Raw_Data!B545</f>
        <v/>
      </c>
      <c r="C545">
        <f>Raw_Data!C545</f>
        <v/>
      </c>
      <c r="D545">
        <f>Raw_Data!D545</f>
        <v/>
      </c>
      <c r="E545">
        <f>Raw_Data!E545</f>
        <v/>
      </c>
      <c r="F545">
        <f>Raw_Data!F545</f>
        <v/>
      </c>
      <c r="G545">
        <f>Raw_Data!G545</f>
        <v/>
      </c>
      <c r="H545">
        <f>Raw_Data!H545</f>
        <v/>
      </c>
      <c r="I545">
        <f>Raw_Data!I545</f>
        <v/>
      </c>
      <c r="J545" s="12">
        <f>Raw_Data!J545</f>
        <v/>
      </c>
      <c r="K545" s="13">
        <f>Raw_Data!K545</f>
        <v/>
      </c>
      <c r="L545" s="12">
        <f>Raw_Data!L545</f>
        <v/>
      </c>
      <c r="M545" s="12">
        <f>Raw_Data!M545</f>
        <v/>
      </c>
      <c r="N545" s="12">
        <f>Raw_Data!N545</f>
        <v/>
      </c>
      <c r="O545">
        <f>Raw_Data!O545</f>
        <v/>
      </c>
      <c r="P545">
        <f>Raw_Data!P545</f>
        <v/>
      </c>
      <c r="Q545">
        <f>YEAR(B545)</f>
        <v/>
      </c>
      <c r="R545">
        <f>TEXT(B545,"mmm")</f>
        <v/>
      </c>
      <c r="S545" s="15">
        <f>IFERROR(N545/L545,0)</f>
        <v/>
      </c>
    </row>
    <row r="546">
      <c r="A546">
        <f>Raw_Data!A546</f>
        <v/>
      </c>
      <c r="B546" s="11">
        <f>Raw_Data!B546</f>
        <v/>
      </c>
      <c r="C546">
        <f>Raw_Data!C546</f>
        <v/>
      </c>
      <c r="D546">
        <f>Raw_Data!D546</f>
        <v/>
      </c>
      <c r="E546">
        <f>Raw_Data!E546</f>
        <v/>
      </c>
      <c r="F546">
        <f>Raw_Data!F546</f>
        <v/>
      </c>
      <c r="G546">
        <f>Raw_Data!G546</f>
        <v/>
      </c>
      <c r="H546">
        <f>Raw_Data!H546</f>
        <v/>
      </c>
      <c r="I546">
        <f>Raw_Data!I546</f>
        <v/>
      </c>
      <c r="J546" s="12">
        <f>Raw_Data!J546</f>
        <v/>
      </c>
      <c r="K546" s="13">
        <f>Raw_Data!K546</f>
        <v/>
      </c>
      <c r="L546" s="12">
        <f>Raw_Data!L546</f>
        <v/>
      </c>
      <c r="M546" s="12">
        <f>Raw_Data!M546</f>
        <v/>
      </c>
      <c r="N546" s="12">
        <f>Raw_Data!N546</f>
        <v/>
      </c>
      <c r="O546">
        <f>Raw_Data!O546</f>
        <v/>
      </c>
      <c r="P546">
        <f>Raw_Data!P546</f>
        <v/>
      </c>
      <c r="Q546">
        <f>YEAR(B546)</f>
        <v/>
      </c>
      <c r="R546">
        <f>TEXT(B546,"mmm")</f>
        <v/>
      </c>
      <c r="S546" s="15">
        <f>IFERROR(N546/L546,0)</f>
        <v/>
      </c>
    </row>
    <row r="547">
      <c r="A547">
        <f>Raw_Data!A547</f>
        <v/>
      </c>
      <c r="B547" s="11">
        <f>Raw_Data!B547</f>
        <v/>
      </c>
      <c r="C547">
        <f>Raw_Data!C547</f>
        <v/>
      </c>
      <c r="D547">
        <f>Raw_Data!D547</f>
        <v/>
      </c>
      <c r="E547">
        <f>Raw_Data!E547</f>
        <v/>
      </c>
      <c r="F547">
        <f>Raw_Data!F547</f>
        <v/>
      </c>
      <c r="G547">
        <f>Raw_Data!G547</f>
        <v/>
      </c>
      <c r="H547">
        <f>Raw_Data!H547</f>
        <v/>
      </c>
      <c r="I547">
        <f>Raw_Data!I547</f>
        <v/>
      </c>
      <c r="J547" s="12">
        <f>Raw_Data!J547</f>
        <v/>
      </c>
      <c r="K547" s="13">
        <f>Raw_Data!K547</f>
        <v/>
      </c>
      <c r="L547" s="12">
        <f>Raw_Data!L547</f>
        <v/>
      </c>
      <c r="M547" s="12">
        <f>Raw_Data!M547</f>
        <v/>
      </c>
      <c r="N547" s="12">
        <f>Raw_Data!N547</f>
        <v/>
      </c>
      <c r="O547">
        <f>Raw_Data!O547</f>
        <v/>
      </c>
      <c r="P547">
        <f>Raw_Data!P547</f>
        <v/>
      </c>
      <c r="Q547">
        <f>YEAR(B547)</f>
        <v/>
      </c>
      <c r="R547">
        <f>TEXT(B547,"mmm")</f>
        <v/>
      </c>
      <c r="S547" s="15">
        <f>IFERROR(N547/L547,0)</f>
        <v/>
      </c>
    </row>
    <row r="548">
      <c r="A548">
        <f>Raw_Data!A548</f>
        <v/>
      </c>
      <c r="B548" s="11">
        <f>Raw_Data!B548</f>
        <v/>
      </c>
      <c r="C548">
        <f>Raw_Data!C548</f>
        <v/>
      </c>
      <c r="D548">
        <f>Raw_Data!D548</f>
        <v/>
      </c>
      <c r="E548">
        <f>Raw_Data!E548</f>
        <v/>
      </c>
      <c r="F548">
        <f>Raw_Data!F548</f>
        <v/>
      </c>
      <c r="G548">
        <f>Raw_Data!G548</f>
        <v/>
      </c>
      <c r="H548">
        <f>Raw_Data!H548</f>
        <v/>
      </c>
      <c r="I548">
        <f>Raw_Data!I548</f>
        <v/>
      </c>
      <c r="J548" s="12">
        <f>Raw_Data!J548</f>
        <v/>
      </c>
      <c r="K548" s="13">
        <f>Raw_Data!K548</f>
        <v/>
      </c>
      <c r="L548" s="12">
        <f>Raw_Data!L548</f>
        <v/>
      </c>
      <c r="M548" s="12">
        <f>Raw_Data!M548</f>
        <v/>
      </c>
      <c r="N548" s="12">
        <f>Raw_Data!N548</f>
        <v/>
      </c>
      <c r="O548">
        <f>Raw_Data!O548</f>
        <v/>
      </c>
      <c r="P548">
        <f>Raw_Data!P548</f>
        <v/>
      </c>
      <c r="Q548">
        <f>YEAR(B548)</f>
        <v/>
      </c>
      <c r="R548">
        <f>TEXT(B548,"mmm")</f>
        <v/>
      </c>
      <c r="S548" s="15">
        <f>IFERROR(N548/L548,0)</f>
        <v/>
      </c>
    </row>
    <row r="549">
      <c r="A549">
        <f>Raw_Data!A549</f>
        <v/>
      </c>
      <c r="B549" s="11">
        <f>Raw_Data!B549</f>
        <v/>
      </c>
      <c r="C549">
        <f>Raw_Data!C549</f>
        <v/>
      </c>
      <c r="D549">
        <f>Raw_Data!D549</f>
        <v/>
      </c>
      <c r="E549">
        <f>Raw_Data!E549</f>
        <v/>
      </c>
      <c r="F549">
        <f>Raw_Data!F549</f>
        <v/>
      </c>
      <c r="G549">
        <f>Raw_Data!G549</f>
        <v/>
      </c>
      <c r="H549">
        <f>Raw_Data!H549</f>
        <v/>
      </c>
      <c r="I549">
        <f>Raw_Data!I549</f>
        <v/>
      </c>
      <c r="J549" s="12">
        <f>Raw_Data!J549</f>
        <v/>
      </c>
      <c r="K549" s="13">
        <f>Raw_Data!K549</f>
        <v/>
      </c>
      <c r="L549" s="12">
        <f>Raw_Data!L549</f>
        <v/>
      </c>
      <c r="M549" s="12">
        <f>Raw_Data!M549</f>
        <v/>
      </c>
      <c r="N549" s="12">
        <f>Raw_Data!N549</f>
        <v/>
      </c>
      <c r="O549">
        <f>Raw_Data!O549</f>
        <v/>
      </c>
      <c r="P549">
        <f>Raw_Data!P549</f>
        <v/>
      </c>
      <c r="Q549">
        <f>YEAR(B549)</f>
        <v/>
      </c>
      <c r="R549">
        <f>TEXT(B549,"mmm")</f>
        <v/>
      </c>
      <c r="S549" s="15">
        <f>IFERROR(N549/L549,0)</f>
        <v/>
      </c>
    </row>
    <row r="550">
      <c r="A550">
        <f>Raw_Data!A550</f>
        <v/>
      </c>
      <c r="B550" s="11">
        <f>Raw_Data!B550</f>
        <v/>
      </c>
      <c r="C550">
        <f>Raw_Data!C550</f>
        <v/>
      </c>
      <c r="D550">
        <f>Raw_Data!D550</f>
        <v/>
      </c>
      <c r="E550">
        <f>Raw_Data!E550</f>
        <v/>
      </c>
      <c r="F550">
        <f>Raw_Data!F550</f>
        <v/>
      </c>
      <c r="G550">
        <f>Raw_Data!G550</f>
        <v/>
      </c>
      <c r="H550">
        <f>Raw_Data!H550</f>
        <v/>
      </c>
      <c r="I550">
        <f>Raw_Data!I550</f>
        <v/>
      </c>
      <c r="J550" s="12">
        <f>Raw_Data!J550</f>
        <v/>
      </c>
      <c r="K550" s="13">
        <f>Raw_Data!K550</f>
        <v/>
      </c>
      <c r="L550" s="12">
        <f>Raw_Data!L550</f>
        <v/>
      </c>
      <c r="M550" s="12">
        <f>Raw_Data!M550</f>
        <v/>
      </c>
      <c r="N550" s="12">
        <f>Raw_Data!N550</f>
        <v/>
      </c>
      <c r="O550">
        <f>Raw_Data!O550</f>
        <v/>
      </c>
      <c r="P550">
        <f>Raw_Data!P550</f>
        <v/>
      </c>
      <c r="Q550">
        <f>YEAR(B550)</f>
        <v/>
      </c>
      <c r="R550">
        <f>TEXT(B550,"mmm")</f>
        <v/>
      </c>
      <c r="S550" s="15">
        <f>IFERROR(N550/L550,0)</f>
        <v/>
      </c>
    </row>
    <row r="551">
      <c r="A551">
        <f>Raw_Data!A551</f>
        <v/>
      </c>
      <c r="B551" s="11">
        <f>Raw_Data!B551</f>
        <v/>
      </c>
      <c r="C551">
        <f>Raw_Data!C551</f>
        <v/>
      </c>
      <c r="D551">
        <f>Raw_Data!D551</f>
        <v/>
      </c>
      <c r="E551">
        <f>Raw_Data!E551</f>
        <v/>
      </c>
      <c r="F551">
        <f>Raw_Data!F551</f>
        <v/>
      </c>
      <c r="G551">
        <f>Raw_Data!G551</f>
        <v/>
      </c>
      <c r="H551">
        <f>Raw_Data!H551</f>
        <v/>
      </c>
      <c r="I551">
        <f>Raw_Data!I551</f>
        <v/>
      </c>
      <c r="J551" s="12">
        <f>Raw_Data!J551</f>
        <v/>
      </c>
      <c r="K551" s="13">
        <f>Raw_Data!K551</f>
        <v/>
      </c>
      <c r="L551" s="12">
        <f>Raw_Data!L551</f>
        <v/>
      </c>
      <c r="M551" s="12">
        <f>Raw_Data!M551</f>
        <v/>
      </c>
      <c r="N551" s="12">
        <f>Raw_Data!N551</f>
        <v/>
      </c>
      <c r="O551">
        <f>Raw_Data!O551</f>
        <v/>
      </c>
      <c r="P551">
        <f>Raw_Data!P551</f>
        <v/>
      </c>
      <c r="Q551">
        <f>YEAR(B551)</f>
        <v/>
      </c>
      <c r="R551">
        <f>TEXT(B551,"mmm")</f>
        <v/>
      </c>
      <c r="S551" s="15">
        <f>IFERROR(N551/L551,0)</f>
        <v/>
      </c>
    </row>
    <row r="552">
      <c r="A552">
        <f>Raw_Data!A552</f>
        <v/>
      </c>
      <c r="B552" s="11">
        <f>Raw_Data!B552</f>
        <v/>
      </c>
      <c r="C552">
        <f>Raw_Data!C552</f>
        <v/>
      </c>
      <c r="D552">
        <f>Raw_Data!D552</f>
        <v/>
      </c>
      <c r="E552">
        <f>Raw_Data!E552</f>
        <v/>
      </c>
      <c r="F552">
        <f>Raw_Data!F552</f>
        <v/>
      </c>
      <c r="G552">
        <f>Raw_Data!G552</f>
        <v/>
      </c>
      <c r="H552">
        <f>Raw_Data!H552</f>
        <v/>
      </c>
      <c r="I552">
        <f>Raw_Data!I552</f>
        <v/>
      </c>
      <c r="J552" s="12">
        <f>Raw_Data!J552</f>
        <v/>
      </c>
      <c r="K552" s="13">
        <f>Raw_Data!K552</f>
        <v/>
      </c>
      <c r="L552" s="12">
        <f>Raw_Data!L552</f>
        <v/>
      </c>
      <c r="M552" s="12">
        <f>Raw_Data!M552</f>
        <v/>
      </c>
      <c r="N552" s="12">
        <f>Raw_Data!N552</f>
        <v/>
      </c>
      <c r="O552">
        <f>Raw_Data!O552</f>
        <v/>
      </c>
      <c r="P552">
        <f>Raw_Data!P552</f>
        <v/>
      </c>
      <c r="Q552">
        <f>YEAR(B552)</f>
        <v/>
      </c>
      <c r="R552">
        <f>TEXT(B552,"mmm")</f>
        <v/>
      </c>
      <c r="S552" s="15">
        <f>IFERROR(N552/L552,0)</f>
        <v/>
      </c>
    </row>
    <row r="553">
      <c r="A553">
        <f>Raw_Data!A553</f>
        <v/>
      </c>
      <c r="B553" s="11">
        <f>Raw_Data!B553</f>
        <v/>
      </c>
      <c r="C553">
        <f>Raw_Data!C553</f>
        <v/>
      </c>
      <c r="D553">
        <f>Raw_Data!D553</f>
        <v/>
      </c>
      <c r="E553">
        <f>Raw_Data!E553</f>
        <v/>
      </c>
      <c r="F553">
        <f>Raw_Data!F553</f>
        <v/>
      </c>
      <c r="G553">
        <f>Raw_Data!G553</f>
        <v/>
      </c>
      <c r="H553">
        <f>Raw_Data!H553</f>
        <v/>
      </c>
      <c r="I553">
        <f>Raw_Data!I553</f>
        <v/>
      </c>
      <c r="J553" s="12">
        <f>Raw_Data!J553</f>
        <v/>
      </c>
      <c r="K553" s="13">
        <f>Raw_Data!K553</f>
        <v/>
      </c>
      <c r="L553" s="12">
        <f>Raw_Data!L553</f>
        <v/>
      </c>
      <c r="M553" s="12">
        <f>Raw_Data!M553</f>
        <v/>
      </c>
      <c r="N553" s="12">
        <f>Raw_Data!N553</f>
        <v/>
      </c>
      <c r="O553">
        <f>Raw_Data!O553</f>
        <v/>
      </c>
      <c r="P553">
        <f>Raw_Data!P553</f>
        <v/>
      </c>
      <c r="Q553">
        <f>YEAR(B553)</f>
        <v/>
      </c>
      <c r="R553">
        <f>TEXT(B553,"mmm")</f>
        <v/>
      </c>
      <c r="S553" s="15">
        <f>IFERROR(N553/L553,0)</f>
        <v/>
      </c>
    </row>
    <row r="554">
      <c r="A554">
        <f>Raw_Data!A554</f>
        <v/>
      </c>
      <c r="B554" s="11">
        <f>Raw_Data!B554</f>
        <v/>
      </c>
      <c r="C554">
        <f>Raw_Data!C554</f>
        <v/>
      </c>
      <c r="D554">
        <f>Raw_Data!D554</f>
        <v/>
      </c>
      <c r="E554">
        <f>Raw_Data!E554</f>
        <v/>
      </c>
      <c r="F554">
        <f>Raw_Data!F554</f>
        <v/>
      </c>
      <c r="G554">
        <f>Raw_Data!G554</f>
        <v/>
      </c>
      <c r="H554">
        <f>Raw_Data!H554</f>
        <v/>
      </c>
      <c r="I554">
        <f>Raw_Data!I554</f>
        <v/>
      </c>
      <c r="J554" s="12">
        <f>Raw_Data!J554</f>
        <v/>
      </c>
      <c r="K554" s="13">
        <f>Raw_Data!K554</f>
        <v/>
      </c>
      <c r="L554" s="12">
        <f>Raw_Data!L554</f>
        <v/>
      </c>
      <c r="M554" s="12">
        <f>Raw_Data!M554</f>
        <v/>
      </c>
      <c r="N554" s="12">
        <f>Raw_Data!N554</f>
        <v/>
      </c>
      <c r="O554">
        <f>Raw_Data!O554</f>
        <v/>
      </c>
      <c r="P554">
        <f>Raw_Data!P554</f>
        <v/>
      </c>
      <c r="Q554">
        <f>YEAR(B554)</f>
        <v/>
      </c>
      <c r="R554">
        <f>TEXT(B554,"mmm")</f>
        <v/>
      </c>
      <c r="S554" s="15">
        <f>IFERROR(N554/L554,0)</f>
        <v/>
      </c>
    </row>
    <row r="555">
      <c r="A555">
        <f>Raw_Data!A555</f>
        <v/>
      </c>
      <c r="B555" s="11">
        <f>Raw_Data!B555</f>
        <v/>
      </c>
      <c r="C555">
        <f>Raw_Data!C555</f>
        <v/>
      </c>
      <c r="D555">
        <f>Raw_Data!D555</f>
        <v/>
      </c>
      <c r="E555">
        <f>Raw_Data!E555</f>
        <v/>
      </c>
      <c r="F555">
        <f>Raw_Data!F555</f>
        <v/>
      </c>
      <c r="G555">
        <f>Raw_Data!G555</f>
        <v/>
      </c>
      <c r="H555">
        <f>Raw_Data!H555</f>
        <v/>
      </c>
      <c r="I555">
        <f>Raw_Data!I555</f>
        <v/>
      </c>
      <c r="J555" s="12">
        <f>Raw_Data!J555</f>
        <v/>
      </c>
      <c r="K555" s="13">
        <f>Raw_Data!K555</f>
        <v/>
      </c>
      <c r="L555" s="12">
        <f>Raw_Data!L555</f>
        <v/>
      </c>
      <c r="M555" s="12">
        <f>Raw_Data!M555</f>
        <v/>
      </c>
      <c r="N555" s="12">
        <f>Raw_Data!N555</f>
        <v/>
      </c>
      <c r="O555">
        <f>Raw_Data!O555</f>
        <v/>
      </c>
      <c r="P555">
        <f>Raw_Data!P555</f>
        <v/>
      </c>
      <c r="Q555">
        <f>YEAR(B555)</f>
        <v/>
      </c>
      <c r="R555">
        <f>TEXT(B555,"mmm")</f>
        <v/>
      </c>
      <c r="S555" s="15">
        <f>IFERROR(N555/L555,0)</f>
        <v/>
      </c>
    </row>
    <row r="556">
      <c r="A556">
        <f>Raw_Data!A556</f>
        <v/>
      </c>
      <c r="B556" s="11">
        <f>Raw_Data!B556</f>
        <v/>
      </c>
      <c r="C556">
        <f>Raw_Data!C556</f>
        <v/>
      </c>
      <c r="D556">
        <f>Raw_Data!D556</f>
        <v/>
      </c>
      <c r="E556">
        <f>Raw_Data!E556</f>
        <v/>
      </c>
      <c r="F556">
        <f>Raw_Data!F556</f>
        <v/>
      </c>
      <c r="G556">
        <f>Raw_Data!G556</f>
        <v/>
      </c>
      <c r="H556">
        <f>Raw_Data!H556</f>
        <v/>
      </c>
      <c r="I556">
        <f>Raw_Data!I556</f>
        <v/>
      </c>
      <c r="J556" s="12">
        <f>Raw_Data!J556</f>
        <v/>
      </c>
      <c r="K556" s="13">
        <f>Raw_Data!K556</f>
        <v/>
      </c>
      <c r="L556" s="12">
        <f>Raw_Data!L556</f>
        <v/>
      </c>
      <c r="M556" s="12">
        <f>Raw_Data!M556</f>
        <v/>
      </c>
      <c r="N556" s="12">
        <f>Raw_Data!N556</f>
        <v/>
      </c>
      <c r="O556">
        <f>Raw_Data!O556</f>
        <v/>
      </c>
      <c r="P556">
        <f>Raw_Data!P556</f>
        <v/>
      </c>
      <c r="Q556">
        <f>YEAR(B556)</f>
        <v/>
      </c>
      <c r="R556">
        <f>TEXT(B556,"mmm")</f>
        <v/>
      </c>
      <c r="S556" s="15">
        <f>IFERROR(N556/L556,0)</f>
        <v/>
      </c>
    </row>
    <row r="557">
      <c r="A557">
        <f>Raw_Data!A557</f>
        <v/>
      </c>
      <c r="B557" s="11">
        <f>Raw_Data!B557</f>
        <v/>
      </c>
      <c r="C557">
        <f>Raw_Data!C557</f>
        <v/>
      </c>
      <c r="D557">
        <f>Raw_Data!D557</f>
        <v/>
      </c>
      <c r="E557">
        <f>Raw_Data!E557</f>
        <v/>
      </c>
      <c r="F557">
        <f>Raw_Data!F557</f>
        <v/>
      </c>
      <c r="G557">
        <f>Raw_Data!G557</f>
        <v/>
      </c>
      <c r="H557">
        <f>Raw_Data!H557</f>
        <v/>
      </c>
      <c r="I557">
        <f>Raw_Data!I557</f>
        <v/>
      </c>
      <c r="J557" s="12">
        <f>Raw_Data!J557</f>
        <v/>
      </c>
      <c r="K557" s="13">
        <f>Raw_Data!K557</f>
        <v/>
      </c>
      <c r="L557" s="12">
        <f>Raw_Data!L557</f>
        <v/>
      </c>
      <c r="M557" s="12">
        <f>Raw_Data!M557</f>
        <v/>
      </c>
      <c r="N557" s="12">
        <f>Raw_Data!N557</f>
        <v/>
      </c>
      <c r="O557">
        <f>Raw_Data!O557</f>
        <v/>
      </c>
      <c r="P557">
        <f>Raw_Data!P557</f>
        <v/>
      </c>
      <c r="Q557">
        <f>YEAR(B557)</f>
        <v/>
      </c>
      <c r="R557">
        <f>TEXT(B557,"mmm")</f>
        <v/>
      </c>
      <c r="S557" s="15">
        <f>IFERROR(N557/L557,0)</f>
        <v/>
      </c>
    </row>
    <row r="558">
      <c r="A558">
        <f>Raw_Data!A558</f>
        <v/>
      </c>
      <c r="B558" s="11">
        <f>Raw_Data!B558</f>
        <v/>
      </c>
      <c r="C558">
        <f>Raw_Data!C558</f>
        <v/>
      </c>
      <c r="D558">
        <f>Raw_Data!D558</f>
        <v/>
      </c>
      <c r="E558">
        <f>Raw_Data!E558</f>
        <v/>
      </c>
      <c r="F558">
        <f>Raw_Data!F558</f>
        <v/>
      </c>
      <c r="G558">
        <f>Raw_Data!G558</f>
        <v/>
      </c>
      <c r="H558">
        <f>Raw_Data!H558</f>
        <v/>
      </c>
      <c r="I558">
        <f>Raw_Data!I558</f>
        <v/>
      </c>
      <c r="J558" s="12">
        <f>Raw_Data!J558</f>
        <v/>
      </c>
      <c r="K558" s="13">
        <f>Raw_Data!K558</f>
        <v/>
      </c>
      <c r="L558" s="12">
        <f>Raw_Data!L558</f>
        <v/>
      </c>
      <c r="M558" s="12">
        <f>Raw_Data!M558</f>
        <v/>
      </c>
      <c r="N558" s="12">
        <f>Raw_Data!N558</f>
        <v/>
      </c>
      <c r="O558">
        <f>Raw_Data!O558</f>
        <v/>
      </c>
      <c r="P558">
        <f>Raw_Data!P558</f>
        <v/>
      </c>
      <c r="Q558">
        <f>YEAR(B558)</f>
        <v/>
      </c>
      <c r="R558">
        <f>TEXT(B558,"mmm")</f>
        <v/>
      </c>
      <c r="S558" s="15">
        <f>IFERROR(N558/L558,0)</f>
        <v/>
      </c>
    </row>
    <row r="559">
      <c r="A559">
        <f>Raw_Data!A559</f>
        <v/>
      </c>
      <c r="B559" s="11">
        <f>Raw_Data!B559</f>
        <v/>
      </c>
      <c r="C559">
        <f>Raw_Data!C559</f>
        <v/>
      </c>
      <c r="D559">
        <f>Raw_Data!D559</f>
        <v/>
      </c>
      <c r="E559">
        <f>Raw_Data!E559</f>
        <v/>
      </c>
      <c r="F559">
        <f>Raw_Data!F559</f>
        <v/>
      </c>
      <c r="G559">
        <f>Raw_Data!G559</f>
        <v/>
      </c>
      <c r="H559">
        <f>Raw_Data!H559</f>
        <v/>
      </c>
      <c r="I559">
        <f>Raw_Data!I559</f>
        <v/>
      </c>
      <c r="J559" s="12">
        <f>Raw_Data!J559</f>
        <v/>
      </c>
      <c r="K559" s="13">
        <f>Raw_Data!K559</f>
        <v/>
      </c>
      <c r="L559" s="12">
        <f>Raw_Data!L559</f>
        <v/>
      </c>
      <c r="M559" s="12">
        <f>Raw_Data!M559</f>
        <v/>
      </c>
      <c r="N559" s="12">
        <f>Raw_Data!N559</f>
        <v/>
      </c>
      <c r="O559">
        <f>Raw_Data!O559</f>
        <v/>
      </c>
      <c r="P559">
        <f>Raw_Data!P559</f>
        <v/>
      </c>
      <c r="Q559">
        <f>YEAR(B559)</f>
        <v/>
      </c>
      <c r="R559">
        <f>TEXT(B559,"mmm")</f>
        <v/>
      </c>
      <c r="S559" s="15">
        <f>IFERROR(N559/L559,0)</f>
        <v/>
      </c>
    </row>
    <row r="560">
      <c r="A560">
        <f>Raw_Data!A560</f>
        <v/>
      </c>
      <c r="B560" s="11">
        <f>Raw_Data!B560</f>
        <v/>
      </c>
      <c r="C560">
        <f>Raw_Data!C560</f>
        <v/>
      </c>
      <c r="D560">
        <f>Raw_Data!D560</f>
        <v/>
      </c>
      <c r="E560">
        <f>Raw_Data!E560</f>
        <v/>
      </c>
      <c r="F560">
        <f>Raw_Data!F560</f>
        <v/>
      </c>
      <c r="G560">
        <f>Raw_Data!G560</f>
        <v/>
      </c>
      <c r="H560">
        <f>Raw_Data!H560</f>
        <v/>
      </c>
      <c r="I560">
        <f>Raw_Data!I560</f>
        <v/>
      </c>
      <c r="J560" s="12">
        <f>Raw_Data!J560</f>
        <v/>
      </c>
      <c r="K560" s="13">
        <f>Raw_Data!K560</f>
        <v/>
      </c>
      <c r="L560" s="12">
        <f>Raw_Data!L560</f>
        <v/>
      </c>
      <c r="M560" s="12">
        <f>Raw_Data!M560</f>
        <v/>
      </c>
      <c r="N560" s="12">
        <f>Raw_Data!N560</f>
        <v/>
      </c>
      <c r="O560">
        <f>Raw_Data!O560</f>
        <v/>
      </c>
      <c r="P560">
        <f>Raw_Data!P560</f>
        <v/>
      </c>
      <c r="Q560">
        <f>YEAR(B560)</f>
        <v/>
      </c>
      <c r="R560">
        <f>TEXT(B560,"mmm")</f>
        <v/>
      </c>
      <c r="S560" s="15">
        <f>IFERROR(N560/L560,0)</f>
        <v/>
      </c>
    </row>
    <row r="561">
      <c r="A561">
        <f>Raw_Data!A561</f>
        <v/>
      </c>
      <c r="B561" s="11">
        <f>Raw_Data!B561</f>
        <v/>
      </c>
      <c r="C561">
        <f>Raw_Data!C561</f>
        <v/>
      </c>
      <c r="D561">
        <f>Raw_Data!D561</f>
        <v/>
      </c>
      <c r="E561">
        <f>Raw_Data!E561</f>
        <v/>
      </c>
      <c r="F561">
        <f>Raw_Data!F561</f>
        <v/>
      </c>
      <c r="G561">
        <f>Raw_Data!G561</f>
        <v/>
      </c>
      <c r="H561">
        <f>Raw_Data!H561</f>
        <v/>
      </c>
      <c r="I561">
        <f>Raw_Data!I561</f>
        <v/>
      </c>
      <c r="J561" s="12">
        <f>Raw_Data!J561</f>
        <v/>
      </c>
      <c r="K561" s="13">
        <f>Raw_Data!K561</f>
        <v/>
      </c>
      <c r="L561" s="12">
        <f>Raw_Data!L561</f>
        <v/>
      </c>
      <c r="M561" s="12">
        <f>Raw_Data!M561</f>
        <v/>
      </c>
      <c r="N561" s="12">
        <f>Raw_Data!N561</f>
        <v/>
      </c>
      <c r="O561">
        <f>Raw_Data!O561</f>
        <v/>
      </c>
      <c r="P561">
        <f>Raw_Data!P561</f>
        <v/>
      </c>
      <c r="Q561">
        <f>YEAR(B561)</f>
        <v/>
      </c>
      <c r="R561">
        <f>TEXT(B561,"mmm")</f>
        <v/>
      </c>
      <c r="S561" s="15">
        <f>IFERROR(N561/L561,0)</f>
        <v/>
      </c>
    </row>
    <row r="562">
      <c r="A562">
        <f>Raw_Data!A562</f>
        <v/>
      </c>
      <c r="B562" s="11">
        <f>Raw_Data!B562</f>
        <v/>
      </c>
      <c r="C562">
        <f>Raw_Data!C562</f>
        <v/>
      </c>
      <c r="D562">
        <f>Raw_Data!D562</f>
        <v/>
      </c>
      <c r="E562">
        <f>Raw_Data!E562</f>
        <v/>
      </c>
      <c r="F562">
        <f>Raw_Data!F562</f>
        <v/>
      </c>
      <c r="G562">
        <f>Raw_Data!G562</f>
        <v/>
      </c>
      <c r="H562">
        <f>Raw_Data!H562</f>
        <v/>
      </c>
      <c r="I562">
        <f>Raw_Data!I562</f>
        <v/>
      </c>
      <c r="J562" s="12">
        <f>Raw_Data!J562</f>
        <v/>
      </c>
      <c r="K562" s="13">
        <f>Raw_Data!K562</f>
        <v/>
      </c>
      <c r="L562" s="12">
        <f>Raw_Data!L562</f>
        <v/>
      </c>
      <c r="M562" s="12">
        <f>Raw_Data!M562</f>
        <v/>
      </c>
      <c r="N562" s="12">
        <f>Raw_Data!N562</f>
        <v/>
      </c>
      <c r="O562">
        <f>Raw_Data!O562</f>
        <v/>
      </c>
      <c r="P562">
        <f>Raw_Data!P562</f>
        <v/>
      </c>
      <c r="Q562">
        <f>YEAR(B562)</f>
        <v/>
      </c>
      <c r="R562">
        <f>TEXT(B562,"mmm")</f>
        <v/>
      </c>
      <c r="S562" s="15">
        <f>IFERROR(N562/L562,0)</f>
        <v/>
      </c>
    </row>
    <row r="563">
      <c r="A563">
        <f>Raw_Data!A563</f>
        <v/>
      </c>
      <c r="B563" s="11">
        <f>Raw_Data!B563</f>
        <v/>
      </c>
      <c r="C563">
        <f>Raw_Data!C563</f>
        <v/>
      </c>
      <c r="D563">
        <f>Raw_Data!D563</f>
        <v/>
      </c>
      <c r="E563">
        <f>Raw_Data!E563</f>
        <v/>
      </c>
      <c r="F563">
        <f>Raw_Data!F563</f>
        <v/>
      </c>
      <c r="G563">
        <f>Raw_Data!G563</f>
        <v/>
      </c>
      <c r="H563">
        <f>Raw_Data!H563</f>
        <v/>
      </c>
      <c r="I563">
        <f>Raw_Data!I563</f>
        <v/>
      </c>
      <c r="J563" s="12">
        <f>Raw_Data!J563</f>
        <v/>
      </c>
      <c r="K563" s="13">
        <f>Raw_Data!K563</f>
        <v/>
      </c>
      <c r="L563" s="12">
        <f>Raw_Data!L563</f>
        <v/>
      </c>
      <c r="M563" s="12">
        <f>Raw_Data!M563</f>
        <v/>
      </c>
      <c r="N563" s="12">
        <f>Raw_Data!N563</f>
        <v/>
      </c>
      <c r="O563">
        <f>Raw_Data!O563</f>
        <v/>
      </c>
      <c r="P563">
        <f>Raw_Data!P563</f>
        <v/>
      </c>
      <c r="Q563">
        <f>YEAR(B563)</f>
        <v/>
      </c>
      <c r="R563">
        <f>TEXT(B563,"mmm")</f>
        <v/>
      </c>
      <c r="S563" s="15">
        <f>IFERROR(N563/L563,0)</f>
        <v/>
      </c>
    </row>
    <row r="564">
      <c r="A564">
        <f>Raw_Data!A564</f>
        <v/>
      </c>
      <c r="B564" s="11">
        <f>Raw_Data!B564</f>
        <v/>
      </c>
      <c r="C564">
        <f>Raw_Data!C564</f>
        <v/>
      </c>
      <c r="D564">
        <f>Raw_Data!D564</f>
        <v/>
      </c>
      <c r="E564">
        <f>Raw_Data!E564</f>
        <v/>
      </c>
      <c r="F564">
        <f>Raw_Data!F564</f>
        <v/>
      </c>
      <c r="G564">
        <f>Raw_Data!G564</f>
        <v/>
      </c>
      <c r="H564">
        <f>Raw_Data!H564</f>
        <v/>
      </c>
      <c r="I564">
        <f>Raw_Data!I564</f>
        <v/>
      </c>
      <c r="J564" s="12">
        <f>Raw_Data!J564</f>
        <v/>
      </c>
      <c r="K564" s="13">
        <f>Raw_Data!K564</f>
        <v/>
      </c>
      <c r="L564" s="12">
        <f>Raw_Data!L564</f>
        <v/>
      </c>
      <c r="M564" s="12">
        <f>Raw_Data!M564</f>
        <v/>
      </c>
      <c r="N564" s="12">
        <f>Raw_Data!N564</f>
        <v/>
      </c>
      <c r="O564">
        <f>Raw_Data!O564</f>
        <v/>
      </c>
      <c r="P564">
        <f>Raw_Data!P564</f>
        <v/>
      </c>
      <c r="Q564">
        <f>YEAR(B564)</f>
        <v/>
      </c>
      <c r="R564">
        <f>TEXT(B564,"mmm")</f>
        <v/>
      </c>
      <c r="S564" s="15">
        <f>IFERROR(N564/L564,0)</f>
        <v/>
      </c>
    </row>
    <row r="565">
      <c r="A565">
        <f>Raw_Data!A565</f>
        <v/>
      </c>
      <c r="B565" s="11">
        <f>Raw_Data!B565</f>
        <v/>
      </c>
      <c r="C565">
        <f>Raw_Data!C565</f>
        <v/>
      </c>
      <c r="D565">
        <f>Raw_Data!D565</f>
        <v/>
      </c>
      <c r="E565">
        <f>Raw_Data!E565</f>
        <v/>
      </c>
      <c r="F565">
        <f>Raw_Data!F565</f>
        <v/>
      </c>
      <c r="G565">
        <f>Raw_Data!G565</f>
        <v/>
      </c>
      <c r="H565">
        <f>Raw_Data!H565</f>
        <v/>
      </c>
      <c r="I565">
        <f>Raw_Data!I565</f>
        <v/>
      </c>
      <c r="J565" s="12">
        <f>Raw_Data!J565</f>
        <v/>
      </c>
      <c r="K565" s="13">
        <f>Raw_Data!K565</f>
        <v/>
      </c>
      <c r="L565" s="12">
        <f>Raw_Data!L565</f>
        <v/>
      </c>
      <c r="M565" s="12">
        <f>Raw_Data!M565</f>
        <v/>
      </c>
      <c r="N565" s="12">
        <f>Raw_Data!N565</f>
        <v/>
      </c>
      <c r="O565">
        <f>Raw_Data!O565</f>
        <v/>
      </c>
      <c r="P565">
        <f>Raw_Data!P565</f>
        <v/>
      </c>
      <c r="Q565">
        <f>YEAR(B565)</f>
        <v/>
      </c>
      <c r="R565">
        <f>TEXT(B565,"mmm")</f>
        <v/>
      </c>
      <c r="S565" s="15">
        <f>IFERROR(N565/L565,0)</f>
        <v/>
      </c>
    </row>
    <row r="566">
      <c r="A566">
        <f>Raw_Data!A566</f>
        <v/>
      </c>
      <c r="B566" s="11">
        <f>Raw_Data!B566</f>
        <v/>
      </c>
      <c r="C566">
        <f>Raw_Data!C566</f>
        <v/>
      </c>
      <c r="D566">
        <f>Raw_Data!D566</f>
        <v/>
      </c>
      <c r="E566">
        <f>Raw_Data!E566</f>
        <v/>
      </c>
      <c r="F566">
        <f>Raw_Data!F566</f>
        <v/>
      </c>
      <c r="G566">
        <f>Raw_Data!G566</f>
        <v/>
      </c>
      <c r="H566">
        <f>Raw_Data!H566</f>
        <v/>
      </c>
      <c r="I566">
        <f>Raw_Data!I566</f>
        <v/>
      </c>
      <c r="J566" s="12">
        <f>Raw_Data!J566</f>
        <v/>
      </c>
      <c r="K566" s="13">
        <f>Raw_Data!K566</f>
        <v/>
      </c>
      <c r="L566" s="12">
        <f>Raw_Data!L566</f>
        <v/>
      </c>
      <c r="M566" s="12">
        <f>Raw_Data!M566</f>
        <v/>
      </c>
      <c r="N566" s="12">
        <f>Raw_Data!N566</f>
        <v/>
      </c>
      <c r="O566">
        <f>Raw_Data!O566</f>
        <v/>
      </c>
      <c r="P566">
        <f>Raw_Data!P566</f>
        <v/>
      </c>
      <c r="Q566">
        <f>YEAR(B566)</f>
        <v/>
      </c>
      <c r="R566">
        <f>TEXT(B566,"mmm")</f>
        <v/>
      </c>
      <c r="S566" s="15">
        <f>IFERROR(N566/L566,0)</f>
        <v/>
      </c>
    </row>
    <row r="567">
      <c r="A567">
        <f>Raw_Data!A567</f>
        <v/>
      </c>
      <c r="B567" s="11">
        <f>Raw_Data!B567</f>
        <v/>
      </c>
      <c r="C567">
        <f>Raw_Data!C567</f>
        <v/>
      </c>
      <c r="D567">
        <f>Raw_Data!D567</f>
        <v/>
      </c>
      <c r="E567">
        <f>Raw_Data!E567</f>
        <v/>
      </c>
      <c r="F567">
        <f>Raw_Data!F567</f>
        <v/>
      </c>
      <c r="G567">
        <f>Raw_Data!G567</f>
        <v/>
      </c>
      <c r="H567">
        <f>Raw_Data!H567</f>
        <v/>
      </c>
      <c r="I567">
        <f>Raw_Data!I567</f>
        <v/>
      </c>
      <c r="J567" s="12">
        <f>Raw_Data!J567</f>
        <v/>
      </c>
      <c r="K567" s="13">
        <f>Raw_Data!K567</f>
        <v/>
      </c>
      <c r="L567" s="12">
        <f>Raw_Data!L567</f>
        <v/>
      </c>
      <c r="M567" s="12">
        <f>Raw_Data!M567</f>
        <v/>
      </c>
      <c r="N567" s="12">
        <f>Raw_Data!N567</f>
        <v/>
      </c>
      <c r="O567">
        <f>Raw_Data!O567</f>
        <v/>
      </c>
      <c r="P567">
        <f>Raw_Data!P567</f>
        <v/>
      </c>
      <c r="Q567">
        <f>YEAR(B567)</f>
        <v/>
      </c>
      <c r="R567">
        <f>TEXT(B567,"mmm")</f>
        <v/>
      </c>
      <c r="S567" s="15">
        <f>IFERROR(N567/L567,0)</f>
        <v/>
      </c>
    </row>
    <row r="568">
      <c r="A568">
        <f>Raw_Data!A568</f>
        <v/>
      </c>
      <c r="B568" s="11">
        <f>Raw_Data!B568</f>
        <v/>
      </c>
      <c r="C568">
        <f>Raw_Data!C568</f>
        <v/>
      </c>
      <c r="D568">
        <f>Raw_Data!D568</f>
        <v/>
      </c>
      <c r="E568">
        <f>Raw_Data!E568</f>
        <v/>
      </c>
      <c r="F568">
        <f>Raw_Data!F568</f>
        <v/>
      </c>
      <c r="G568">
        <f>Raw_Data!G568</f>
        <v/>
      </c>
      <c r="H568">
        <f>Raw_Data!H568</f>
        <v/>
      </c>
      <c r="I568">
        <f>Raw_Data!I568</f>
        <v/>
      </c>
      <c r="J568" s="12">
        <f>Raw_Data!J568</f>
        <v/>
      </c>
      <c r="K568" s="13">
        <f>Raw_Data!K568</f>
        <v/>
      </c>
      <c r="L568" s="12">
        <f>Raw_Data!L568</f>
        <v/>
      </c>
      <c r="M568" s="12">
        <f>Raw_Data!M568</f>
        <v/>
      </c>
      <c r="N568" s="12">
        <f>Raw_Data!N568</f>
        <v/>
      </c>
      <c r="O568">
        <f>Raw_Data!O568</f>
        <v/>
      </c>
      <c r="P568">
        <f>Raw_Data!P568</f>
        <v/>
      </c>
      <c r="Q568">
        <f>YEAR(B568)</f>
        <v/>
      </c>
      <c r="R568">
        <f>TEXT(B568,"mmm")</f>
        <v/>
      </c>
      <c r="S568" s="15">
        <f>IFERROR(N568/L568,0)</f>
        <v/>
      </c>
    </row>
    <row r="569">
      <c r="A569">
        <f>Raw_Data!A569</f>
        <v/>
      </c>
      <c r="B569" s="11">
        <f>Raw_Data!B569</f>
        <v/>
      </c>
      <c r="C569">
        <f>Raw_Data!C569</f>
        <v/>
      </c>
      <c r="D569">
        <f>Raw_Data!D569</f>
        <v/>
      </c>
      <c r="E569">
        <f>Raw_Data!E569</f>
        <v/>
      </c>
      <c r="F569">
        <f>Raw_Data!F569</f>
        <v/>
      </c>
      <c r="G569">
        <f>Raw_Data!G569</f>
        <v/>
      </c>
      <c r="H569">
        <f>Raw_Data!H569</f>
        <v/>
      </c>
      <c r="I569">
        <f>Raw_Data!I569</f>
        <v/>
      </c>
      <c r="J569" s="12">
        <f>Raw_Data!J569</f>
        <v/>
      </c>
      <c r="K569" s="13">
        <f>Raw_Data!K569</f>
        <v/>
      </c>
      <c r="L569" s="12">
        <f>Raw_Data!L569</f>
        <v/>
      </c>
      <c r="M569" s="12">
        <f>Raw_Data!M569</f>
        <v/>
      </c>
      <c r="N569" s="12">
        <f>Raw_Data!N569</f>
        <v/>
      </c>
      <c r="O569">
        <f>Raw_Data!O569</f>
        <v/>
      </c>
      <c r="P569">
        <f>Raw_Data!P569</f>
        <v/>
      </c>
      <c r="Q569">
        <f>YEAR(B569)</f>
        <v/>
      </c>
      <c r="R569">
        <f>TEXT(B569,"mmm")</f>
        <v/>
      </c>
      <c r="S569" s="15">
        <f>IFERROR(N569/L569,0)</f>
        <v/>
      </c>
    </row>
    <row r="570">
      <c r="A570">
        <f>Raw_Data!A570</f>
        <v/>
      </c>
      <c r="B570" s="11">
        <f>Raw_Data!B570</f>
        <v/>
      </c>
      <c r="C570">
        <f>Raw_Data!C570</f>
        <v/>
      </c>
      <c r="D570">
        <f>Raw_Data!D570</f>
        <v/>
      </c>
      <c r="E570">
        <f>Raw_Data!E570</f>
        <v/>
      </c>
      <c r="F570">
        <f>Raw_Data!F570</f>
        <v/>
      </c>
      <c r="G570">
        <f>Raw_Data!G570</f>
        <v/>
      </c>
      <c r="H570">
        <f>Raw_Data!H570</f>
        <v/>
      </c>
      <c r="I570">
        <f>Raw_Data!I570</f>
        <v/>
      </c>
      <c r="J570" s="12">
        <f>Raw_Data!J570</f>
        <v/>
      </c>
      <c r="K570" s="13">
        <f>Raw_Data!K570</f>
        <v/>
      </c>
      <c r="L570" s="12">
        <f>Raw_Data!L570</f>
        <v/>
      </c>
      <c r="M570" s="12">
        <f>Raw_Data!M570</f>
        <v/>
      </c>
      <c r="N570" s="12">
        <f>Raw_Data!N570</f>
        <v/>
      </c>
      <c r="O570">
        <f>Raw_Data!O570</f>
        <v/>
      </c>
      <c r="P570">
        <f>Raw_Data!P570</f>
        <v/>
      </c>
      <c r="Q570">
        <f>YEAR(B570)</f>
        <v/>
      </c>
      <c r="R570">
        <f>TEXT(B570,"mmm")</f>
        <v/>
      </c>
      <c r="S570" s="15">
        <f>IFERROR(N570/L570,0)</f>
        <v/>
      </c>
    </row>
    <row r="571">
      <c r="A571">
        <f>Raw_Data!A571</f>
        <v/>
      </c>
      <c r="B571" s="11">
        <f>Raw_Data!B571</f>
        <v/>
      </c>
      <c r="C571">
        <f>Raw_Data!C571</f>
        <v/>
      </c>
      <c r="D571">
        <f>Raw_Data!D571</f>
        <v/>
      </c>
      <c r="E571">
        <f>Raw_Data!E571</f>
        <v/>
      </c>
      <c r="F571">
        <f>Raw_Data!F571</f>
        <v/>
      </c>
      <c r="G571">
        <f>Raw_Data!G571</f>
        <v/>
      </c>
      <c r="H571">
        <f>Raw_Data!H571</f>
        <v/>
      </c>
      <c r="I571">
        <f>Raw_Data!I571</f>
        <v/>
      </c>
      <c r="J571" s="12">
        <f>Raw_Data!J571</f>
        <v/>
      </c>
      <c r="K571" s="13">
        <f>Raw_Data!K571</f>
        <v/>
      </c>
      <c r="L571" s="12">
        <f>Raw_Data!L571</f>
        <v/>
      </c>
      <c r="M571" s="12">
        <f>Raw_Data!M571</f>
        <v/>
      </c>
      <c r="N571" s="12">
        <f>Raw_Data!N571</f>
        <v/>
      </c>
      <c r="O571">
        <f>Raw_Data!O571</f>
        <v/>
      </c>
      <c r="P571">
        <f>Raw_Data!P571</f>
        <v/>
      </c>
      <c r="Q571">
        <f>YEAR(B571)</f>
        <v/>
      </c>
      <c r="R571">
        <f>TEXT(B571,"mmm")</f>
        <v/>
      </c>
      <c r="S571" s="15">
        <f>IFERROR(N571/L571,0)</f>
        <v/>
      </c>
    </row>
    <row r="572">
      <c r="A572">
        <f>Raw_Data!A572</f>
        <v/>
      </c>
      <c r="B572" s="11">
        <f>Raw_Data!B572</f>
        <v/>
      </c>
      <c r="C572">
        <f>Raw_Data!C572</f>
        <v/>
      </c>
      <c r="D572">
        <f>Raw_Data!D572</f>
        <v/>
      </c>
      <c r="E572">
        <f>Raw_Data!E572</f>
        <v/>
      </c>
      <c r="F572">
        <f>Raw_Data!F572</f>
        <v/>
      </c>
      <c r="G572">
        <f>Raw_Data!G572</f>
        <v/>
      </c>
      <c r="H572">
        <f>Raw_Data!H572</f>
        <v/>
      </c>
      <c r="I572">
        <f>Raw_Data!I572</f>
        <v/>
      </c>
      <c r="J572" s="12">
        <f>Raw_Data!J572</f>
        <v/>
      </c>
      <c r="K572" s="13">
        <f>Raw_Data!K572</f>
        <v/>
      </c>
      <c r="L572" s="12">
        <f>Raw_Data!L572</f>
        <v/>
      </c>
      <c r="M572" s="12">
        <f>Raw_Data!M572</f>
        <v/>
      </c>
      <c r="N572" s="12">
        <f>Raw_Data!N572</f>
        <v/>
      </c>
      <c r="O572">
        <f>Raw_Data!O572</f>
        <v/>
      </c>
      <c r="P572">
        <f>Raw_Data!P572</f>
        <v/>
      </c>
      <c r="Q572">
        <f>YEAR(B572)</f>
        <v/>
      </c>
      <c r="R572">
        <f>TEXT(B572,"mmm")</f>
        <v/>
      </c>
      <c r="S572" s="15">
        <f>IFERROR(N572/L572,0)</f>
        <v/>
      </c>
    </row>
    <row r="573">
      <c r="A573">
        <f>Raw_Data!A573</f>
        <v/>
      </c>
      <c r="B573" s="11">
        <f>Raw_Data!B573</f>
        <v/>
      </c>
      <c r="C573">
        <f>Raw_Data!C573</f>
        <v/>
      </c>
      <c r="D573">
        <f>Raw_Data!D573</f>
        <v/>
      </c>
      <c r="E573">
        <f>Raw_Data!E573</f>
        <v/>
      </c>
      <c r="F573">
        <f>Raw_Data!F573</f>
        <v/>
      </c>
      <c r="G573">
        <f>Raw_Data!G573</f>
        <v/>
      </c>
      <c r="H573">
        <f>Raw_Data!H573</f>
        <v/>
      </c>
      <c r="I573">
        <f>Raw_Data!I573</f>
        <v/>
      </c>
      <c r="J573" s="12">
        <f>Raw_Data!J573</f>
        <v/>
      </c>
      <c r="K573" s="13">
        <f>Raw_Data!K573</f>
        <v/>
      </c>
      <c r="L573" s="12">
        <f>Raw_Data!L573</f>
        <v/>
      </c>
      <c r="M573" s="12">
        <f>Raw_Data!M573</f>
        <v/>
      </c>
      <c r="N573" s="12">
        <f>Raw_Data!N573</f>
        <v/>
      </c>
      <c r="O573">
        <f>Raw_Data!O573</f>
        <v/>
      </c>
      <c r="P573">
        <f>Raw_Data!P573</f>
        <v/>
      </c>
      <c r="Q573">
        <f>YEAR(B573)</f>
        <v/>
      </c>
      <c r="R573">
        <f>TEXT(B573,"mmm")</f>
        <v/>
      </c>
      <c r="S573" s="15">
        <f>IFERROR(N573/L573,0)</f>
        <v/>
      </c>
    </row>
    <row r="574">
      <c r="A574">
        <f>Raw_Data!A574</f>
        <v/>
      </c>
      <c r="B574" s="11">
        <f>Raw_Data!B574</f>
        <v/>
      </c>
      <c r="C574">
        <f>Raw_Data!C574</f>
        <v/>
      </c>
      <c r="D574">
        <f>Raw_Data!D574</f>
        <v/>
      </c>
      <c r="E574">
        <f>Raw_Data!E574</f>
        <v/>
      </c>
      <c r="F574">
        <f>Raw_Data!F574</f>
        <v/>
      </c>
      <c r="G574">
        <f>Raw_Data!G574</f>
        <v/>
      </c>
      <c r="H574">
        <f>Raw_Data!H574</f>
        <v/>
      </c>
      <c r="I574">
        <f>Raw_Data!I574</f>
        <v/>
      </c>
      <c r="J574" s="12">
        <f>Raw_Data!J574</f>
        <v/>
      </c>
      <c r="K574" s="13">
        <f>Raw_Data!K574</f>
        <v/>
      </c>
      <c r="L574" s="12">
        <f>Raw_Data!L574</f>
        <v/>
      </c>
      <c r="M574" s="12">
        <f>Raw_Data!M574</f>
        <v/>
      </c>
      <c r="N574" s="12">
        <f>Raw_Data!N574</f>
        <v/>
      </c>
      <c r="O574">
        <f>Raw_Data!O574</f>
        <v/>
      </c>
      <c r="P574">
        <f>Raw_Data!P574</f>
        <v/>
      </c>
      <c r="Q574">
        <f>YEAR(B574)</f>
        <v/>
      </c>
      <c r="R574">
        <f>TEXT(B574,"mmm")</f>
        <v/>
      </c>
      <c r="S574" s="15">
        <f>IFERROR(N574/L574,0)</f>
        <v/>
      </c>
    </row>
    <row r="575">
      <c r="A575">
        <f>Raw_Data!A575</f>
        <v/>
      </c>
      <c r="B575" s="11">
        <f>Raw_Data!B575</f>
        <v/>
      </c>
      <c r="C575">
        <f>Raw_Data!C575</f>
        <v/>
      </c>
      <c r="D575">
        <f>Raw_Data!D575</f>
        <v/>
      </c>
      <c r="E575">
        <f>Raw_Data!E575</f>
        <v/>
      </c>
      <c r="F575">
        <f>Raw_Data!F575</f>
        <v/>
      </c>
      <c r="G575">
        <f>Raw_Data!G575</f>
        <v/>
      </c>
      <c r="H575">
        <f>Raw_Data!H575</f>
        <v/>
      </c>
      <c r="I575">
        <f>Raw_Data!I575</f>
        <v/>
      </c>
      <c r="J575" s="12">
        <f>Raw_Data!J575</f>
        <v/>
      </c>
      <c r="K575" s="13">
        <f>Raw_Data!K575</f>
        <v/>
      </c>
      <c r="L575" s="12">
        <f>Raw_Data!L575</f>
        <v/>
      </c>
      <c r="M575" s="12">
        <f>Raw_Data!M575</f>
        <v/>
      </c>
      <c r="N575" s="12">
        <f>Raw_Data!N575</f>
        <v/>
      </c>
      <c r="O575">
        <f>Raw_Data!O575</f>
        <v/>
      </c>
      <c r="P575">
        <f>Raw_Data!P575</f>
        <v/>
      </c>
      <c r="Q575">
        <f>YEAR(B575)</f>
        <v/>
      </c>
      <c r="R575">
        <f>TEXT(B575,"mmm")</f>
        <v/>
      </c>
      <c r="S575" s="15">
        <f>IFERROR(N575/L575,0)</f>
        <v/>
      </c>
    </row>
    <row r="576">
      <c r="A576">
        <f>Raw_Data!A576</f>
        <v/>
      </c>
      <c r="B576" s="11">
        <f>Raw_Data!B576</f>
        <v/>
      </c>
      <c r="C576">
        <f>Raw_Data!C576</f>
        <v/>
      </c>
      <c r="D576">
        <f>Raw_Data!D576</f>
        <v/>
      </c>
      <c r="E576">
        <f>Raw_Data!E576</f>
        <v/>
      </c>
      <c r="F576">
        <f>Raw_Data!F576</f>
        <v/>
      </c>
      <c r="G576">
        <f>Raw_Data!G576</f>
        <v/>
      </c>
      <c r="H576">
        <f>Raw_Data!H576</f>
        <v/>
      </c>
      <c r="I576">
        <f>Raw_Data!I576</f>
        <v/>
      </c>
      <c r="J576" s="12">
        <f>Raw_Data!J576</f>
        <v/>
      </c>
      <c r="K576" s="13">
        <f>Raw_Data!K576</f>
        <v/>
      </c>
      <c r="L576" s="12">
        <f>Raw_Data!L576</f>
        <v/>
      </c>
      <c r="M576" s="12">
        <f>Raw_Data!M576</f>
        <v/>
      </c>
      <c r="N576" s="12">
        <f>Raw_Data!N576</f>
        <v/>
      </c>
      <c r="O576">
        <f>Raw_Data!O576</f>
        <v/>
      </c>
      <c r="P576">
        <f>Raw_Data!P576</f>
        <v/>
      </c>
      <c r="Q576">
        <f>YEAR(B576)</f>
        <v/>
      </c>
      <c r="R576">
        <f>TEXT(B576,"mmm")</f>
        <v/>
      </c>
      <c r="S576" s="15">
        <f>IFERROR(N576/L576,0)</f>
        <v/>
      </c>
    </row>
    <row r="577">
      <c r="A577">
        <f>Raw_Data!A577</f>
        <v/>
      </c>
      <c r="B577" s="11">
        <f>Raw_Data!B577</f>
        <v/>
      </c>
      <c r="C577">
        <f>Raw_Data!C577</f>
        <v/>
      </c>
      <c r="D577">
        <f>Raw_Data!D577</f>
        <v/>
      </c>
      <c r="E577">
        <f>Raw_Data!E577</f>
        <v/>
      </c>
      <c r="F577">
        <f>Raw_Data!F577</f>
        <v/>
      </c>
      <c r="G577">
        <f>Raw_Data!G577</f>
        <v/>
      </c>
      <c r="H577">
        <f>Raw_Data!H577</f>
        <v/>
      </c>
      <c r="I577">
        <f>Raw_Data!I577</f>
        <v/>
      </c>
      <c r="J577" s="12">
        <f>Raw_Data!J577</f>
        <v/>
      </c>
      <c r="K577" s="13">
        <f>Raw_Data!K577</f>
        <v/>
      </c>
      <c r="L577" s="12">
        <f>Raw_Data!L577</f>
        <v/>
      </c>
      <c r="M577" s="12">
        <f>Raw_Data!M577</f>
        <v/>
      </c>
      <c r="N577" s="12">
        <f>Raw_Data!N577</f>
        <v/>
      </c>
      <c r="O577">
        <f>Raw_Data!O577</f>
        <v/>
      </c>
      <c r="P577">
        <f>Raw_Data!P577</f>
        <v/>
      </c>
      <c r="Q577">
        <f>YEAR(B577)</f>
        <v/>
      </c>
      <c r="R577">
        <f>TEXT(B577,"mmm")</f>
        <v/>
      </c>
      <c r="S577" s="15">
        <f>IFERROR(N577/L577,0)</f>
        <v/>
      </c>
    </row>
    <row r="578">
      <c r="A578">
        <f>Raw_Data!A578</f>
        <v/>
      </c>
      <c r="B578" s="11">
        <f>Raw_Data!B578</f>
        <v/>
      </c>
      <c r="C578">
        <f>Raw_Data!C578</f>
        <v/>
      </c>
      <c r="D578">
        <f>Raw_Data!D578</f>
        <v/>
      </c>
      <c r="E578">
        <f>Raw_Data!E578</f>
        <v/>
      </c>
      <c r="F578">
        <f>Raw_Data!F578</f>
        <v/>
      </c>
      <c r="G578">
        <f>Raw_Data!G578</f>
        <v/>
      </c>
      <c r="H578">
        <f>Raw_Data!H578</f>
        <v/>
      </c>
      <c r="I578">
        <f>Raw_Data!I578</f>
        <v/>
      </c>
      <c r="J578" s="12">
        <f>Raw_Data!J578</f>
        <v/>
      </c>
      <c r="K578" s="13">
        <f>Raw_Data!K578</f>
        <v/>
      </c>
      <c r="L578" s="12">
        <f>Raw_Data!L578</f>
        <v/>
      </c>
      <c r="M578" s="12">
        <f>Raw_Data!M578</f>
        <v/>
      </c>
      <c r="N578" s="12">
        <f>Raw_Data!N578</f>
        <v/>
      </c>
      <c r="O578">
        <f>Raw_Data!O578</f>
        <v/>
      </c>
      <c r="P578">
        <f>Raw_Data!P578</f>
        <v/>
      </c>
      <c r="Q578">
        <f>YEAR(B578)</f>
        <v/>
      </c>
      <c r="R578">
        <f>TEXT(B578,"mmm")</f>
        <v/>
      </c>
      <c r="S578" s="15">
        <f>IFERROR(N578/L578,0)</f>
        <v/>
      </c>
    </row>
    <row r="579">
      <c r="A579">
        <f>Raw_Data!A579</f>
        <v/>
      </c>
      <c r="B579" s="11">
        <f>Raw_Data!B579</f>
        <v/>
      </c>
      <c r="C579">
        <f>Raw_Data!C579</f>
        <v/>
      </c>
      <c r="D579">
        <f>Raw_Data!D579</f>
        <v/>
      </c>
      <c r="E579">
        <f>Raw_Data!E579</f>
        <v/>
      </c>
      <c r="F579">
        <f>Raw_Data!F579</f>
        <v/>
      </c>
      <c r="G579">
        <f>Raw_Data!G579</f>
        <v/>
      </c>
      <c r="H579">
        <f>Raw_Data!H579</f>
        <v/>
      </c>
      <c r="I579">
        <f>Raw_Data!I579</f>
        <v/>
      </c>
      <c r="J579" s="12">
        <f>Raw_Data!J579</f>
        <v/>
      </c>
      <c r="K579" s="13">
        <f>Raw_Data!K579</f>
        <v/>
      </c>
      <c r="L579" s="12">
        <f>Raw_Data!L579</f>
        <v/>
      </c>
      <c r="M579" s="12">
        <f>Raw_Data!M579</f>
        <v/>
      </c>
      <c r="N579" s="12">
        <f>Raw_Data!N579</f>
        <v/>
      </c>
      <c r="O579">
        <f>Raw_Data!O579</f>
        <v/>
      </c>
      <c r="P579">
        <f>Raw_Data!P579</f>
        <v/>
      </c>
      <c r="Q579">
        <f>YEAR(B579)</f>
        <v/>
      </c>
      <c r="R579">
        <f>TEXT(B579,"mmm")</f>
        <v/>
      </c>
      <c r="S579" s="15">
        <f>IFERROR(N579/L579,0)</f>
        <v/>
      </c>
    </row>
    <row r="580">
      <c r="A580">
        <f>Raw_Data!A580</f>
        <v/>
      </c>
      <c r="B580" s="11">
        <f>Raw_Data!B580</f>
        <v/>
      </c>
      <c r="C580">
        <f>Raw_Data!C580</f>
        <v/>
      </c>
      <c r="D580">
        <f>Raw_Data!D580</f>
        <v/>
      </c>
      <c r="E580">
        <f>Raw_Data!E580</f>
        <v/>
      </c>
      <c r="F580">
        <f>Raw_Data!F580</f>
        <v/>
      </c>
      <c r="G580">
        <f>Raw_Data!G580</f>
        <v/>
      </c>
      <c r="H580">
        <f>Raw_Data!H580</f>
        <v/>
      </c>
      <c r="I580">
        <f>Raw_Data!I580</f>
        <v/>
      </c>
      <c r="J580" s="12">
        <f>Raw_Data!J580</f>
        <v/>
      </c>
      <c r="K580" s="13">
        <f>Raw_Data!K580</f>
        <v/>
      </c>
      <c r="L580" s="12">
        <f>Raw_Data!L580</f>
        <v/>
      </c>
      <c r="M580" s="12">
        <f>Raw_Data!M580</f>
        <v/>
      </c>
      <c r="N580" s="12">
        <f>Raw_Data!N580</f>
        <v/>
      </c>
      <c r="O580">
        <f>Raw_Data!O580</f>
        <v/>
      </c>
      <c r="P580">
        <f>Raw_Data!P580</f>
        <v/>
      </c>
      <c r="Q580">
        <f>YEAR(B580)</f>
        <v/>
      </c>
      <c r="R580">
        <f>TEXT(B580,"mmm")</f>
        <v/>
      </c>
      <c r="S580" s="15">
        <f>IFERROR(N580/L580,0)</f>
        <v/>
      </c>
    </row>
    <row r="581">
      <c r="A581">
        <f>Raw_Data!A581</f>
        <v/>
      </c>
      <c r="B581" s="11">
        <f>Raw_Data!B581</f>
        <v/>
      </c>
      <c r="C581">
        <f>Raw_Data!C581</f>
        <v/>
      </c>
      <c r="D581">
        <f>Raw_Data!D581</f>
        <v/>
      </c>
      <c r="E581">
        <f>Raw_Data!E581</f>
        <v/>
      </c>
      <c r="F581">
        <f>Raw_Data!F581</f>
        <v/>
      </c>
      <c r="G581">
        <f>Raw_Data!G581</f>
        <v/>
      </c>
      <c r="H581">
        <f>Raw_Data!H581</f>
        <v/>
      </c>
      <c r="I581">
        <f>Raw_Data!I581</f>
        <v/>
      </c>
      <c r="J581" s="12">
        <f>Raw_Data!J581</f>
        <v/>
      </c>
      <c r="K581" s="13">
        <f>Raw_Data!K581</f>
        <v/>
      </c>
      <c r="L581" s="12">
        <f>Raw_Data!L581</f>
        <v/>
      </c>
      <c r="M581" s="12">
        <f>Raw_Data!M581</f>
        <v/>
      </c>
      <c r="N581" s="12">
        <f>Raw_Data!N581</f>
        <v/>
      </c>
      <c r="O581">
        <f>Raw_Data!O581</f>
        <v/>
      </c>
      <c r="P581">
        <f>Raw_Data!P581</f>
        <v/>
      </c>
      <c r="Q581">
        <f>YEAR(B581)</f>
        <v/>
      </c>
      <c r="R581">
        <f>TEXT(B581,"mmm")</f>
        <v/>
      </c>
      <c r="S581" s="15">
        <f>IFERROR(N581/L581,0)</f>
        <v/>
      </c>
    </row>
    <row r="582">
      <c r="A582">
        <f>Raw_Data!A582</f>
        <v/>
      </c>
      <c r="B582" s="11">
        <f>Raw_Data!B582</f>
        <v/>
      </c>
      <c r="C582">
        <f>Raw_Data!C582</f>
        <v/>
      </c>
      <c r="D582">
        <f>Raw_Data!D582</f>
        <v/>
      </c>
      <c r="E582">
        <f>Raw_Data!E582</f>
        <v/>
      </c>
      <c r="F582">
        <f>Raw_Data!F582</f>
        <v/>
      </c>
      <c r="G582">
        <f>Raw_Data!G582</f>
        <v/>
      </c>
      <c r="H582">
        <f>Raw_Data!H582</f>
        <v/>
      </c>
      <c r="I582">
        <f>Raw_Data!I582</f>
        <v/>
      </c>
      <c r="J582" s="12">
        <f>Raw_Data!J582</f>
        <v/>
      </c>
      <c r="K582" s="13">
        <f>Raw_Data!K582</f>
        <v/>
      </c>
      <c r="L582" s="12">
        <f>Raw_Data!L582</f>
        <v/>
      </c>
      <c r="M582" s="12">
        <f>Raw_Data!M582</f>
        <v/>
      </c>
      <c r="N582" s="12">
        <f>Raw_Data!N582</f>
        <v/>
      </c>
      <c r="O582">
        <f>Raw_Data!O582</f>
        <v/>
      </c>
      <c r="P582">
        <f>Raw_Data!P582</f>
        <v/>
      </c>
      <c r="Q582">
        <f>YEAR(B582)</f>
        <v/>
      </c>
      <c r="R582">
        <f>TEXT(B582,"mmm")</f>
        <v/>
      </c>
      <c r="S582" s="15">
        <f>IFERROR(N582/L582,0)</f>
        <v/>
      </c>
    </row>
    <row r="583">
      <c r="A583">
        <f>Raw_Data!A583</f>
        <v/>
      </c>
      <c r="B583" s="11">
        <f>Raw_Data!B583</f>
        <v/>
      </c>
      <c r="C583">
        <f>Raw_Data!C583</f>
        <v/>
      </c>
      <c r="D583">
        <f>Raw_Data!D583</f>
        <v/>
      </c>
      <c r="E583">
        <f>Raw_Data!E583</f>
        <v/>
      </c>
      <c r="F583">
        <f>Raw_Data!F583</f>
        <v/>
      </c>
      <c r="G583">
        <f>Raw_Data!G583</f>
        <v/>
      </c>
      <c r="H583">
        <f>Raw_Data!H583</f>
        <v/>
      </c>
      <c r="I583">
        <f>Raw_Data!I583</f>
        <v/>
      </c>
      <c r="J583" s="12">
        <f>Raw_Data!J583</f>
        <v/>
      </c>
      <c r="K583" s="13">
        <f>Raw_Data!K583</f>
        <v/>
      </c>
      <c r="L583" s="12">
        <f>Raw_Data!L583</f>
        <v/>
      </c>
      <c r="M583" s="12">
        <f>Raw_Data!M583</f>
        <v/>
      </c>
      <c r="N583" s="12">
        <f>Raw_Data!N583</f>
        <v/>
      </c>
      <c r="O583">
        <f>Raw_Data!O583</f>
        <v/>
      </c>
      <c r="P583">
        <f>Raw_Data!P583</f>
        <v/>
      </c>
      <c r="Q583">
        <f>YEAR(B583)</f>
        <v/>
      </c>
      <c r="R583">
        <f>TEXT(B583,"mmm")</f>
        <v/>
      </c>
      <c r="S583" s="15">
        <f>IFERROR(N583/L583,0)</f>
        <v/>
      </c>
    </row>
    <row r="584">
      <c r="A584">
        <f>Raw_Data!A584</f>
        <v/>
      </c>
      <c r="B584" s="11">
        <f>Raw_Data!B584</f>
        <v/>
      </c>
      <c r="C584">
        <f>Raw_Data!C584</f>
        <v/>
      </c>
      <c r="D584">
        <f>Raw_Data!D584</f>
        <v/>
      </c>
      <c r="E584">
        <f>Raw_Data!E584</f>
        <v/>
      </c>
      <c r="F584">
        <f>Raw_Data!F584</f>
        <v/>
      </c>
      <c r="G584">
        <f>Raw_Data!G584</f>
        <v/>
      </c>
      <c r="H584">
        <f>Raw_Data!H584</f>
        <v/>
      </c>
      <c r="I584">
        <f>Raw_Data!I584</f>
        <v/>
      </c>
      <c r="J584" s="12">
        <f>Raw_Data!J584</f>
        <v/>
      </c>
      <c r="K584" s="13">
        <f>Raw_Data!K584</f>
        <v/>
      </c>
      <c r="L584" s="12">
        <f>Raw_Data!L584</f>
        <v/>
      </c>
      <c r="M584" s="12">
        <f>Raw_Data!M584</f>
        <v/>
      </c>
      <c r="N584" s="12">
        <f>Raw_Data!N584</f>
        <v/>
      </c>
      <c r="O584">
        <f>Raw_Data!O584</f>
        <v/>
      </c>
      <c r="P584">
        <f>Raw_Data!P584</f>
        <v/>
      </c>
      <c r="Q584">
        <f>YEAR(B584)</f>
        <v/>
      </c>
      <c r="R584">
        <f>TEXT(B584,"mmm")</f>
        <v/>
      </c>
      <c r="S584" s="15">
        <f>IFERROR(N584/L584,0)</f>
        <v/>
      </c>
    </row>
    <row r="585">
      <c r="A585">
        <f>Raw_Data!A585</f>
        <v/>
      </c>
      <c r="B585" s="11">
        <f>Raw_Data!B585</f>
        <v/>
      </c>
      <c r="C585">
        <f>Raw_Data!C585</f>
        <v/>
      </c>
      <c r="D585">
        <f>Raw_Data!D585</f>
        <v/>
      </c>
      <c r="E585">
        <f>Raw_Data!E585</f>
        <v/>
      </c>
      <c r="F585">
        <f>Raw_Data!F585</f>
        <v/>
      </c>
      <c r="G585">
        <f>Raw_Data!G585</f>
        <v/>
      </c>
      <c r="H585">
        <f>Raw_Data!H585</f>
        <v/>
      </c>
      <c r="I585">
        <f>Raw_Data!I585</f>
        <v/>
      </c>
      <c r="J585" s="12">
        <f>Raw_Data!J585</f>
        <v/>
      </c>
      <c r="K585" s="13">
        <f>Raw_Data!K585</f>
        <v/>
      </c>
      <c r="L585" s="12">
        <f>Raw_Data!L585</f>
        <v/>
      </c>
      <c r="M585" s="12">
        <f>Raw_Data!M585</f>
        <v/>
      </c>
      <c r="N585" s="12">
        <f>Raw_Data!N585</f>
        <v/>
      </c>
      <c r="O585">
        <f>Raw_Data!O585</f>
        <v/>
      </c>
      <c r="P585">
        <f>Raw_Data!P585</f>
        <v/>
      </c>
      <c r="Q585">
        <f>YEAR(B585)</f>
        <v/>
      </c>
      <c r="R585">
        <f>TEXT(B585,"mmm")</f>
        <v/>
      </c>
      <c r="S585" s="15">
        <f>IFERROR(N585/L585,0)</f>
        <v/>
      </c>
    </row>
    <row r="586">
      <c r="A586">
        <f>Raw_Data!A586</f>
        <v/>
      </c>
      <c r="B586" s="11">
        <f>Raw_Data!B586</f>
        <v/>
      </c>
      <c r="C586">
        <f>Raw_Data!C586</f>
        <v/>
      </c>
      <c r="D586">
        <f>Raw_Data!D586</f>
        <v/>
      </c>
      <c r="E586">
        <f>Raw_Data!E586</f>
        <v/>
      </c>
      <c r="F586">
        <f>Raw_Data!F586</f>
        <v/>
      </c>
      <c r="G586">
        <f>Raw_Data!G586</f>
        <v/>
      </c>
      <c r="H586">
        <f>Raw_Data!H586</f>
        <v/>
      </c>
      <c r="I586">
        <f>Raw_Data!I586</f>
        <v/>
      </c>
      <c r="J586" s="12">
        <f>Raw_Data!J586</f>
        <v/>
      </c>
      <c r="K586" s="13">
        <f>Raw_Data!K586</f>
        <v/>
      </c>
      <c r="L586" s="12">
        <f>Raw_Data!L586</f>
        <v/>
      </c>
      <c r="M586" s="12">
        <f>Raw_Data!M586</f>
        <v/>
      </c>
      <c r="N586" s="12">
        <f>Raw_Data!N586</f>
        <v/>
      </c>
      <c r="O586">
        <f>Raw_Data!O586</f>
        <v/>
      </c>
      <c r="P586">
        <f>Raw_Data!P586</f>
        <v/>
      </c>
      <c r="Q586">
        <f>YEAR(B586)</f>
        <v/>
      </c>
      <c r="R586">
        <f>TEXT(B586,"mmm")</f>
        <v/>
      </c>
      <c r="S586" s="15">
        <f>IFERROR(N586/L586,0)</f>
        <v/>
      </c>
    </row>
    <row r="587">
      <c r="A587">
        <f>Raw_Data!A587</f>
        <v/>
      </c>
      <c r="B587" s="11">
        <f>Raw_Data!B587</f>
        <v/>
      </c>
      <c r="C587">
        <f>Raw_Data!C587</f>
        <v/>
      </c>
      <c r="D587">
        <f>Raw_Data!D587</f>
        <v/>
      </c>
      <c r="E587">
        <f>Raw_Data!E587</f>
        <v/>
      </c>
      <c r="F587">
        <f>Raw_Data!F587</f>
        <v/>
      </c>
      <c r="G587">
        <f>Raw_Data!G587</f>
        <v/>
      </c>
      <c r="H587">
        <f>Raw_Data!H587</f>
        <v/>
      </c>
      <c r="I587">
        <f>Raw_Data!I587</f>
        <v/>
      </c>
      <c r="J587" s="12">
        <f>Raw_Data!J587</f>
        <v/>
      </c>
      <c r="K587" s="13">
        <f>Raw_Data!K587</f>
        <v/>
      </c>
      <c r="L587" s="12">
        <f>Raw_Data!L587</f>
        <v/>
      </c>
      <c r="M587" s="12">
        <f>Raw_Data!M587</f>
        <v/>
      </c>
      <c r="N587" s="12">
        <f>Raw_Data!N587</f>
        <v/>
      </c>
      <c r="O587">
        <f>Raw_Data!O587</f>
        <v/>
      </c>
      <c r="P587">
        <f>Raw_Data!P587</f>
        <v/>
      </c>
      <c r="Q587">
        <f>YEAR(B587)</f>
        <v/>
      </c>
      <c r="R587">
        <f>TEXT(B587,"mmm")</f>
        <v/>
      </c>
      <c r="S587" s="15">
        <f>IFERROR(N587/L587,0)</f>
        <v/>
      </c>
    </row>
    <row r="588">
      <c r="A588">
        <f>Raw_Data!A588</f>
        <v/>
      </c>
      <c r="B588" s="11">
        <f>Raw_Data!B588</f>
        <v/>
      </c>
      <c r="C588">
        <f>Raw_Data!C588</f>
        <v/>
      </c>
      <c r="D588">
        <f>Raw_Data!D588</f>
        <v/>
      </c>
      <c r="E588">
        <f>Raw_Data!E588</f>
        <v/>
      </c>
      <c r="F588">
        <f>Raw_Data!F588</f>
        <v/>
      </c>
      <c r="G588">
        <f>Raw_Data!G588</f>
        <v/>
      </c>
      <c r="H588">
        <f>Raw_Data!H588</f>
        <v/>
      </c>
      <c r="I588">
        <f>Raw_Data!I588</f>
        <v/>
      </c>
      <c r="J588" s="12">
        <f>Raw_Data!J588</f>
        <v/>
      </c>
      <c r="K588" s="13">
        <f>Raw_Data!K588</f>
        <v/>
      </c>
      <c r="L588" s="12">
        <f>Raw_Data!L588</f>
        <v/>
      </c>
      <c r="M588" s="12">
        <f>Raw_Data!M588</f>
        <v/>
      </c>
      <c r="N588" s="12">
        <f>Raw_Data!N588</f>
        <v/>
      </c>
      <c r="O588">
        <f>Raw_Data!O588</f>
        <v/>
      </c>
      <c r="P588">
        <f>Raw_Data!P588</f>
        <v/>
      </c>
      <c r="Q588">
        <f>YEAR(B588)</f>
        <v/>
      </c>
      <c r="R588">
        <f>TEXT(B588,"mmm")</f>
        <v/>
      </c>
      <c r="S588" s="15">
        <f>IFERROR(N588/L588,0)</f>
        <v/>
      </c>
    </row>
    <row r="589">
      <c r="A589">
        <f>Raw_Data!A589</f>
        <v/>
      </c>
      <c r="B589" s="11">
        <f>Raw_Data!B589</f>
        <v/>
      </c>
      <c r="C589">
        <f>Raw_Data!C589</f>
        <v/>
      </c>
      <c r="D589">
        <f>Raw_Data!D589</f>
        <v/>
      </c>
      <c r="E589">
        <f>Raw_Data!E589</f>
        <v/>
      </c>
      <c r="F589">
        <f>Raw_Data!F589</f>
        <v/>
      </c>
      <c r="G589">
        <f>Raw_Data!G589</f>
        <v/>
      </c>
      <c r="H589">
        <f>Raw_Data!H589</f>
        <v/>
      </c>
      <c r="I589">
        <f>Raw_Data!I589</f>
        <v/>
      </c>
      <c r="J589" s="12">
        <f>Raw_Data!J589</f>
        <v/>
      </c>
      <c r="K589" s="13">
        <f>Raw_Data!K589</f>
        <v/>
      </c>
      <c r="L589" s="12">
        <f>Raw_Data!L589</f>
        <v/>
      </c>
      <c r="M589" s="12">
        <f>Raw_Data!M589</f>
        <v/>
      </c>
      <c r="N589" s="12">
        <f>Raw_Data!N589</f>
        <v/>
      </c>
      <c r="O589">
        <f>Raw_Data!O589</f>
        <v/>
      </c>
      <c r="P589">
        <f>Raw_Data!P589</f>
        <v/>
      </c>
      <c r="Q589">
        <f>YEAR(B589)</f>
        <v/>
      </c>
      <c r="R589">
        <f>TEXT(B589,"mmm")</f>
        <v/>
      </c>
      <c r="S589" s="15">
        <f>IFERROR(N589/L589,0)</f>
        <v/>
      </c>
    </row>
    <row r="590">
      <c r="A590">
        <f>Raw_Data!A590</f>
        <v/>
      </c>
      <c r="B590" s="11">
        <f>Raw_Data!B590</f>
        <v/>
      </c>
      <c r="C590">
        <f>Raw_Data!C590</f>
        <v/>
      </c>
      <c r="D590">
        <f>Raw_Data!D590</f>
        <v/>
      </c>
      <c r="E590">
        <f>Raw_Data!E590</f>
        <v/>
      </c>
      <c r="F590">
        <f>Raw_Data!F590</f>
        <v/>
      </c>
      <c r="G590">
        <f>Raw_Data!G590</f>
        <v/>
      </c>
      <c r="H590">
        <f>Raw_Data!H590</f>
        <v/>
      </c>
      <c r="I590">
        <f>Raw_Data!I590</f>
        <v/>
      </c>
      <c r="J590" s="12">
        <f>Raw_Data!J590</f>
        <v/>
      </c>
      <c r="K590" s="13">
        <f>Raw_Data!K590</f>
        <v/>
      </c>
      <c r="L590" s="12">
        <f>Raw_Data!L590</f>
        <v/>
      </c>
      <c r="M590" s="12">
        <f>Raw_Data!M590</f>
        <v/>
      </c>
      <c r="N590" s="12">
        <f>Raw_Data!N590</f>
        <v/>
      </c>
      <c r="O590">
        <f>Raw_Data!O590</f>
        <v/>
      </c>
      <c r="P590">
        <f>Raw_Data!P590</f>
        <v/>
      </c>
      <c r="Q590">
        <f>YEAR(B590)</f>
        <v/>
      </c>
      <c r="R590">
        <f>TEXT(B590,"mmm")</f>
        <v/>
      </c>
      <c r="S590" s="15">
        <f>IFERROR(N590/L590,0)</f>
        <v/>
      </c>
    </row>
    <row r="591">
      <c r="A591">
        <f>Raw_Data!A591</f>
        <v/>
      </c>
      <c r="B591" s="11">
        <f>Raw_Data!B591</f>
        <v/>
      </c>
      <c r="C591">
        <f>Raw_Data!C591</f>
        <v/>
      </c>
      <c r="D591">
        <f>Raw_Data!D591</f>
        <v/>
      </c>
      <c r="E591">
        <f>Raw_Data!E591</f>
        <v/>
      </c>
      <c r="F591">
        <f>Raw_Data!F591</f>
        <v/>
      </c>
      <c r="G591">
        <f>Raw_Data!G591</f>
        <v/>
      </c>
      <c r="H591">
        <f>Raw_Data!H591</f>
        <v/>
      </c>
      <c r="I591">
        <f>Raw_Data!I591</f>
        <v/>
      </c>
      <c r="J591" s="12">
        <f>Raw_Data!J591</f>
        <v/>
      </c>
      <c r="K591" s="13">
        <f>Raw_Data!K591</f>
        <v/>
      </c>
      <c r="L591" s="12">
        <f>Raw_Data!L591</f>
        <v/>
      </c>
      <c r="M591" s="12">
        <f>Raw_Data!M591</f>
        <v/>
      </c>
      <c r="N591" s="12">
        <f>Raw_Data!N591</f>
        <v/>
      </c>
      <c r="O591">
        <f>Raw_Data!O591</f>
        <v/>
      </c>
      <c r="P591">
        <f>Raw_Data!P591</f>
        <v/>
      </c>
      <c r="Q591">
        <f>YEAR(B591)</f>
        <v/>
      </c>
      <c r="R591">
        <f>TEXT(B591,"mmm")</f>
        <v/>
      </c>
      <c r="S591" s="15">
        <f>IFERROR(N591/L591,0)</f>
        <v/>
      </c>
    </row>
    <row r="592">
      <c r="A592">
        <f>Raw_Data!A592</f>
        <v/>
      </c>
      <c r="B592" s="11">
        <f>Raw_Data!B592</f>
        <v/>
      </c>
      <c r="C592">
        <f>Raw_Data!C592</f>
        <v/>
      </c>
      <c r="D592">
        <f>Raw_Data!D592</f>
        <v/>
      </c>
      <c r="E592">
        <f>Raw_Data!E592</f>
        <v/>
      </c>
      <c r="F592">
        <f>Raw_Data!F592</f>
        <v/>
      </c>
      <c r="G592">
        <f>Raw_Data!G592</f>
        <v/>
      </c>
      <c r="H592">
        <f>Raw_Data!H592</f>
        <v/>
      </c>
      <c r="I592">
        <f>Raw_Data!I592</f>
        <v/>
      </c>
      <c r="J592" s="12">
        <f>Raw_Data!J592</f>
        <v/>
      </c>
      <c r="K592" s="13">
        <f>Raw_Data!K592</f>
        <v/>
      </c>
      <c r="L592" s="12">
        <f>Raw_Data!L592</f>
        <v/>
      </c>
      <c r="M592" s="12">
        <f>Raw_Data!M592</f>
        <v/>
      </c>
      <c r="N592" s="12">
        <f>Raw_Data!N592</f>
        <v/>
      </c>
      <c r="O592">
        <f>Raw_Data!O592</f>
        <v/>
      </c>
      <c r="P592">
        <f>Raw_Data!P592</f>
        <v/>
      </c>
      <c r="Q592">
        <f>YEAR(B592)</f>
        <v/>
      </c>
      <c r="R592">
        <f>TEXT(B592,"mmm")</f>
        <v/>
      </c>
      <c r="S592" s="15">
        <f>IFERROR(N592/L592,0)</f>
        <v/>
      </c>
    </row>
    <row r="593">
      <c r="A593">
        <f>Raw_Data!A593</f>
        <v/>
      </c>
      <c r="B593" s="11">
        <f>Raw_Data!B593</f>
        <v/>
      </c>
      <c r="C593">
        <f>Raw_Data!C593</f>
        <v/>
      </c>
      <c r="D593">
        <f>Raw_Data!D593</f>
        <v/>
      </c>
      <c r="E593">
        <f>Raw_Data!E593</f>
        <v/>
      </c>
      <c r="F593">
        <f>Raw_Data!F593</f>
        <v/>
      </c>
      <c r="G593">
        <f>Raw_Data!G593</f>
        <v/>
      </c>
      <c r="H593">
        <f>Raw_Data!H593</f>
        <v/>
      </c>
      <c r="I593">
        <f>Raw_Data!I593</f>
        <v/>
      </c>
      <c r="J593" s="12">
        <f>Raw_Data!J593</f>
        <v/>
      </c>
      <c r="K593" s="13">
        <f>Raw_Data!K593</f>
        <v/>
      </c>
      <c r="L593" s="12">
        <f>Raw_Data!L593</f>
        <v/>
      </c>
      <c r="M593" s="12">
        <f>Raw_Data!M593</f>
        <v/>
      </c>
      <c r="N593" s="12">
        <f>Raw_Data!N593</f>
        <v/>
      </c>
      <c r="O593">
        <f>Raw_Data!O593</f>
        <v/>
      </c>
      <c r="P593">
        <f>Raw_Data!P593</f>
        <v/>
      </c>
      <c r="Q593">
        <f>YEAR(B593)</f>
        <v/>
      </c>
      <c r="R593">
        <f>TEXT(B593,"mmm")</f>
        <v/>
      </c>
      <c r="S593" s="15">
        <f>IFERROR(N593/L593,0)</f>
        <v/>
      </c>
    </row>
    <row r="594">
      <c r="A594">
        <f>Raw_Data!A594</f>
        <v/>
      </c>
      <c r="B594" s="11">
        <f>Raw_Data!B594</f>
        <v/>
      </c>
      <c r="C594">
        <f>Raw_Data!C594</f>
        <v/>
      </c>
      <c r="D594">
        <f>Raw_Data!D594</f>
        <v/>
      </c>
      <c r="E594">
        <f>Raw_Data!E594</f>
        <v/>
      </c>
      <c r="F594">
        <f>Raw_Data!F594</f>
        <v/>
      </c>
      <c r="G594">
        <f>Raw_Data!G594</f>
        <v/>
      </c>
      <c r="H594">
        <f>Raw_Data!H594</f>
        <v/>
      </c>
      <c r="I594">
        <f>Raw_Data!I594</f>
        <v/>
      </c>
      <c r="J594" s="12">
        <f>Raw_Data!J594</f>
        <v/>
      </c>
      <c r="K594" s="13">
        <f>Raw_Data!K594</f>
        <v/>
      </c>
      <c r="L594" s="12">
        <f>Raw_Data!L594</f>
        <v/>
      </c>
      <c r="M594" s="12">
        <f>Raw_Data!M594</f>
        <v/>
      </c>
      <c r="N594" s="12">
        <f>Raw_Data!N594</f>
        <v/>
      </c>
      <c r="O594">
        <f>Raw_Data!O594</f>
        <v/>
      </c>
      <c r="P594">
        <f>Raw_Data!P594</f>
        <v/>
      </c>
      <c r="Q594">
        <f>YEAR(B594)</f>
        <v/>
      </c>
      <c r="R594">
        <f>TEXT(B594,"mmm")</f>
        <v/>
      </c>
      <c r="S594" s="15">
        <f>IFERROR(N594/L594,0)</f>
        <v/>
      </c>
    </row>
    <row r="595">
      <c r="A595">
        <f>Raw_Data!A595</f>
        <v/>
      </c>
      <c r="B595" s="11">
        <f>Raw_Data!B595</f>
        <v/>
      </c>
      <c r="C595">
        <f>Raw_Data!C595</f>
        <v/>
      </c>
      <c r="D595">
        <f>Raw_Data!D595</f>
        <v/>
      </c>
      <c r="E595">
        <f>Raw_Data!E595</f>
        <v/>
      </c>
      <c r="F595">
        <f>Raw_Data!F595</f>
        <v/>
      </c>
      <c r="G595">
        <f>Raw_Data!G595</f>
        <v/>
      </c>
      <c r="H595">
        <f>Raw_Data!H595</f>
        <v/>
      </c>
      <c r="I595">
        <f>Raw_Data!I595</f>
        <v/>
      </c>
      <c r="J595" s="12">
        <f>Raw_Data!J595</f>
        <v/>
      </c>
      <c r="K595" s="13">
        <f>Raw_Data!K595</f>
        <v/>
      </c>
      <c r="L595" s="12">
        <f>Raw_Data!L595</f>
        <v/>
      </c>
      <c r="M595" s="12">
        <f>Raw_Data!M595</f>
        <v/>
      </c>
      <c r="N595" s="12">
        <f>Raw_Data!N595</f>
        <v/>
      </c>
      <c r="O595">
        <f>Raw_Data!O595</f>
        <v/>
      </c>
      <c r="P595">
        <f>Raw_Data!P595</f>
        <v/>
      </c>
      <c r="Q595">
        <f>YEAR(B595)</f>
        <v/>
      </c>
      <c r="R595">
        <f>TEXT(B595,"mmm")</f>
        <v/>
      </c>
      <c r="S595" s="15">
        <f>IFERROR(N595/L595,0)</f>
        <v/>
      </c>
    </row>
    <row r="596">
      <c r="A596">
        <f>Raw_Data!A596</f>
        <v/>
      </c>
      <c r="B596" s="11">
        <f>Raw_Data!B596</f>
        <v/>
      </c>
      <c r="C596">
        <f>Raw_Data!C596</f>
        <v/>
      </c>
      <c r="D596">
        <f>Raw_Data!D596</f>
        <v/>
      </c>
      <c r="E596">
        <f>Raw_Data!E596</f>
        <v/>
      </c>
      <c r="F596">
        <f>Raw_Data!F596</f>
        <v/>
      </c>
      <c r="G596">
        <f>Raw_Data!G596</f>
        <v/>
      </c>
      <c r="H596">
        <f>Raw_Data!H596</f>
        <v/>
      </c>
      <c r="I596">
        <f>Raw_Data!I596</f>
        <v/>
      </c>
      <c r="J596" s="12">
        <f>Raw_Data!J596</f>
        <v/>
      </c>
      <c r="K596" s="13">
        <f>Raw_Data!K596</f>
        <v/>
      </c>
      <c r="L596" s="12">
        <f>Raw_Data!L596</f>
        <v/>
      </c>
      <c r="M596" s="12">
        <f>Raw_Data!M596</f>
        <v/>
      </c>
      <c r="N596" s="12">
        <f>Raw_Data!N596</f>
        <v/>
      </c>
      <c r="O596">
        <f>Raw_Data!O596</f>
        <v/>
      </c>
      <c r="P596">
        <f>Raw_Data!P596</f>
        <v/>
      </c>
      <c r="Q596">
        <f>YEAR(B596)</f>
        <v/>
      </c>
      <c r="R596">
        <f>TEXT(B596,"mmm")</f>
        <v/>
      </c>
      <c r="S596" s="15">
        <f>IFERROR(N596/L596,0)</f>
        <v/>
      </c>
    </row>
    <row r="597">
      <c r="A597">
        <f>Raw_Data!A597</f>
        <v/>
      </c>
      <c r="B597" s="11">
        <f>Raw_Data!B597</f>
        <v/>
      </c>
      <c r="C597">
        <f>Raw_Data!C597</f>
        <v/>
      </c>
      <c r="D597">
        <f>Raw_Data!D597</f>
        <v/>
      </c>
      <c r="E597">
        <f>Raw_Data!E597</f>
        <v/>
      </c>
      <c r="F597">
        <f>Raw_Data!F597</f>
        <v/>
      </c>
      <c r="G597">
        <f>Raw_Data!G597</f>
        <v/>
      </c>
      <c r="H597">
        <f>Raw_Data!H597</f>
        <v/>
      </c>
      <c r="I597">
        <f>Raw_Data!I597</f>
        <v/>
      </c>
      <c r="J597" s="12">
        <f>Raw_Data!J597</f>
        <v/>
      </c>
      <c r="K597" s="13">
        <f>Raw_Data!K597</f>
        <v/>
      </c>
      <c r="L597" s="12">
        <f>Raw_Data!L597</f>
        <v/>
      </c>
      <c r="M597" s="12">
        <f>Raw_Data!M597</f>
        <v/>
      </c>
      <c r="N597" s="12">
        <f>Raw_Data!N597</f>
        <v/>
      </c>
      <c r="O597">
        <f>Raw_Data!O597</f>
        <v/>
      </c>
      <c r="P597">
        <f>Raw_Data!P597</f>
        <v/>
      </c>
      <c r="Q597">
        <f>YEAR(B597)</f>
        <v/>
      </c>
      <c r="R597">
        <f>TEXT(B597,"mmm")</f>
        <v/>
      </c>
      <c r="S597" s="15">
        <f>IFERROR(N597/L597,0)</f>
        <v/>
      </c>
    </row>
    <row r="598">
      <c r="A598">
        <f>Raw_Data!A598</f>
        <v/>
      </c>
      <c r="B598" s="11">
        <f>Raw_Data!B598</f>
        <v/>
      </c>
      <c r="C598">
        <f>Raw_Data!C598</f>
        <v/>
      </c>
      <c r="D598">
        <f>Raw_Data!D598</f>
        <v/>
      </c>
      <c r="E598">
        <f>Raw_Data!E598</f>
        <v/>
      </c>
      <c r="F598">
        <f>Raw_Data!F598</f>
        <v/>
      </c>
      <c r="G598">
        <f>Raw_Data!G598</f>
        <v/>
      </c>
      <c r="H598">
        <f>Raw_Data!H598</f>
        <v/>
      </c>
      <c r="I598">
        <f>Raw_Data!I598</f>
        <v/>
      </c>
      <c r="J598" s="12">
        <f>Raw_Data!J598</f>
        <v/>
      </c>
      <c r="K598" s="13">
        <f>Raw_Data!K598</f>
        <v/>
      </c>
      <c r="L598" s="12">
        <f>Raw_Data!L598</f>
        <v/>
      </c>
      <c r="M598" s="12">
        <f>Raw_Data!M598</f>
        <v/>
      </c>
      <c r="N598" s="12">
        <f>Raw_Data!N598</f>
        <v/>
      </c>
      <c r="O598">
        <f>Raw_Data!O598</f>
        <v/>
      </c>
      <c r="P598">
        <f>Raw_Data!P598</f>
        <v/>
      </c>
      <c r="Q598">
        <f>YEAR(B598)</f>
        <v/>
      </c>
      <c r="R598">
        <f>TEXT(B598,"mmm")</f>
        <v/>
      </c>
      <c r="S598" s="15">
        <f>IFERROR(N598/L598,0)</f>
        <v/>
      </c>
    </row>
    <row r="599">
      <c r="A599">
        <f>Raw_Data!A599</f>
        <v/>
      </c>
      <c r="B599" s="11">
        <f>Raw_Data!B599</f>
        <v/>
      </c>
      <c r="C599">
        <f>Raw_Data!C599</f>
        <v/>
      </c>
      <c r="D599">
        <f>Raw_Data!D599</f>
        <v/>
      </c>
      <c r="E599">
        <f>Raw_Data!E599</f>
        <v/>
      </c>
      <c r="F599">
        <f>Raw_Data!F599</f>
        <v/>
      </c>
      <c r="G599">
        <f>Raw_Data!G599</f>
        <v/>
      </c>
      <c r="H599">
        <f>Raw_Data!H599</f>
        <v/>
      </c>
      <c r="I599">
        <f>Raw_Data!I599</f>
        <v/>
      </c>
      <c r="J599" s="12">
        <f>Raw_Data!J599</f>
        <v/>
      </c>
      <c r="K599" s="13">
        <f>Raw_Data!K599</f>
        <v/>
      </c>
      <c r="L599" s="12">
        <f>Raw_Data!L599</f>
        <v/>
      </c>
      <c r="M599" s="12">
        <f>Raw_Data!M599</f>
        <v/>
      </c>
      <c r="N599" s="12">
        <f>Raw_Data!N599</f>
        <v/>
      </c>
      <c r="O599">
        <f>Raw_Data!O599</f>
        <v/>
      </c>
      <c r="P599">
        <f>Raw_Data!P599</f>
        <v/>
      </c>
      <c r="Q599">
        <f>YEAR(B599)</f>
        <v/>
      </c>
      <c r="R599">
        <f>TEXT(B599,"mmm")</f>
        <v/>
      </c>
      <c r="S599" s="15">
        <f>IFERROR(N599/L599,0)</f>
        <v/>
      </c>
    </row>
    <row r="600">
      <c r="A600">
        <f>Raw_Data!A600</f>
        <v/>
      </c>
      <c r="B600" s="11">
        <f>Raw_Data!B600</f>
        <v/>
      </c>
      <c r="C600">
        <f>Raw_Data!C600</f>
        <v/>
      </c>
      <c r="D600">
        <f>Raw_Data!D600</f>
        <v/>
      </c>
      <c r="E600">
        <f>Raw_Data!E600</f>
        <v/>
      </c>
      <c r="F600">
        <f>Raw_Data!F600</f>
        <v/>
      </c>
      <c r="G600">
        <f>Raw_Data!G600</f>
        <v/>
      </c>
      <c r="H600">
        <f>Raw_Data!H600</f>
        <v/>
      </c>
      <c r="I600">
        <f>Raw_Data!I600</f>
        <v/>
      </c>
      <c r="J600" s="12">
        <f>Raw_Data!J600</f>
        <v/>
      </c>
      <c r="K600" s="13">
        <f>Raw_Data!K600</f>
        <v/>
      </c>
      <c r="L600" s="12">
        <f>Raw_Data!L600</f>
        <v/>
      </c>
      <c r="M600" s="12">
        <f>Raw_Data!M600</f>
        <v/>
      </c>
      <c r="N600" s="12">
        <f>Raw_Data!N600</f>
        <v/>
      </c>
      <c r="O600">
        <f>Raw_Data!O600</f>
        <v/>
      </c>
      <c r="P600">
        <f>Raw_Data!P600</f>
        <v/>
      </c>
      <c r="Q600">
        <f>YEAR(B600)</f>
        <v/>
      </c>
      <c r="R600">
        <f>TEXT(B600,"mmm")</f>
        <v/>
      </c>
      <c r="S600" s="15">
        <f>IFERROR(N600/L600,0)</f>
        <v/>
      </c>
    </row>
    <row r="601">
      <c r="A601">
        <f>Raw_Data!A601</f>
        <v/>
      </c>
      <c r="B601" s="11">
        <f>Raw_Data!B601</f>
        <v/>
      </c>
      <c r="C601">
        <f>Raw_Data!C601</f>
        <v/>
      </c>
      <c r="D601">
        <f>Raw_Data!D601</f>
        <v/>
      </c>
      <c r="E601">
        <f>Raw_Data!E601</f>
        <v/>
      </c>
      <c r="F601">
        <f>Raw_Data!F601</f>
        <v/>
      </c>
      <c r="G601">
        <f>Raw_Data!G601</f>
        <v/>
      </c>
      <c r="H601">
        <f>Raw_Data!H601</f>
        <v/>
      </c>
      <c r="I601">
        <f>Raw_Data!I601</f>
        <v/>
      </c>
      <c r="J601" s="12">
        <f>Raw_Data!J601</f>
        <v/>
      </c>
      <c r="K601" s="13">
        <f>Raw_Data!K601</f>
        <v/>
      </c>
      <c r="L601" s="12">
        <f>Raw_Data!L601</f>
        <v/>
      </c>
      <c r="M601" s="12">
        <f>Raw_Data!M601</f>
        <v/>
      </c>
      <c r="N601" s="12">
        <f>Raw_Data!N601</f>
        <v/>
      </c>
      <c r="O601">
        <f>Raw_Data!O601</f>
        <v/>
      </c>
      <c r="P601">
        <f>Raw_Data!P601</f>
        <v/>
      </c>
      <c r="Q601">
        <f>YEAR(B601)</f>
        <v/>
      </c>
      <c r="R601">
        <f>TEXT(B601,"mmm")</f>
        <v/>
      </c>
      <c r="S601" s="15">
        <f>IFERROR(N601/L601,0)</f>
        <v/>
      </c>
    </row>
    <row r="602">
      <c r="A602">
        <f>Raw_Data!A602</f>
        <v/>
      </c>
      <c r="B602" s="11">
        <f>Raw_Data!B602</f>
        <v/>
      </c>
      <c r="C602">
        <f>Raw_Data!C602</f>
        <v/>
      </c>
      <c r="D602">
        <f>Raw_Data!D602</f>
        <v/>
      </c>
      <c r="E602">
        <f>Raw_Data!E602</f>
        <v/>
      </c>
      <c r="F602">
        <f>Raw_Data!F602</f>
        <v/>
      </c>
      <c r="G602">
        <f>Raw_Data!G602</f>
        <v/>
      </c>
      <c r="H602">
        <f>Raw_Data!H602</f>
        <v/>
      </c>
      <c r="I602">
        <f>Raw_Data!I602</f>
        <v/>
      </c>
      <c r="J602" s="12">
        <f>Raw_Data!J602</f>
        <v/>
      </c>
      <c r="K602" s="13">
        <f>Raw_Data!K602</f>
        <v/>
      </c>
      <c r="L602" s="12">
        <f>Raw_Data!L602</f>
        <v/>
      </c>
      <c r="M602" s="12">
        <f>Raw_Data!M602</f>
        <v/>
      </c>
      <c r="N602" s="12">
        <f>Raw_Data!N602</f>
        <v/>
      </c>
      <c r="O602">
        <f>Raw_Data!O602</f>
        <v/>
      </c>
      <c r="P602">
        <f>Raw_Data!P602</f>
        <v/>
      </c>
      <c r="Q602">
        <f>YEAR(B602)</f>
        <v/>
      </c>
      <c r="R602">
        <f>TEXT(B602,"mmm")</f>
        <v/>
      </c>
      <c r="S602" s="15">
        <f>IFERROR(N602/L602,0)</f>
        <v/>
      </c>
    </row>
    <row r="603">
      <c r="A603">
        <f>Raw_Data!A603</f>
        <v/>
      </c>
      <c r="B603" s="11">
        <f>Raw_Data!B603</f>
        <v/>
      </c>
      <c r="C603">
        <f>Raw_Data!C603</f>
        <v/>
      </c>
      <c r="D603">
        <f>Raw_Data!D603</f>
        <v/>
      </c>
      <c r="E603">
        <f>Raw_Data!E603</f>
        <v/>
      </c>
      <c r="F603">
        <f>Raw_Data!F603</f>
        <v/>
      </c>
      <c r="G603">
        <f>Raw_Data!G603</f>
        <v/>
      </c>
      <c r="H603">
        <f>Raw_Data!H603</f>
        <v/>
      </c>
      <c r="I603">
        <f>Raw_Data!I603</f>
        <v/>
      </c>
      <c r="J603" s="12">
        <f>Raw_Data!J603</f>
        <v/>
      </c>
      <c r="K603" s="13">
        <f>Raw_Data!K603</f>
        <v/>
      </c>
      <c r="L603" s="12">
        <f>Raw_Data!L603</f>
        <v/>
      </c>
      <c r="M603" s="12">
        <f>Raw_Data!M603</f>
        <v/>
      </c>
      <c r="N603" s="12">
        <f>Raw_Data!N603</f>
        <v/>
      </c>
      <c r="O603">
        <f>Raw_Data!O603</f>
        <v/>
      </c>
      <c r="P603">
        <f>Raw_Data!P603</f>
        <v/>
      </c>
      <c r="Q603">
        <f>YEAR(B603)</f>
        <v/>
      </c>
      <c r="R603">
        <f>TEXT(B603,"mmm")</f>
        <v/>
      </c>
      <c r="S603" s="15">
        <f>IFERROR(N603/L603,0)</f>
        <v/>
      </c>
    </row>
    <row r="604">
      <c r="A604">
        <f>Raw_Data!A604</f>
        <v/>
      </c>
      <c r="B604" s="11">
        <f>Raw_Data!B604</f>
        <v/>
      </c>
      <c r="C604">
        <f>Raw_Data!C604</f>
        <v/>
      </c>
      <c r="D604">
        <f>Raw_Data!D604</f>
        <v/>
      </c>
      <c r="E604">
        <f>Raw_Data!E604</f>
        <v/>
      </c>
      <c r="F604">
        <f>Raw_Data!F604</f>
        <v/>
      </c>
      <c r="G604">
        <f>Raw_Data!G604</f>
        <v/>
      </c>
      <c r="H604">
        <f>Raw_Data!H604</f>
        <v/>
      </c>
      <c r="I604">
        <f>Raw_Data!I604</f>
        <v/>
      </c>
      <c r="J604" s="12">
        <f>Raw_Data!J604</f>
        <v/>
      </c>
      <c r="K604" s="13">
        <f>Raw_Data!K604</f>
        <v/>
      </c>
      <c r="L604" s="12">
        <f>Raw_Data!L604</f>
        <v/>
      </c>
      <c r="M604" s="12">
        <f>Raw_Data!M604</f>
        <v/>
      </c>
      <c r="N604" s="12">
        <f>Raw_Data!N604</f>
        <v/>
      </c>
      <c r="O604">
        <f>Raw_Data!O604</f>
        <v/>
      </c>
      <c r="P604">
        <f>Raw_Data!P604</f>
        <v/>
      </c>
      <c r="Q604">
        <f>YEAR(B604)</f>
        <v/>
      </c>
      <c r="R604">
        <f>TEXT(B604,"mmm")</f>
        <v/>
      </c>
      <c r="S604" s="15">
        <f>IFERROR(N604/L604,0)</f>
        <v/>
      </c>
    </row>
    <row r="605">
      <c r="A605">
        <f>Raw_Data!A605</f>
        <v/>
      </c>
      <c r="B605" s="11">
        <f>Raw_Data!B605</f>
        <v/>
      </c>
      <c r="C605">
        <f>Raw_Data!C605</f>
        <v/>
      </c>
      <c r="D605">
        <f>Raw_Data!D605</f>
        <v/>
      </c>
      <c r="E605">
        <f>Raw_Data!E605</f>
        <v/>
      </c>
      <c r="F605">
        <f>Raw_Data!F605</f>
        <v/>
      </c>
      <c r="G605">
        <f>Raw_Data!G605</f>
        <v/>
      </c>
      <c r="H605">
        <f>Raw_Data!H605</f>
        <v/>
      </c>
      <c r="I605">
        <f>Raw_Data!I605</f>
        <v/>
      </c>
      <c r="J605" s="12">
        <f>Raw_Data!J605</f>
        <v/>
      </c>
      <c r="K605" s="13">
        <f>Raw_Data!K605</f>
        <v/>
      </c>
      <c r="L605" s="12">
        <f>Raw_Data!L605</f>
        <v/>
      </c>
      <c r="M605" s="12">
        <f>Raw_Data!M605</f>
        <v/>
      </c>
      <c r="N605" s="12">
        <f>Raw_Data!N605</f>
        <v/>
      </c>
      <c r="O605">
        <f>Raw_Data!O605</f>
        <v/>
      </c>
      <c r="P605">
        <f>Raw_Data!P605</f>
        <v/>
      </c>
      <c r="Q605">
        <f>YEAR(B605)</f>
        <v/>
      </c>
      <c r="R605">
        <f>TEXT(B605,"mmm")</f>
        <v/>
      </c>
      <c r="S605" s="15">
        <f>IFERROR(N605/L605,0)</f>
        <v/>
      </c>
    </row>
    <row r="606">
      <c r="A606">
        <f>Raw_Data!A606</f>
        <v/>
      </c>
      <c r="B606" s="11">
        <f>Raw_Data!B606</f>
        <v/>
      </c>
      <c r="C606">
        <f>Raw_Data!C606</f>
        <v/>
      </c>
      <c r="D606">
        <f>Raw_Data!D606</f>
        <v/>
      </c>
      <c r="E606">
        <f>Raw_Data!E606</f>
        <v/>
      </c>
      <c r="F606">
        <f>Raw_Data!F606</f>
        <v/>
      </c>
      <c r="G606">
        <f>Raw_Data!G606</f>
        <v/>
      </c>
      <c r="H606">
        <f>Raw_Data!H606</f>
        <v/>
      </c>
      <c r="I606">
        <f>Raw_Data!I606</f>
        <v/>
      </c>
      <c r="J606" s="12">
        <f>Raw_Data!J606</f>
        <v/>
      </c>
      <c r="K606" s="13">
        <f>Raw_Data!K606</f>
        <v/>
      </c>
      <c r="L606" s="12">
        <f>Raw_Data!L606</f>
        <v/>
      </c>
      <c r="M606" s="12">
        <f>Raw_Data!M606</f>
        <v/>
      </c>
      <c r="N606" s="12">
        <f>Raw_Data!N606</f>
        <v/>
      </c>
      <c r="O606">
        <f>Raw_Data!O606</f>
        <v/>
      </c>
      <c r="P606">
        <f>Raw_Data!P606</f>
        <v/>
      </c>
      <c r="Q606">
        <f>YEAR(B606)</f>
        <v/>
      </c>
      <c r="R606">
        <f>TEXT(B606,"mmm")</f>
        <v/>
      </c>
      <c r="S606" s="15">
        <f>IFERROR(N606/L606,0)</f>
        <v/>
      </c>
    </row>
    <row r="607">
      <c r="A607">
        <f>Raw_Data!A607</f>
        <v/>
      </c>
      <c r="B607" s="11">
        <f>Raw_Data!B607</f>
        <v/>
      </c>
      <c r="C607">
        <f>Raw_Data!C607</f>
        <v/>
      </c>
      <c r="D607">
        <f>Raw_Data!D607</f>
        <v/>
      </c>
      <c r="E607">
        <f>Raw_Data!E607</f>
        <v/>
      </c>
      <c r="F607">
        <f>Raw_Data!F607</f>
        <v/>
      </c>
      <c r="G607">
        <f>Raw_Data!G607</f>
        <v/>
      </c>
      <c r="H607">
        <f>Raw_Data!H607</f>
        <v/>
      </c>
      <c r="I607">
        <f>Raw_Data!I607</f>
        <v/>
      </c>
      <c r="J607" s="12">
        <f>Raw_Data!J607</f>
        <v/>
      </c>
      <c r="K607" s="13">
        <f>Raw_Data!K607</f>
        <v/>
      </c>
      <c r="L607" s="12">
        <f>Raw_Data!L607</f>
        <v/>
      </c>
      <c r="M607" s="12">
        <f>Raw_Data!M607</f>
        <v/>
      </c>
      <c r="N607" s="12">
        <f>Raw_Data!N607</f>
        <v/>
      </c>
      <c r="O607">
        <f>Raw_Data!O607</f>
        <v/>
      </c>
      <c r="P607">
        <f>Raw_Data!P607</f>
        <v/>
      </c>
      <c r="Q607">
        <f>YEAR(B607)</f>
        <v/>
      </c>
      <c r="R607">
        <f>TEXT(B607,"mmm")</f>
        <v/>
      </c>
      <c r="S607" s="15">
        <f>IFERROR(N607/L607,0)</f>
        <v/>
      </c>
    </row>
    <row r="608">
      <c r="A608">
        <f>Raw_Data!A608</f>
        <v/>
      </c>
      <c r="B608" s="11">
        <f>Raw_Data!B608</f>
        <v/>
      </c>
      <c r="C608">
        <f>Raw_Data!C608</f>
        <v/>
      </c>
      <c r="D608">
        <f>Raw_Data!D608</f>
        <v/>
      </c>
      <c r="E608">
        <f>Raw_Data!E608</f>
        <v/>
      </c>
      <c r="F608">
        <f>Raw_Data!F608</f>
        <v/>
      </c>
      <c r="G608">
        <f>Raw_Data!G608</f>
        <v/>
      </c>
      <c r="H608">
        <f>Raw_Data!H608</f>
        <v/>
      </c>
      <c r="I608">
        <f>Raw_Data!I608</f>
        <v/>
      </c>
      <c r="J608" s="12">
        <f>Raw_Data!J608</f>
        <v/>
      </c>
      <c r="K608" s="13">
        <f>Raw_Data!K608</f>
        <v/>
      </c>
      <c r="L608" s="12">
        <f>Raw_Data!L608</f>
        <v/>
      </c>
      <c r="M608" s="12">
        <f>Raw_Data!M608</f>
        <v/>
      </c>
      <c r="N608" s="12">
        <f>Raw_Data!N608</f>
        <v/>
      </c>
      <c r="O608">
        <f>Raw_Data!O608</f>
        <v/>
      </c>
      <c r="P608">
        <f>Raw_Data!P608</f>
        <v/>
      </c>
      <c r="Q608">
        <f>YEAR(B608)</f>
        <v/>
      </c>
      <c r="R608">
        <f>TEXT(B608,"mmm")</f>
        <v/>
      </c>
      <c r="S608" s="15">
        <f>IFERROR(N608/L608,0)</f>
        <v/>
      </c>
    </row>
    <row r="609">
      <c r="A609">
        <f>Raw_Data!A609</f>
        <v/>
      </c>
      <c r="B609" s="11">
        <f>Raw_Data!B609</f>
        <v/>
      </c>
      <c r="C609">
        <f>Raw_Data!C609</f>
        <v/>
      </c>
      <c r="D609">
        <f>Raw_Data!D609</f>
        <v/>
      </c>
      <c r="E609">
        <f>Raw_Data!E609</f>
        <v/>
      </c>
      <c r="F609">
        <f>Raw_Data!F609</f>
        <v/>
      </c>
      <c r="G609">
        <f>Raw_Data!G609</f>
        <v/>
      </c>
      <c r="H609">
        <f>Raw_Data!H609</f>
        <v/>
      </c>
      <c r="I609">
        <f>Raw_Data!I609</f>
        <v/>
      </c>
      <c r="J609" s="12">
        <f>Raw_Data!J609</f>
        <v/>
      </c>
      <c r="K609" s="13">
        <f>Raw_Data!K609</f>
        <v/>
      </c>
      <c r="L609" s="12">
        <f>Raw_Data!L609</f>
        <v/>
      </c>
      <c r="M609" s="12">
        <f>Raw_Data!M609</f>
        <v/>
      </c>
      <c r="N609" s="12">
        <f>Raw_Data!N609</f>
        <v/>
      </c>
      <c r="O609">
        <f>Raw_Data!O609</f>
        <v/>
      </c>
      <c r="P609">
        <f>Raw_Data!P609</f>
        <v/>
      </c>
      <c r="Q609">
        <f>YEAR(B609)</f>
        <v/>
      </c>
      <c r="R609">
        <f>TEXT(B609,"mmm")</f>
        <v/>
      </c>
      <c r="S609" s="15">
        <f>IFERROR(N609/L609,0)</f>
        <v/>
      </c>
    </row>
    <row r="610">
      <c r="A610">
        <f>Raw_Data!A610</f>
        <v/>
      </c>
      <c r="B610" s="11">
        <f>Raw_Data!B610</f>
        <v/>
      </c>
      <c r="C610">
        <f>Raw_Data!C610</f>
        <v/>
      </c>
      <c r="D610">
        <f>Raw_Data!D610</f>
        <v/>
      </c>
      <c r="E610">
        <f>Raw_Data!E610</f>
        <v/>
      </c>
      <c r="F610">
        <f>Raw_Data!F610</f>
        <v/>
      </c>
      <c r="G610">
        <f>Raw_Data!G610</f>
        <v/>
      </c>
      <c r="H610">
        <f>Raw_Data!H610</f>
        <v/>
      </c>
      <c r="I610">
        <f>Raw_Data!I610</f>
        <v/>
      </c>
      <c r="J610" s="12">
        <f>Raw_Data!J610</f>
        <v/>
      </c>
      <c r="K610" s="13">
        <f>Raw_Data!K610</f>
        <v/>
      </c>
      <c r="L610" s="12">
        <f>Raw_Data!L610</f>
        <v/>
      </c>
      <c r="M610" s="12">
        <f>Raw_Data!M610</f>
        <v/>
      </c>
      <c r="N610" s="12">
        <f>Raw_Data!N610</f>
        <v/>
      </c>
      <c r="O610">
        <f>Raw_Data!O610</f>
        <v/>
      </c>
      <c r="P610">
        <f>Raw_Data!P610</f>
        <v/>
      </c>
      <c r="Q610">
        <f>YEAR(B610)</f>
        <v/>
      </c>
      <c r="R610">
        <f>TEXT(B610,"mmm")</f>
        <v/>
      </c>
      <c r="S610" s="15">
        <f>IFERROR(N610/L610,0)</f>
        <v/>
      </c>
    </row>
    <row r="611">
      <c r="A611">
        <f>Raw_Data!A611</f>
        <v/>
      </c>
      <c r="B611" s="11">
        <f>Raw_Data!B611</f>
        <v/>
      </c>
      <c r="C611">
        <f>Raw_Data!C611</f>
        <v/>
      </c>
      <c r="D611">
        <f>Raw_Data!D611</f>
        <v/>
      </c>
      <c r="E611">
        <f>Raw_Data!E611</f>
        <v/>
      </c>
      <c r="F611">
        <f>Raw_Data!F611</f>
        <v/>
      </c>
      <c r="G611">
        <f>Raw_Data!G611</f>
        <v/>
      </c>
      <c r="H611">
        <f>Raw_Data!H611</f>
        <v/>
      </c>
      <c r="I611">
        <f>Raw_Data!I611</f>
        <v/>
      </c>
      <c r="J611" s="12">
        <f>Raw_Data!J611</f>
        <v/>
      </c>
      <c r="K611" s="13">
        <f>Raw_Data!K611</f>
        <v/>
      </c>
      <c r="L611" s="12">
        <f>Raw_Data!L611</f>
        <v/>
      </c>
      <c r="M611" s="12">
        <f>Raw_Data!M611</f>
        <v/>
      </c>
      <c r="N611" s="12">
        <f>Raw_Data!N611</f>
        <v/>
      </c>
      <c r="O611">
        <f>Raw_Data!O611</f>
        <v/>
      </c>
      <c r="P611">
        <f>Raw_Data!P611</f>
        <v/>
      </c>
      <c r="Q611">
        <f>YEAR(B611)</f>
        <v/>
      </c>
      <c r="R611">
        <f>TEXT(B611,"mmm")</f>
        <v/>
      </c>
      <c r="S611" s="15">
        <f>IFERROR(N611/L611,0)</f>
        <v/>
      </c>
    </row>
    <row r="612">
      <c r="A612">
        <f>Raw_Data!A612</f>
        <v/>
      </c>
      <c r="B612" s="11">
        <f>Raw_Data!B612</f>
        <v/>
      </c>
      <c r="C612">
        <f>Raw_Data!C612</f>
        <v/>
      </c>
      <c r="D612">
        <f>Raw_Data!D612</f>
        <v/>
      </c>
      <c r="E612">
        <f>Raw_Data!E612</f>
        <v/>
      </c>
      <c r="F612">
        <f>Raw_Data!F612</f>
        <v/>
      </c>
      <c r="G612">
        <f>Raw_Data!G612</f>
        <v/>
      </c>
      <c r="H612">
        <f>Raw_Data!H612</f>
        <v/>
      </c>
      <c r="I612">
        <f>Raw_Data!I612</f>
        <v/>
      </c>
      <c r="J612" s="12">
        <f>Raw_Data!J612</f>
        <v/>
      </c>
      <c r="K612" s="13">
        <f>Raw_Data!K612</f>
        <v/>
      </c>
      <c r="L612" s="12">
        <f>Raw_Data!L612</f>
        <v/>
      </c>
      <c r="M612" s="12">
        <f>Raw_Data!M612</f>
        <v/>
      </c>
      <c r="N612" s="12">
        <f>Raw_Data!N612</f>
        <v/>
      </c>
      <c r="O612">
        <f>Raw_Data!O612</f>
        <v/>
      </c>
      <c r="P612">
        <f>Raw_Data!P612</f>
        <v/>
      </c>
      <c r="Q612">
        <f>YEAR(B612)</f>
        <v/>
      </c>
      <c r="R612">
        <f>TEXT(B612,"mmm")</f>
        <v/>
      </c>
      <c r="S612" s="15">
        <f>IFERROR(N612/L612,0)</f>
        <v/>
      </c>
    </row>
    <row r="613">
      <c r="A613">
        <f>Raw_Data!A613</f>
        <v/>
      </c>
      <c r="B613" s="11">
        <f>Raw_Data!B613</f>
        <v/>
      </c>
      <c r="C613">
        <f>Raw_Data!C613</f>
        <v/>
      </c>
      <c r="D613">
        <f>Raw_Data!D613</f>
        <v/>
      </c>
      <c r="E613">
        <f>Raw_Data!E613</f>
        <v/>
      </c>
      <c r="F613">
        <f>Raw_Data!F613</f>
        <v/>
      </c>
      <c r="G613">
        <f>Raw_Data!G613</f>
        <v/>
      </c>
      <c r="H613">
        <f>Raw_Data!H613</f>
        <v/>
      </c>
      <c r="I613">
        <f>Raw_Data!I613</f>
        <v/>
      </c>
      <c r="J613" s="12">
        <f>Raw_Data!J613</f>
        <v/>
      </c>
      <c r="K613" s="13">
        <f>Raw_Data!K613</f>
        <v/>
      </c>
      <c r="L613" s="12">
        <f>Raw_Data!L613</f>
        <v/>
      </c>
      <c r="M613" s="12">
        <f>Raw_Data!M613</f>
        <v/>
      </c>
      <c r="N613" s="12">
        <f>Raw_Data!N613</f>
        <v/>
      </c>
      <c r="O613">
        <f>Raw_Data!O613</f>
        <v/>
      </c>
      <c r="P613">
        <f>Raw_Data!P613</f>
        <v/>
      </c>
      <c r="Q613">
        <f>YEAR(B613)</f>
        <v/>
      </c>
      <c r="R613">
        <f>TEXT(B613,"mmm")</f>
        <v/>
      </c>
      <c r="S613" s="15">
        <f>IFERROR(N613/L613,0)</f>
        <v/>
      </c>
    </row>
    <row r="614">
      <c r="A614">
        <f>Raw_Data!A614</f>
        <v/>
      </c>
      <c r="B614" s="11">
        <f>Raw_Data!B614</f>
        <v/>
      </c>
      <c r="C614">
        <f>Raw_Data!C614</f>
        <v/>
      </c>
      <c r="D614">
        <f>Raw_Data!D614</f>
        <v/>
      </c>
      <c r="E614">
        <f>Raw_Data!E614</f>
        <v/>
      </c>
      <c r="F614">
        <f>Raw_Data!F614</f>
        <v/>
      </c>
      <c r="G614">
        <f>Raw_Data!G614</f>
        <v/>
      </c>
      <c r="H614">
        <f>Raw_Data!H614</f>
        <v/>
      </c>
      <c r="I614">
        <f>Raw_Data!I614</f>
        <v/>
      </c>
      <c r="J614" s="12">
        <f>Raw_Data!J614</f>
        <v/>
      </c>
      <c r="K614" s="13">
        <f>Raw_Data!K614</f>
        <v/>
      </c>
      <c r="L614" s="12">
        <f>Raw_Data!L614</f>
        <v/>
      </c>
      <c r="M614" s="12">
        <f>Raw_Data!M614</f>
        <v/>
      </c>
      <c r="N614" s="12">
        <f>Raw_Data!N614</f>
        <v/>
      </c>
      <c r="O614">
        <f>Raw_Data!O614</f>
        <v/>
      </c>
      <c r="P614">
        <f>Raw_Data!P614</f>
        <v/>
      </c>
      <c r="Q614">
        <f>YEAR(B614)</f>
        <v/>
      </c>
      <c r="R614">
        <f>TEXT(B614,"mmm")</f>
        <v/>
      </c>
      <c r="S614" s="15">
        <f>IFERROR(N614/L614,0)</f>
        <v/>
      </c>
    </row>
    <row r="615">
      <c r="A615">
        <f>Raw_Data!A615</f>
        <v/>
      </c>
      <c r="B615" s="11">
        <f>Raw_Data!B615</f>
        <v/>
      </c>
      <c r="C615">
        <f>Raw_Data!C615</f>
        <v/>
      </c>
      <c r="D615">
        <f>Raw_Data!D615</f>
        <v/>
      </c>
      <c r="E615">
        <f>Raw_Data!E615</f>
        <v/>
      </c>
      <c r="F615">
        <f>Raw_Data!F615</f>
        <v/>
      </c>
      <c r="G615">
        <f>Raw_Data!G615</f>
        <v/>
      </c>
      <c r="H615">
        <f>Raw_Data!H615</f>
        <v/>
      </c>
      <c r="I615">
        <f>Raw_Data!I615</f>
        <v/>
      </c>
      <c r="J615" s="12">
        <f>Raw_Data!J615</f>
        <v/>
      </c>
      <c r="K615" s="13">
        <f>Raw_Data!K615</f>
        <v/>
      </c>
      <c r="L615" s="12">
        <f>Raw_Data!L615</f>
        <v/>
      </c>
      <c r="M615" s="12">
        <f>Raw_Data!M615</f>
        <v/>
      </c>
      <c r="N615" s="12">
        <f>Raw_Data!N615</f>
        <v/>
      </c>
      <c r="O615">
        <f>Raw_Data!O615</f>
        <v/>
      </c>
      <c r="P615">
        <f>Raw_Data!P615</f>
        <v/>
      </c>
      <c r="Q615">
        <f>YEAR(B615)</f>
        <v/>
      </c>
      <c r="R615">
        <f>TEXT(B615,"mmm")</f>
        <v/>
      </c>
      <c r="S615" s="15">
        <f>IFERROR(N615/L615,0)</f>
        <v/>
      </c>
    </row>
    <row r="616">
      <c r="A616">
        <f>Raw_Data!A616</f>
        <v/>
      </c>
      <c r="B616" s="11">
        <f>Raw_Data!B616</f>
        <v/>
      </c>
      <c r="C616">
        <f>Raw_Data!C616</f>
        <v/>
      </c>
      <c r="D616">
        <f>Raw_Data!D616</f>
        <v/>
      </c>
      <c r="E616">
        <f>Raw_Data!E616</f>
        <v/>
      </c>
      <c r="F616">
        <f>Raw_Data!F616</f>
        <v/>
      </c>
      <c r="G616">
        <f>Raw_Data!G616</f>
        <v/>
      </c>
      <c r="H616">
        <f>Raw_Data!H616</f>
        <v/>
      </c>
      <c r="I616">
        <f>Raw_Data!I616</f>
        <v/>
      </c>
      <c r="J616" s="12">
        <f>Raw_Data!J616</f>
        <v/>
      </c>
      <c r="K616" s="13">
        <f>Raw_Data!K616</f>
        <v/>
      </c>
      <c r="L616" s="12">
        <f>Raw_Data!L616</f>
        <v/>
      </c>
      <c r="M616" s="12">
        <f>Raw_Data!M616</f>
        <v/>
      </c>
      <c r="N616" s="12">
        <f>Raw_Data!N616</f>
        <v/>
      </c>
      <c r="O616">
        <f>Raw_Data!O616</f>
        <v/>
      </c>
      <c r="P616">
        <f>Raw_Data!P616</f>
        <v/>
      </c>
      <c r="Q616">
        <f>YEAR(B616)</f>
        <v/>
      </c>
      <c r="R616">
        <f>TEXT(B616,"mmm")</f>
        <v/>
      </c>
      <c r="S616" s="15">
        <f>IFERROR(N616/L616,0)</f>
        <v/>
      </c>
    </row>
    <row r="617">
      <c r="A617">
        <f>Raw_Data!A617</f>
        <v/>
      </c>
      <c r="B617" s="11">
        <f>Raw_Data!B617</f>
        <v/>
      </c>
      <c r="C617">
        <f>Raw_Data!C617</f>
        <v/>
      </c>
      <c r="D617">
        <f>Raw_Data!D617</f>
        <v/>
      </c>
      <c r="E617">
        <f>Raw_Data!E617</f>
        <v/>
      </c>
      <c r="F617">
        <f>Raw_Data!F617</f>
        <v/>
      </c>
      <c r="G617">
        <f>Raw_Data!G617</f>
        <v/>
      </c>
      <c r="H617">
        <f>Raw_Data!H617</f>
        <v/>
      </c>
      <c r="I617">
        <f>Raw_Data!I617</f>
        <v/>
      </c>
      <c r="J617" s="12">
        <f>Raw_Data!J617</f>
        <v/>
      </c>
      <c r="K617" s="13">
        <f>Raw_Data!K617</f>
        <v/>
      </c>
      <c r="L617" s="12">
        <f>Raw_Data!L617</f>
        <v/>
      </c>
      <c r="M617" s="12">
        <f>Raw_Data!M617</f>
        <v/>
      </c>
      <c r="N617" s="12">
        <f>Raw_Data!N617</f>
        <v/>
      </c>
      <c r="O617">
        <f>Raw_Data!O617</f>
        <v/>
      </c>
      <c r="P617">
        <f>Raw_Data!P617</f>
        <v/>
      </c>
      <c r="Q617">
        <f>YEAR(B617)</f>
        <v/>
      </c>
      <c r="R617">
        <f>TEXT(B617,"mmm")</f>
        <v/>
      </c>
      <c r="S617" s="15">
        <f>IFERROR(N617/L617,0)</f>
        <v/>
      </c>
    </row>
    <row r="618">
      <c r="A618">
        <f>Raw_Data!A618</f>
        <v/>
      </c>
      <c r="B618" s="11">
        <f>Raw_Data!B618</f>
        <v/>
      </c>
      <c r="C618">
        <f>Raw_Data!C618</f>
        <v/>
      </c>
      <c r="D618">
        <f>Raw_Data!D618</f>
        <v/>
      </c>
      <c r="E618">
        <f>Raw_Data!E618</f>
        <v/>
      </c>
      <c r="F618">
        <f>Raw_Data!F618</f>
        <v/>
      </c>
      <c r="G618">
        <f>Raw_Data!G618</f>
        <v/>
      </c>
      <c r="H618">
        <f>Raw_Data!H618</f>
        <v/>
      </c>
      <c r="I618">
        <f>Raw_Data!I618</f>
        <v/>
      </c>
      <c r="J618" s="12">
        <f>Raw_Data!J618</f>
        <v/>
      </c>
      <c r="K618" s="13">
        <f>Raw_Data!K618</f>
        <v/>
      </c>
      <c r="L618" s="12">
        <f>Raw_Data!L618</f>
        <v/>
      </c>
      <c r="M618" s="12">
        <f>Raw_Data!M618</f>
        <v/>
      </c>
      <c r="N618" s="12">
        <f>Raw_Data!N618</f>
        <v/>
      </c>
      <c r="O618">
        <f>Raw_Data!O618</f>
        <v/>
      </c>
      <c r="P618">
        <f>Raw_Data!P618</f>
        <v/>
      </c>
      <c r="Q618">
        <f>YEAR(B618)</f>
        <v/>
      </c>
      <c r="R618">
        <f>TEXT(B618,"mmm")</f>
        <v/>
      </c>
      <c r="S618" s="15">
        <f>IFERROR(N618/L618,0)</f>
        <v/>
      </c>
    </row>
    <row r="619">
      <c r="A619">
        <f>Raw_Data!A619</f>
        <v/>
      </c>
      <c r="B619" s="11">
        <f>Raw_Data!B619</f>
        <v/>
      </c>
      <c r="C619">
        <f>Raw_Data!C619</f>
        <v/>
      </c>
      <c r="D619">
        <f>Raw_Data!D619</f>
        <v/>
      </c>
      <c r="E619">
        <f>Raw_Data!E619</f>
        <v/>
      </c>
      <c r="F619">
        <f>Raw_Data!F619</f>
        <v/>
      </c>
      <c r="G619">
        <f>Raw_Data!G619</f>
        <v/>
      </c>
      <c r="H619">
        <f>Raw_Data!H619</f>
        <v/>
      </c>
      <c r="I619">
        <f>Raw_Data!I619</f>
        <v/>
      </c>
      <c r="J619" s="12">
        <f>Raw_Data!J619</f>
        <v/>
      </c>
      <c r="K619" s="13">
        <f>Raw_Data!K619</f>
        <v/>
      </c>
      <c r="L619" s="12">
        <f>Raw_Data!L619</f>
        <v/>
      </c>
      <c r="M619" s="12">
        <f>Raw_Data!M619</f>
        <v/>
      </c>
      <c r="N619" s="12">
        <f>Raw_Data!N619</f>
        <v/>
      </c>
      <c r="O619">
        <f>Raw_Data!O619</f>
        <v/>
      </c>
      <c r="P619">
        <f>Raw_Data!P619</f>
        <v/>
      </c>
      <c r="Q619">
        <f>YEAR(B619)</f>
        <v/>
      </c>
      <c r="R619">
        <f>TEXT(B619,"mmm")</f>
        <v/>
      </c>
      <c r="S619" s="15">
        <f>IFERROR(N619/L619,0)</f>
        <v/>
      </c>
    </row>
    <row r="620">
      <c r="A620">
        <f>Raw_Data!A620</f>
        <v/>
      </c>
      <c r="B620" s="11">
        <f>Raw_Data!B620</f>
        <v/>
      </c>
      <c r="C620">
        <f>Raw_Data!C620</f>
        <v/>
      </c>
      <c r="D620">
        <f>Raw_Data!D620</f>
        <v/>
      </c>
      <c r="E620">
        <f>Raw_Data!E620</f>
        <v/>
      </c>
      <c r="F620">
        <f>Raw_Data!F620</f>
        <v/>
      </c>
      <c r="G620">
        <f>Raw_Data!G620</f>
        <v/>
      </c>
      <c r="H620">
        <f>Raw_Data!H620</f>
        <v/>
      </c>
      <c r="I620">
        <f>Raw_Data!I620</f>
        <v/>
      </c>
      <c r="J620" s="12">
        <f>Raw_Data!J620</f>
        <v/>
      </c>
      <c r="K620" s="13">
        <f>Raw_Data!K620</f>
        <v/>
      </c>
      <c r="L620" s="12">
        <f>Raw_Data!L620</f>
        <v/>
      </c>
      <c r="M620" s="12">
        <f>Raw_Data!M620</f>
        <v/>
      </c>
      <c r="N620" s="12">
        <f>Raw_Data!N620</f>
        <v/>
      </c>
      <c r="O620">
        <f>Raw_Data!O620</f>
        <v/>
      </c>
      <c r="P620">
        <f>Raw_Data!P620</f>
        <v/>
      </c>
      <c r="Q620">
        <f>YEAR(B620)</f>
        <v/>
      </c>
      <c r="R620">
        <f>TEXT(B620,"mmm")</f>
        <v/>
      </c>
      <c r="S620" s="15">
        <f>IFERROR(N620/L620,0)</f>
        <v/>
      </c>
    </row>
    <row r="621">
      <c r="A621">
        <f>Raw_Data!A621</f>
        <v/>
      </c>
      <c r="B621" s="11">
        <f>Raw_Data!B621</f>
        <v/>
      </c>
      <c r="C621">
        <f>Raw_Data!C621</f>
        <v/>
      </c>
      <c r="D621">
        <f>Raw_Data!D621</f>
        <v/>
      </c>
      <c r="E621">
        <f>Raw_Data!E621</f>
        <v/>
      </c>
      <c r="F621">
        <f>Raw_Data!F621</f>
        <v/>
      </c>
      <c r="G621">
        <f>Raw_Data!G621</f>
        <v/>
      </c>
      <c r="H621">
        <f>Raw_Data!H621</f>
        <v/>
      </c>
      <c r="I621">
        <f>Raw_Data!I621</f>
        <v/>
      </c>
      <c r="J621" s="12">
        <f>Raw_Data!J621</f>
        <v/>
      </c>
      <c r="K621" s="13">
        <f>Raw_Data!K621</f>
        <v/>
      </c>
      <c r="L621" s="12">
        <f>Raw_Data!L621</f>
        <v/>
      </c>
      <c r="M621" s="12">
        <f>Raw_Data!M621</f>
        <v/>
      </c>
      <c r="N621" s="12">
        <f>Raw_Data!N621</f>
        <v/>
      </c>
      <c r="O621">
        <f>Raw_Data!O621</f>
        <v/>
      </c>
      <c r="P621">
        <f>Raw_Data!P621</f>
        <v/>
      </c>
      <c r="Q621">
        <f>YEAR(B621)</f>
        <v/>
      </c>
      <c r="R621">
        <f>TEXT(B621,"mmm")</f>
        <v/>
      </c>
      <c r="S621" s="15">
        <f>IFERROR(N621/L621,0)</f>
        <v/>
      </c>
    </row>
    <row r="622">
      <c r="A622">
        <f>Raw_Data!A622</f>
        <v/>
      </c>
      <c r="B622" s="11">
        <f>Raw_Data!B622</f>
        <v/>
      </c>
      <c r="C622">
        <f>Raw_Data!C622</f>
        <v/>
      </c>
      <c r="D622">
        <f>Raw_Data!D622</f>
        <v/>
      </c>
      <c r="E622">
        <f>Raw_Data!E622</f>
        <v/>
      </c>
      <c r="F622">
        <f>Raw_Data!F622</f>
        <v/>
      </c>
      <c r="G622">
        <f>Raw_Data!G622</f>
        <v/>
      </c>
      <c r="H622">
        <f>Raw_Data!H622</f>
        <v/>
      </c>
      <c r="I622">
        <f>Raw_Data!I622</f>
        <v/>
      </c>
      <c r="J622" s="12">
        <f>Raw_Data!J622</f>
        <v/>
      </c>
      <c r="K622" s="13">
        <f>Raw_Data!K622</f>
        <v/>
      </c>
      <c r="L622" s="12">
        <f>Raw_Data!L622</f>
        <v/>
      </c>
      <c r="M622" s="12">
        <f>Raw_Data!M622</f>
        <v/>
      </c>
      <c r="N622" s="12">
        <f>Raw_Data!N622</f>
        <v/>
      </c>
      <c r="O622">
        <f>Raw_Data!O622</f>
        <v/>
      </c>
      <c r="P622">
        <f>Raw_Data!P622</f>
        <v/>
      </c>
      <c r="Q622">
        <f>YEAR(B622)</f>
        <v/>
      </c>
      <c r="R622">
        <f>TEXT(B622,"mmm")</f>
        <v/>
      </c>
      <c r="S622" s="15">
        <f>IFERROR(N622/L622,0)</f>
        <v/>
      </c>
    </row>
    <row r="623">
      <c r="A623">
        <f>Raw_Data!A623</f>
        <v/>
      </c>
      <c r="B623" s="11">
        <f>Raw_Data!B623</f>
        <v/>
      </c>
      <c r="C623">
        <f>Raw_Data!C623</f>
        <v/>
      </c>
      <c r="D623">
        <f>Raw_Data!D623</f>
        <v/>
      </c>
      <c r="E623">
        <f>Raw_Data!E623</f>
        <v/>
      </c>
      <c r="F623">
        <f>Raw_Data!F623</f>
        <v/>
      </c>
      <c r="G623">
        <f>Raw_Data!G623</f>
        <v/>
      </c>
      <c r="H623">
        <f>Raw_Data!H623</f>
        <v/>
      </c>
      <c r="I623">
        <f>Raw_Data!I623</f>
        <v/>
      </c>
      <c r="J623" s="12">
        <f>Raw_Data!J623</f>
        <v/>
      </c>
      <c r="K623" s="13">
        <f>Raw_Data!K623</f>
        <v/>
      </c>
      <c r="L623" s="12">
        <f>Raw_Data!L623</f>
        <v/>
      </c>
      <c r="M623" s="12">
        <f>Raw_Data!M623</f>
        <v/>
      </c>
      <c r="N623" s="12">
        <f>Raw_Data!N623</f>
        <v/>
      </c>
      <c r="O623">
        <f>Raw_Data!O623</f>
        <v/>
      </c>
      <c r="P623">
        <f>Raw_Data!P623</f>
        <v/>
      </c>
      <c r="Q623">
        <f>YEAR(B623)</f>
        <v/>
      </c>
      <c r="R623">
        <f>TEXT(B623,"mmm")</f>
        <v/>
      </c>
      <c r="S623" s="15">
        <f>IFERROR(N623/L623,0)</f>
        <v/>
      </c>
    </row>
    <row r="624">
      <c r="A624">
        <f>Raw_Data!A624</f>
        <v/>
      </c>
      <c r="B624" s="11">
        <f>Raw_Data!B624</f>
        <v/>
      </c>
      <c r="C624">
        <f>Raw_Data!C624</f>
        <v/>
      </c>
      <c r="D624">
        <f>Raw_Data!D624</f>
        <v/>
      </c>
      <c r="E624">
        <f>Raw_Data!E624</f>
        <v/>
      </c>
      <c r="F624">
        <f>Raw_Data!F624</f>
        <v/>
      </c>
      <c r="G624">
        <f>Raw_Data!G624</f>
        <v/>
      </c>
      <c r="H624">
        <f>Raw_Data!H624</f>
        <v/>
      </c>
      <c r="I624">
        <f>Raw_Data!I624</f>
        <v/>
      </c>
      <c r="J624" s="12">
        <f>Raw_Data!J624</f>
        <v/>
      </c>
      <c r="K624" s="13">
        <f>Raw_Data!K624</f>
        <v/>
      </c>
      <c r="L624" s="12">
        <f>Raw_Data!L624</f>
        <v/>
      </c>
      <c r="M624" s="12">
        <f>Raw_Data!M624</f>
        <v/>
      </c>
      <c r="N624" s="12">
        <f>Raw_Data!N624</f>
        <v/>
      </c>
      <c r="O624">
        <f>Raw_Data!O624</f>
        <v/>
      </c>
      <c r="P624">
        <f>Raw_Data!P624</f>
        <v/>
      </c>
      <c r="Q624">
        <f>YEAR(B624)</f>
        <v/>
      </c>
      <c r="R624">
        <f>TEXT(B624,"mmm")</f>
        <v/>
      </c>
      <c r="S624" s="15">
        <f>IFERROR(N624/L624,0)</f>
        <v/>
      </c>
    </row>
    <row r="625">
      <c r="A625">
        <f>Raw_Data!A625</f>
        <v/>
      </c>
      <c r="B625" s="11">
        <f>Raw_Data!B625</f>
        <v/>
      </c>
      <c r="C625">
        <f>Raw_Data!C625</f>
        <v/>
      </c>
      <c r="D625">
        <f>Raw_Data!D625</f>
        <v/>
      </c>
      <c r="E625">
        <f>Raw_Data!E625</f>
        <v/>
      </c>
      <c r="F625">
        <f>Raw_Data!F625</f>
        <v/>
      </c>
      <c r="G625">
        <f>Raw_Data!G625</f>
        <v/>
      </c>
      <c r="H625">
        <f>Raw_Data!H625</f>
        <v/>
      </c>
      <c r="I625">
        <f>Raw_Data!I625</f>
        <v/>
      </c>
      <c r="J625" s="12">
        <f>Raw_Data!J625</f>
        <v/>
      </c>
      <c r="K625" s="13">
        <f>Raw_Data!K625</f>
        <v/>
      </c>
      <c r="L625" s="12">
        <f>Raw_Data!L625</f>
        <v/>
      </c>
      <c r="M625" s="12">
        <f>Raw_Data!M625</f>
        <v/>
      </c>
      <c r="N625" s="12">
        <f>Raw_Data!N625</f>
        <v/>
      </c>
      <c r="O625">
        <f>Raw_Data!O625</f>
        <v/>
      </c>
      <c r="P625">
        <f>Raw_Data!P625</f>
        <v/>
      </c>
      <c r="Q625">
        <f>YEAR(B625)</f>
        <v/>
      </c>
      <c r="R625">
        <f>TEXT(B625,"mmm")</f>
        <v/>
      </c>
      <c r="S625" s="15">
        <f>IFERROR(N625/L625,0)</f>
        <v/>
      </c>
    </row>
    <row r="626">
      <c r="A626">
        <f>Raw_Data!A626</f>
        <v/>
      </c>
      <c r="B626" s="11">
        <f>Raw_Data!B626</f>
        <v/>
      </c>
      <c r="C626">
        <f>Raw_Data!C626</f>
        <v/>
      </c>
      <c r="D626">
        <f>Raw_Data!D626</f>
        <v/>
      </c>
      <c r="E626">
        <f>Raw_Data!E626</f>
        <v/>
      </c>
      <c r="F626">
        <f>Raw_Data!F626</f>
        <v/>
      </c>
      <c r="G626">
        <f>Raw_Data!G626</f>
        <v/>
      </c>
      <c r="H626">
        <f>Raw_Data!H626</f>
        <v/>
      </c>
      <c r="I626">
        <f>Raw_Data!I626</f>
        <v/>
      </c>
      <c r="J626" s="12">
        <f>Raw_Data!J626</f>
        <v/>
      </c>
      <c r="K626" s="13">
        <f>Raw_Data!K626</f>
        <v/>
      </c>
      <c r="L626" s="12">
        <f>Raw_Data!L626</f>
        <v/>
      </c>
      <c r="M626" s="12">
        <f>Raw_Data!M626</f>
        <v/>
      </c>
      <c r="N626" s="12">
        <f>Raw_Data!N626</f>
        <v/>
      </c>
      <c r="O626">
        <f>Raw_Data!O626</f>
        <v/>
      </c>
      <c r="P626">
        <f>Raw_Data!P626</f>
        <v/>
      </c>
      <c r="Q626">
        <f>YEAR(B626)</f>
        <v/>
      </c>
      <c r="R626">
        <f>TEXT(B626,"mmm")</f>
        <v/>
      </c>
      <c r="S626" s="15">
        <f>IFERROR(N626/L626,0)</f>
        <v/>
      </c>
    </row>
    <row r="627">
      <c r="A627">
        <f>Raw_Data!A627</f>
        <v/>
      </c>
      <c r="B627" s="11">
        <f>Raw_Data!B627</f>
        <v/>
      </c>
      <c r="C627">
        <f>Raw_Data!C627</f>
        <v/>
      </c>
      <c r="D627">
        <f>Raw_Data!D627</f>
        <v/>
      </c>
      <c r="E627">
        <f>Raw_Data!E627</f>
        <v/>
      </c>
      <c r="F627">
        <f>Raw_Data!F627</f>
        <v/>
      </c>
      <c r="G627">
        <f>Raw_Data!G627</f>
        <v/>
      </c>
      <c r="H627">
        <f>Raw_Data!H627</f>
        <v/>
      </c>
      <c r="I627">
        <f>Raw_Data!I627</f>
        <v/>
      </c>
      <c r="J627" s="12">
        <f>Raw_Data!J627</f>
        <v/>
      </c>
      <c r="K627" s="13">
        <f>Raw_Data!K627</f>
        <v/>
      </c>
      <c r="L627" s="12">
        <f>Raw_Data!L627</f>
        <v/>
      </c>
      <c r="M627" s="12">
        <f>Raw_Data!M627</f>
        <v/>
      </c>
      <c r="N627" s="12">
        <f>Raw_Data!N627</f>
        <v/>
      </c>
      <c r="O627">
        <f>Raw_Data!O627</f>
        <v/>
      </c>
      <c r="P627">
        <f>Raw_Data!P627</f>
        <v/>
      </c>
      <c r="Q627">
        <f>YEAR(B627)</f>
        <v/>
      </c>
      <c r="R627">
        <f>TEXT(B627,"mmm")</f>
        <v/>
      </c>
      <c r="S627" s="15">
        <f>IFERROR(N627/L627,0)</f>
        <v/>
      </c>
    </row>
    <row r="628">
      <c r="A628">
        <f>Raw_Data!A628</f>
        <v/>
      </c>
      <c r="B628" s="11">
        <f>Raw_Data!B628</f>
        <v/>
      </c>
      <c r="C628">
        <f>Raw_Data!C628</f>
        <v/>
      </c>
      <c r="D628">
        <f>Raw_Data!D628</f>
        <v/>
      </c>
      <c r="E628">
        <f>Raw_Data!E628</f>
        <v/>
      </c>
      <c r="F628">
        <f>Raw_Data!F628</f>
        <v/>
      </c>
      <c r="G628">
        <f>Raw_Data!G628</f>
        <v/>
      </c>
      <c r="H628">
        <f>Raw_Data!H628</f>
        <v/>
      </c>
      <c r="I628">
        <f>Raw_Data!I628</f>
        <v/>
      </c>
      <c r="J628" s="12">
        <f>Raw_Data!J628</f>
        <v/>
      </c>
      <c r="K628" s="13">
        <f>Raw_Data!K628</f>
        <v/>
      </c>
      <c r="L628" s="12">
        <f>Raw_Data!L628</f>
        <v/>
      </c>
      <c r="M628" s="12">
        <f>Raw_Data!M628</f>
        <v/>
      </c>
      <c r="N628" s="12">
        <f>Raw_Data!N628</f>
        <v/>
      </c>
      <c r="O628">
        <f>Raw_Data!O628</f>
        <v/>
      </c>
      <c r="P628">
        <f>Raw_Data!P628</f>
        <v/>
      </c>
      <c r="Q628">
        <f>YEAR(B628)</f>
        <v/>
      </c>
      <c r="R628">
        <f>TEXT(B628,"mmm")</f>
        <v/>
      </c>
      <c r="S628" s="15">
        <f>IFERROR(N628/L628,0)</f>
        <v/>
      </c>
    </row>
    <row r="629">
      <c r="A629">
        <f>Raw_Data!A629</f>
        <v/>
      </c>
      <c r="B629" s="11">
        <f>Raw_Data!B629</f>
        <v/>
      </c>
      <c r="C629">
        <f>Raw_Data!C629</f>
        <v/>
      </c>
      <c r="D629">
        <f>Raw_Data!D629</f>
        <v/>
      </c>
      <c r="E629">
        <f>Raw_Data!E629</f>
        <v/>
      </c>
      <c r="F629">
        <f>Raw_Data!F629</f>
        <v/>
      </c>
      <c r="G629">
        <f>Raw_Data!G629</f>
        <v/>
      </c>
      <c r="H629">
        <f>Raw_Data!H629</f>
        <v/>
      </c>
      <c r="I629">
        <f>Raw_Data!I629</f>
        <v/>
      </c>
      <c r="J629" s="12">
        <f>Raw_Data!J629</f>
        <v/>
      </c>
      <c r="K629" s="13">
        <f>Raw_Data!K629</f>
        <v/>
      </c>
      <c r="L629" s="12">
        <f>Raw_Data!L629</f>
        <v/>
      </c>
      <c r="M629" s="12">
        <f>Raw_Data!M629</f>
        <v/>
      </c>
      <c r="N629" s="12">
        <f>Raw_Data!N629</f>
        <v/>
      </c>
      <c r="O629">
        <f>Raw_Data!O629</f>
        <v/>
      </c>
      <c r="P629">
        <f>Raw_Data!P629</f>
        <v/>
      </c>
      <c r="Q629">
        <f>YEAR(B629)</f>
        <v/>
      </c>
      <c r="R629">
        <f>TEXT(B629,"mmm")</f>
        <v/>
      </c>
      <c r="S629" s="15">
        <f>IFERROR(N629/L629,0)</f>
        <v/>
      </c>
    </row>
    <row r="630">
      <c r="A630">
        <f>Raw_Data!A630</f>
        <v/>
      </c>
      <c r="B630" s="11">
        <f>Raw_Data!B630</f>
        <v/>
      </c>
      <c r="C630">
        <f>Raw_Data!C630</f>
        <v/>
      </c>
      <c r="D630">
        <f>Raw_Data!D630</f>
        <v/>
      </c>
      <c r="E630">
        <f>Raw_Data!E630</f>
        <v/>
      </c>
      <c r="F630">
        <f>Raw_Data!F630</f>
        <v/>
      </c>
      <c r="G630">
        <f>Raw_Data!G630</f>
        <v/>
      </c>
      <c r="H630">
        <f>Raw_Data!H630</f>
        <v/>
      </c>
      <c r="I630">
        <f>Raw_Data!I630</f>
        <v/>
      </c>
      <c r="J630" s="12">
        <f>Raw_Data!J630</f>
        <v/>
      </c>
      <c r="K630" s="13">
        <f>Raw_Data!K630</f>
        <v/>
      </c>
      <c r="L630" s="12">
        <f>Raw_Data!L630</f>
        <v/>
      </c>
      <c r="M630" s="12">
        <f>Raw_Data!M630</f>
        <v/>
      </c>
      <c r="N630" s="12">
        <f>Raw_Data!N630</f>
        <v/>
      </c>
      <c r="O630">
        <f>Raw_Data!O630</f>
        <v/>
      </c>
      <c r="P630">
        <f>Raw_Data!P630</f>
        <v/>
      </c>
      <c r="Q630">
        <f>YEAR(B630)</f>
        <v/>
      </c>
      <c r="R630">
        <f>TEXT(B630,"mmm")</f>
        <v/>
      </c>
      <c r="S630" s="15">
        <f>IFERROR(N630/L630,0)</f>
        <v/>
      </c>
    </row>
    <row r="631">
      <c r="A631">
        <f>Raw_Data!A631</f>
        <v/>
      </c>
      <c r="B631" s="11">
        <f>Raw_Data!B631</f>
        <v/>
      </c>
      <c r="C631">
        <f>Raw_Data!C631</f>
        <v/>
      </c>
      <c r="D631">
        <f>Raw_Data!D631</f>
        <v/>
      </c>
      <c r="E631">
        <f>Raw_Data!E631</f>
        <v/>
      </c>
      <c r="F631">
        <f>Raw_Data!F631</f>
        <v/>
      </c>
      <c r="G631">
        <f>Raw_Data!G631</f>
        <v/>
      </c>
      <c r="H631">
        <f>Raw_Data!H631</f>
        <v/>
      </c>
      <c r="I631">
        <f>Raw_Data!I631</f>
        <v/>
      </c>
      <c r="J631" s="12">
        <f>Raw_Data!J631</f>
        <v/>
      </c>
      <c r="K631" s="13">
        <f>Raw_Data!K631</f>
        <v/>
      </c>
      <c r="L631" s="12">
        <f>Raw_Data!L631</f>
        <v/>
      </c>
      <c r="M631" s="12">
        <f>Raw_Data!M631</f>
        <v/>
      </c>
      <c r="N631" s="12">
        <f>Raw_Data!N631</f>
        <v/>
      </c>
      <c r="O631">
        <f>Raw_Data!O631</f>
        <v/>
      </c>
      <c r="P631">
        <f>Raw_Data!P631</f>
        <v/>
      </c>
      <c r="Q631">
        <f>YEAR(B631)</f>
        <v/>
      </c>
      <c r="R631">
        <f>TEXT(B631,"mmm")</f>
        <v/>
      </c>
      <c r="S631" s="15">
        <f>IFERROR(N631/L631,0)</f>
        <v/>
      </c>
    </row>
    <row r="632">
      <c r="A632">
        <f>Raw_Data!A632</f>
        <v/>
      </c>
      <c r="B632" s="11">
        <f>Raw_Data!B632</f>
        <v/>
      </c>
      <c r="C632">
        <f>Raw_Data!C632</f>
        <v/>
      </c>
      <c r="D632">
        <f>Raw_Data!D632</f>
        <v/>
      </c>
      <c r="E632">
        <f>Raw_Data!E632</f>
        <v/>
      </c>
      <c r="F632">
        <f>Raw_Data!F632</f>
        <v/>
      </c>
      <c r="G632">
        <f>Raw_Data!G632</f>
        <v/>
      </c>
      <c r="H632">
        <f>Raw_Data!H632</f>
        <v/>
      </c>
      <c r="I632">
        <f>Raw_Data!I632</f>
        <v/>
      </c>
      <c r="J632" s="12">
        <f>Raw_Data!J632</f>
        <v/>
      </c>
      <c r="K632" s="13">
        <f>Raw_Data!K632</f>
        <v/>
      </c>
      <c r="L632" s="12">
        <f>Raw_Data!L632</f>
        <v/>
      </c>
      <c r="M632" s="12">
        <f>Raw_Data!M632</f>
        <v/>
      </c>
      <c r="N632" s="12">
        <f>Raw_Data!N632</f>
        <v/>
      </c>
      <c r="O632">
        <f>Raw_Data!O632</f>
        <v/>
      </c>
      <c r="P632">
        <f>Raw_Data!P632</f>
        <v/>
      </c>
      <c r="Q632">
        <f>YEAR(B632)</f>
        <v/>
      </c>
      <c r="R632">
        <f>TEXT(B632,"mmm")</f>
        <v/>
      </c>
      <c r="S632" s="15">
        <f>IFERROR(N632/L632,0)</f>
        <v/>
      </c>
    </row>
    <row r="633">
      <c r="A633">
        <f>Raw_Data!A633</f>
        <v/>
      </c>
      <c r="B633" s="11">
        <f>Raw_Data!B633</f>
        <v/>
      </c>
      <c r="C633">
        <f>Raw_Data!C633</f>
        <v/>
      </c>
      <c r="D633">
        <f>Raw_Data!D633</f>
        <v/>
      </c>
      <c r="E633">
        <f>Raw_Data!E633</f>
        <v/>
      </c>
      <c r="F633">
        <f>Raw_Data!F633</f>
        <v/>
      </c>
      <c r="G633">
        <f>Raw_Data!G633</f>
        <v/>
      </c>
      <c r="H633">
        <f>Raw_Data!H633</f>
        <v/>
      </c>
      <c r="I633">
        <f>Raw_Data!I633</f>
        <v/>
      </c>
      <c r="J633" s="12">
        <f>Raw_Data!J633</f>
        <v/>
      </c>
      <c r="K633" s="13">
        <f>Raw_Data!K633</f>
        <v/>
      </c>
      <c r="L633" s="12">
        <f>Raw_Data!L633</f>
        <v/>
      </c>
      <c r="M633" s="12">
        <f>Raw_Data!M633</f>
        <v/>
      </c>
      <c r="N633" s="12">
        <f>Raw_Data!N633</f>
        <v/>
      </c>
      <c r="O633">
        <f>Raw_Data!O633</f>
        <v/>
      </c>
      <c r="P633">
        <f>Raw_Data!P633</f>
        <v/>
      </c>
      <c r="Q633">
        <f>YEAR(B633)</f>
        <v/>
      </c>
      <c r="R633">
        <f>TEXT(B633,"mmm")</f>
        <v/>
      </c>
      <c r="S633" s="15">
        <f>IFERROR(N633/L633,0)</f>
        <v/>
      </c>
    </row>
    <row r="634">
      <c r="A634">
        <f>Raw_Data!A634</f>
        <v/>
      </c>
      <c r="B634" s="11">
        <f>Raw_Data!B634</f>
        <v/>
      </c>
      <c r="C634">
        <f>Raw_Data!C634</f>
        <v/>
      </c>
      <c r="D634">
        <f>Raw_Data!D634</f>
        <v/>
      </c>
      <c r="E634">
        <f>Raw_Data!E634</f>
        <v/>
      </c>
      <c r="F634">
        <f>Raw_Data!F634</f>
        <v/>
      </c>
      <c r="G634">
        <f>Raw_Data!G634</f>
        <v/>
      </c>
      <c r="H634">
        <f>Raw_Data!H634</f>
        <v/>
      </c>
      <c r="I634">
        <f>Raw_Data!I634</f>
        <v/>
      </c>
      <c r="J634" s="12">
        <f>Raw_Data!J634</f>
        <v/>
      </c>
      <c r="K634" s="13">
        <f>Raw_Data!K634</f>
        <v/>
      </c>
      <c r="L634" s="12">
        <f>Raw_Data!L634</f>
        <v/>
      </c>
      <c r="M634" s="12">
        <f>Raw_Data!M634</f>
        <v/>
      </c>
      <c r="N634" s="12">
        <f>Raw_Data!N634</f>
        <v/>
      </c>
      <c r="O634">
        <f>Raw_Data!O634</f>
        <v/>
      </c>
      <c r="P634">
        <f>Raw_Data!P634</f>
        <v/>
      </c>
      <c r="Q634">
        <f>YEAR(B634)</f>
        <v/>
      </c>
      <c r="R634">
        <f>TEXT(B634,"mmm")</f>
        <v/>
      </c>
      <c r="S634" s="15">
        <f>IFERROR(N634/L634,0)</f>
        <v/>
      </c>
    </row>
    <row r="635">
      <c r="A635">
        <f>Raw_Data!A635</f>
        <v/>
      </c>
      <c r="B635" s="11">
        <f>Raw_Data!B635</f>
        <v/>
      </c>
      <c r="C635">
        <f>Raw_Data!C635</f>
        <v/>
      </c>
      <c r="D635">
        <f>Raw_Data!D635</f>
        <v/>
      </c>
      <c r="E635">
        <f>Raw_Data!E635</f>
        <v/>
      </c>
      <c r="F635">
        <f>Raw_Data!F635</f>
        <v/>
      </c>
      <c r="G635">
        <f>Raw_Data!G635</f>
        <v/>
      </c>
      <c r="H635">
        <f>Raw_Data!H635</f>
        <v/>
      </c>
      <c r="I635">
        <f>Raw_Data!I635</f>
        <v/>
      </c>
      <c r="J635" s="12">
        <f>Raw_Data!J635</f>
        <v/>
      </c>
      <c r="K635" s="13">
        <f>Raw_Data!K635</f>
        <v/>
      </c>
      <c r="L635" s="12">
        <f>Raw_Data!L635</f>
        <v/>
      </c>
      <c r="M635" s="12">
        <f>Raw_Data!M635</f>
        <v/>
      </c>
      <c r="N635" s="12">
        <f>Raw_Data!N635</f>
        <v/>
      </c>
      <c r="O635">
        <f>Raw_Data!O635</f>
        <v/>
      </c>
      <c r="P635">
        <f>Raw_Data!P635</f>
        <v/>
      </c>
      <c r="Q635">
        <f>YEAR(B635)</f>
        <v/>
      </c>
      <c r="R635">
        <f>TEXT(B635,"mmm")</f>
        <v/>
      </c>
      <c r="S635" s="15">
        <f>IFERROR(N635/L635,0)</f>
        <v/>
      </c>
    </row>
    <row r="636">
      <c r="A636">
        <f>Raw_Data!A636</f>
        <v/>
      </c>
      <c r="B636" s="11">
        <f>Raw_Data!B636</f>
        <v/>
      </c>
      <c r="C636">
        <f>Raw_Data!C636</f>
        <v/>
      </c>
      <c r="D636">
        <f>Raw_Data!D636</f>
        <v/>
      </c>
      <c r="E636">
        <f>Raw_Data!E636</f>
        <v/>
      </c>
      <c r="F636">
        <f>Raw_Data!F636</f>
        <v/>
      </c>
      <c r="G636">
        <f>Raw_Data!G636</f>
        <v/>
      </c>
      <c r="H636">
        <f>Raw_Data!H636</f>
        <v/>
      </c>
      <c r="I636">
        <f>Raw_Data!I636</f>
        <v/>
      </c>
      <c r="J636" s="12">
        <f>Raw_Data!J636</f>
        <v/>
      </c>
      <c r="K636" s="13">
        <f>Raw_Data!K636</f>
        <v/>
      </c>
      <c r="L636" s="12">
        <f>Raw_Data!L636</f>
        <v/>
      </c>
      <c r="M636" s="12">
        <f>Raw_Data!M636</f>
        <v/>
      </c>
      <c r="N636" s="12">
        <f>Raw_Data!N636</f>
        <v/>
      </c>
      <c r="O636">
        <f>Raw_Data!O636</f>
        <v/>
      </c>
      <c r="P636">
        <f>Raw_Data!P636</f>
        <v/>
      </c>
      <c r="Q636">
        <f>YEAR(B636)</f>
        <v/>
      </c>
      <c r="R636">
        <f>TEXT(B636,"mmm")</f>
        <v/>
      </c>
      <c r="S636" s="15">
        <f>IFERROR(N636/L636,0)</f>
        <v/>
      </c>
    </row>
    <row r="637">
      <c r="A637">
        <f>Raw_Data!A637</f>
        <v/>
      </c>
      <c r="B637" s="11">
        <f>Raw_Data!B637</f>
        <v/>
      </c>
      <c r="C637">
        <f>Raw_Data!C637</f>
        <v/>
      </c>
      <c r="D637">
        <f>Raw_Data!D637</f>
        <v/>
      </c>
      <c r="E637">
        <f>Raw_Data!E637</f>
        <v/>
      </c>
      <c r="F637">
        <f>Raw_Data!F637</f>
        <v/>
      </c>
      <c r="G637">
        <f>Raw_Data!G637</f>
        <v/>
      </c>
      <c r="H637">
        <f>Raw_Data!H637</f>
        <v/>
      </c>
      <c r="I637">
        <f>Raw_Data!I637</f>
        <v/>
      </c>
      <c r="J637" s="12">
        <f>Raw_Data!J637</f>
        <v/>
      </c>
      <c r="K637" s="13">
        <f>Raw_Data!K637</f>
        <v/>
      </c>
      <c r="L637" s="12">
        <f>Raw_Data!L637</f>
        <v/>
      </c>
      <c r="M637" s="12">
        <f>Raw_Data!M637</f>
        <v/>
      </c>
      <c r="N637" s="12">
        <f>Raw_Data!N637</f>
        <v/>
      </c>
      <c r="O637">
        <f>Raw_Data!O637</f>
        <v/>
      </c>
      <c r="P637">
        <f>Raw_Data!P637</f>
        <v/>
      </c>
      <c r="Q637">
        <f>YEAR(B637)</f>
        <v/>
      </c>
      <c r="R637">
        <f>TEXT(B637,"mmm")</f>
        <v/>
      </c>
      <c r="S637" s="15">
        <f>IFERROR(N637/L637,0)</f>
        <v/>
      </c>
    </row>
    <row r="638">
      <c r="A638">
        <f>Raw_Data!A638</f>
        <v/>
      </c>
      <c r="B638" s="11">
        <f>Raw_Data!B638</f>
        <v/>
      </c>
      <c r="C638">
        <f>Raw_Data!C638</f>
        <v/>
      </c>
      <c r="D638">
        <f>Raw_Data!D638</f>
        <v/>
      </c>
      <c r="E638">
        <f>Raw_Data!E638</f>
        <v/>
      </c>
      <c r="F638">
        <f>Raw_Data!F638</f>
        <v/>
      </c>
      <c r="G638">
        <f>Raw_Data!G638</f>
        <v/>
      </c>
      <c r="H638">
        <f>Raw_Data!H638</f>
        <v/>
      </c>
      <c r="I638">
        <f>Raw_Data!I638</f>
        <v/>
      </c>
      <c r="J638" s="12">
        <f>Raw_Data!J638</f>
        <v/>
      </c>
      <c r="K638" s="13">
        <f>Raw_Data!K638</f>
        <v/>
      </c>
      <c r="L638" s="12">
        <f>Raw_Data!L638</f>
        <v/>
      </c>
      <c r="M638" s="12">
        <f>Raw_Data!M638</f>
        <v/>
      </c>
      <c r="N638" s="12">
        <f>Raw_Data!N638</f>
        <v/>
      </c>
      <c r="O638">
        <f>Raw_Data!O638</f>
        <v/>
      </c>
      <c r="P638">
        <f>Raw_Data!P638</f>
        <v/>
      </c>
      <c r="Q638">
        <f>YEAR(B638)</f>
        <v/>
      </c>
      <c r="R638">
        <f>TEXT(B638,"mmm")</f>
        <v/>
      </c>
      <c r="S638" s="15">
        <f>IFERROR(N638/L638,0)</f>
        <v/>
      </c>
    </row>
    <row r="639">
      <c r="A639">
        <f>Raw_Data!A639</f>
        <v/>
      </c>
      <c r="B639" s="11">
        <f>Raw_Data!B639</f>
        <v/>
      </c>
      <c r="C639">
        <f>Raw_Data!C639</f>
        <v/>
      </c>
      <c r="D639">
        <f>Raw_Data!D639</f>
        <v/>
      </c>
      <c r="E639">
        <f>Raw_Data!E639</f>
        <v/>
      </c>
      <c r="F639">
        <f>Raw_Data!F639</f>
        <v/>
      </c>
      <c r="G639">
        <f>Raw_Data!G639</f>
        <v/>
      </c>
      <c r="H639">
        <f>Raw_Data!H639</f>
        <v/>
      </c>
      <c r="I639">
        <f>Raw_Data!I639</f>
        <v/>
      </c>
      <c r="J639" s="12">
        <f>Raw_Data!J639</f>
        <v/>
      </c>
      <c r="K639" s="13">
        <f>Raw_Data!K639</f>
        <v/>
      </c>
      <c r="L639" s="12">
        <f>Raw_Data!L639</f>
        <v/>
      </c>
      <c r="M639" s="12">
        <f>Raw_Data!M639</f>
        <v/>
      </c>
      <c r="N639" s="12">
        <f>Raw_Data!N639</f>
        <v/>
      </c>
      <c r="O639">
        <f>Raw_Data!O639</f>
        <v/>
      </c>
      <c r="P639">
        <f>Raw_Data!P639</f>
        <v/>
      </c>
      <c r="Q639">
        <f>YEAR(B639)</f>
        <v/>
      </c>
      <c r="R639">
        <f>TEXT(B639,"mmm")</f>
        <v/>
      </c>
      <c r="S639" s="15">
        <f>IFERROR(N639/L639,0)</f>
        <v/>
      </c>
    </row>
    <row r="640">
      <c r="A640">
        <f>Raw_Data!A640</f>
        <v/>
      </c>
      <c r="B640" s="11">
        <f>Raw_Data!B640</f>
        <v/>
      </c>
      <c r="C640">
        <f>Raw_Data!C640</f>
        <v/>
      </c>
      <c r="D640">
        <f>Raw_Data!D640</f>
        <v/>
      </c>
      <c r="E640">
        <f>Raw_Data!E640</f>
        <v/>
      </c>
      <c r="F640">
        <f>Raw_Data!F640</f>
        <v/>
      </c>
      <c r="G640">
        <f>Raw_Data!G640</f>
        <v/>
      </c>
      <c r="H640">
        <f>Raw_Data!H640</f>
        <v/>
      </c>
      <c r="I640">
        <f>Raw_Data!I640</f>
        <v/>
      </c>
      <c r="J640" s="12">
        <f>Raw_Data!J640</f>
        <v/>
      </c>
      <c r="K640" s="13">
        <f>Raw_Data!K640</f>
        <v/>
      </c>
      <c r="L640" s="12">
        <f>Raw_Data!L640</f>
        <v/>
      </c>
      <c r="M640" s="12">
        <f>Raw_Data!M640</f>
        <v/>
      </c>
      <c r="N640" s="12">
        <f>Raw_Data!N640</f>
        <v/>
      </c>
      <c r="O640">
        <f>Raw_Data!O640</f>
        <v/>
      </c>
      <c r="P640">
        <f>Raw_Data!P640</f>
        <v/>
      </c>
      <c r="Q640">
        <f>YEAR(B640)</f>
        <v/>
      </c>
      <c r="R640">
        <f>TEXT(B640,"mmm")</f>
        <v/>
      </c>
      <c r="S640" s="15">
        <f>IFERROR(N640/L640,0)</f>
        <v/>
      </c>
    </row>
    <row r="641">
      <c r="A641">
        <f>Raw_Data!A641</f>
        <v/>
      </c>
      <c r="B641" s="11">
        <f>Raw_Data!B641</f>
        <v/>
      </c>
      <c r="C641">
        <f>Raw_Data!C641</f>
        <v/>
      </c>
      <c r="D641">
        <f>Raw_Data!D641</f>
        <v/>
      </c>
      <c r="E641">
        <f>Raw_Data!E641</f>
        <v/>
      </c>
      <c r="F641">
        <f>Raw_Data!F641</f>
        <v/>
      </c>
      <c r="G641">
        <f>Raw_Data!G641</f>
        <v/>
      </c>
      <c r="H641">
        <f>Raw_Data!H641</f>
        <v/>
      </c>
      <c r="I641">
        <f>Raw_Data!I641</f>
        <v/>
      </c>
      <c r="J641" s="12">
        <f>Raw_Data!J641</f>
        <v/>
      </c>
      <c r="K641" s="13">
        <f>Raw_Data!K641</f>
        <v/>
      </c>
      <c r="L641" s="12">
        <f>Raw_Data!L641</f>
        <v/>
      </c>
      <c r="M641" s="12">
        <f>Raw_Data!M641</f>
        <v/>
      </c>
      <c r="N641" s="12">
        <f>Raw_Data!N641</f>
        <v/>
      </c>
      <c r="O641">
        <f>Raw_Data!O641</f>
        <v/>
      </c>
      <c r="P641">
        <f>Raw_Data!P641</f>
        <v/>
      </c>
      <c r="Q641">
        <f>YEAR(B641)</f>
        <v/>
      </c>
      <c r="R641">
        <f>TEXT(B641,"mmm")</f>
        <v/>
      </c>
      <c r="S641" s="15">
        <f>IFERROR(N641/L641,0)</f>
        <v/>
      </c>
    </row>
    <row r="642">
      <c r="A642">
        <f>Raw_Data!A642</f>
        <v/>
      </c>
      <c r="B642" s="11">
        <f>Raw_Data!B642</f>
        <v/>
      </c>
      <c r="C642">
        <f>Raw_Data!C642</f>
        <v/>
      </c>
      <c r="D642">
        <f>Raw_Data!D642</f>
        <v/>
      </c>
      <c r="E642">
        <f>Raw_Data!E642</f>
        <v/>
      </c>
      <c r="F642">
        <f>Raw_Data!F642</f>
        <v/>
      </c>
      <c r="G642">
        <f>Raw_Data!G642</f>
        <v/>
      </c>
      <c r="H642">
        <f>Raw_Data!H642</f>
        <v/>
      </c>
      <c r="I642">
        <f>Raw_Data!I642</f>
        <v/>
      </c>
      <c r="J642" s="12">
        <f>Raw_Data!J642</f>
        <v/>
      </c>
      <c r="K642" s="13">
        <f>Raw_Data!K642</f>
        <v/>
      </c>
      <c r="L642" s="12">
        <f>Raw_Data!L642</f>
        <v/>
      </c>
      <c r="M642" s="12">
        <f>Raw_Data!M642</f>
        <v/>
      </c>
      <c r="N642" s="12">
        <f>Raw_Data!N642</f>
        <v/>
      </c>
      <c r="O642">
        <f>Raw_Data!O642</f>
        <v/>
      </c>
      <c r="P642">
        <f>Raw_Data!P642</f>
        <v/>
      </c>
      <c r="Q642">
        <f>YEAR(B642)</f>
        <v/>
      </c>
      <c r="R642">
        <f>TEXT(B642,"mmm")</f>
        <v/>
      </c>
      <c r="S642" s="15">
        <f>IFERROR(N642/L642,0)</f>
        <v/>
      </c>
    </row>
    <row r="643">
      <c r="A643">
        <f>Raw_Data!A643</f>
        <v/>
      </c>
      <c r="B643" s="11">
        <f>Raw_Data!B643</f>
        <v/>
      </c>
      <c r="C643">
        <f>Raw_Data!C643</f>
        <v/>
      </c>
      <c r="D643">
        <f>Raw_Data!D643</f>
        <v/>
      </c>
      <c r="E643">
        <f>Raw_Data!E643</f>
        <v/>
      </c>
      <c r="F643">
        <f>Raw_Data!F643</f>
        <v/>
      </c>
      <c r="G643">
        <f>Raw_Data!G643</f>
        <v/>
      </c>
      <c r="H643">
        <f>Raw_Data!H643</f>
        <v/>
      </c>
      <c r="I643">
        <f>Raw_Data!I643</f>
        <v/>
      </c>
      <c r="J643" s="12">
        <f>Raw_Data!J643</f>
        <v/>
      </c>
      <c r="K643" s="13">
        <f>Raw_Data!K643</f>
        <v/>
      </c>
      <c r="L643" s="12">
        <f>Raw_Data!L643</f>
        <v/>
      </c>
      <c r="M643" s="12">
        <f>Raw_Data!M643</f>
        <v/>
      </c>
      <c r="N643" s="12">
        <f>Raw_Data!N643</f>
        <v/>
      </c>
      <c r="O643">
        <f>Raw_Data!O643</f>
        <v/>
      </c>
      <c r="P643">
        <f>Raw_Data!P643</f>
        <v/>
      </c>
      <c r="Q643">
        <f>YEAR(B643)</f>
        <v/>
      </c>
      <c r="R643">
        <f>TEXT(B643,"mmm")</f>
        <v/>
      </c>
      <c r="S643" s="15">
        <f>IFERROR(N643/L643,0)</f>
        <v/>
      </c>
    </row>
    <row r="644">
      <c r="A644">
        <f>Raw_Data!A644</f>
        <v/>
      </c>
      <c r="B644" s="11">
        <f>Raw_Data!B644</f>
        <v/>
      </c>
      <c r="C644">
        <f>Raw_Data!C644</f>
        <v/>
      </c>
      <c r="D644">
        <f>Raw_Data!D644</f>
        <v/>
      </c>
      <c r="E644">
        <f>Raw_Data!E644</f>
        <v/>
      </c>
      <c r="F644">
        <f>Raw_Data!F644</f>
        <v/>
      </c>
      <c r="G644">
        <f>Raw_Data!G644</f>
        <v/>
      </c>
      <c r="H644">
        <f>Raw_Data!H644</f>
        <v/>
      </c>
      <c r="I644">
        <f>Raw_Data!I644</f>
        <v/>
      </c>
      <c r="J644" s="12">
        <f>Raw_Data!J644</f>
        <v/>
      </c>
      <c r="K644" s="13">
        <f>Raw_Data!K644</f>
        <v/>
      </c>
      <c r="L644" s="12">
        <f>Raw_Data!L644</f>
        <v/>
      </c>
      <c r="M644" s="12">
        <f>Raw_Data!M644</f>
        <v/>
      </c>
      <c r="N644" s="12">
        <f>Raw_Data!N644</f>
        <v/>
      </c>
      <c r="O644">
        <f>Raw_Data!O644</f>
        <v/>
      </c>
      <c r="P644">
        <f>Raw_Data!P644</f>
        <v/>
      </c>
      <c r="Q644">
        <f>YEAR(B644)</f>
        <v/>
      </c>
      <c r="R644">
        <f>TEXT(B644,"mmm")</f>
        <v/>
      </c>
      <c r="S644" s="15">
        <f>IFERROR(N644/L644,0)</f>
        <v/>
      </c>
    </row>
    <row r="645">
      <c r="A645">
        <f>Raw_Data!A645</f>
        <v/>
      </c>
      <c r="B645" s="11">
        <f>Raw_Data!B645</f>
        <v/>
      </c>
      <c r="C645">
        <f>Raw_Data!C645</f>
        <v/>
      </c>
      <c r="D645">
        <f>Raw_Data!D645</f>
        <v/>
      </c>
      <c r="E645">
        <f>Raw_Data!E645</f>
        <v/>
      </c>
      <c r="F645">
        <f>Raw_Data!F645</f>
        <v/>
      </c>
      <c r="G645">
        <f>Raw_Data!G645</f>
        <v/>
      </c>
      <c r="H645">
        <f>Raw_Data!H645</f>
        <v/>
      </c>
      <c r="I645">
        <f>Raw_Data!I645</f>
        <v/>
      </c>
      <c r="J645" s="12">
        <f>Raw_Data!J645</f>
        <v/>
      </c>
      <c r="K645" s="13">
        <f>Raw_Data!K645</f>
        <v/>
      </c>
      <c r="L645" s="12">
        <f>Raw_Data!L645</f>
        <v/>
      </c>
      <c r="M645" s="12">
        <f>Raw_Data!M645</f>
        <v/>
      </c>
      <c r="N645" s="12">
        <f>Raw_Data!N645</f>
        <v/>
      </c>
      <c r="O645">
        <f>Raw_Data!O645</f>
        <v/>
      </c>
      <c r="P645">
        <f>Raw_Data!P645</f>
        <v/>
      </c>
      <c r="Q645">
        <f>YEAR(B645)</f>
        <v/>
      </c>
      <c r="R645">
        <f>TEXT(B645,"mmm")</f>
        <v/>
      </c>
      <c r="S645" s="15">
        <f>IFERROR(N645/L645,0)</f>
        <v/>
      </c>
    </row>
    <row r="646">
      <c r="A646">
        <f>Raw_Data!A646</f>
        <v/>
      </c>
      <c r="B646" s="11">
        <f>Raw_Data!B646</f>
        <v/>
      </c>
      <c r="C646">
        <f>Raw_Data!C646</f>
        <v/>
      </c>
      <c r="D646">
        <f>Raw_Data!D646</f>
        <v/>
      </c>
      <c r="E646">
        <f>Raw_Data!E646</f>
        <v/>
      </c>
      <c r="F646">
        <f>Raw_Data!F646</f>
        <v/>
      </c>
      <c r="G646">
        <f>Raw_Data!G646</f>
        <v/>
      </c>
      <c r="H646">
        <f>Raw_Data!H646</f>
        <v/>
      </c>
      <c r="I646">
        <f>Raw_Data!I646</f>
        <v/>
      </c>
      <c r="J646" s="12">
        <f>Raw_Data!J646</f>
        <v/>
      </c>
      <c r="K646" s="13">
        <f>Raw_Data!K646</f>
        <v/>
      </c>
      <c r="L646" s="12">
        <f>Raw_Data!L646</f>
        <v/>
      </c>
      <c r="M646" s="12">
        <f>Raw_Data!M646</f>
        <v/>
      </c>
      <c r="N646" s="12">
        <f>Raw_Data!N646</f>
        <v/>
      </c>
      <c r="O646">
        <f>Raw_Data!O646</f>
        <v/>
      </c>
      <c r="P646">
        <f>Raw_Data!P646</f>
        <v/>
      </c>
      <c r="Q646">
        <f>YEAR(B646)</f>
        <v/>
      </c>
      <c r="R646">
        <f>TEXT(B646,"mmm")</f>
        <v/>
      </c>
      <c r="S646" s="15">
        <f>IFERROR(N646/L646,0)</f>
        <v/>
      </c>
    </row>
    <row r="647">
      <c r="A647">
        <f>Raw_Data!A647</f>
        <v/>
      </c>
      <c r="B647" s="11">
        <f>Raw_Data!B647</f>
        <v/>
      </c>
      <c r="C647">
        <f>Raw_Data!C647</f>
        <v/>
      </c>
      <c r="D647">
        <f>Raw_Data!D647</f>
        <v/>
      </c>
      <c r="E647">
        <f>Raw_Data!E647</f>
        <v/>
      </c>
      <c r="F647">
        <f>Raw_Data!F647</f>
        <v/>
      </c>
      <c r="G647">
        <f>Raw_Data!G647</f>
        <v/>
      </c>
      <c r="H647">
        <f>Raw_Data!H647</f>
        <v/>
      </c>
      <c r="I647">
        <f>Raw_Data!I647</f>
        <v/>
      </c>
      <c r="J647" s="12">
        <f>Raw_Data!J647</f>
        <v/>
      </c>
      <c r="K647" s="13">
        <f>Raw_Data!K647</f>
        <v/>
      </c>
      <c r="L647" s="12">
        <f>Raw_Data!L647</f>
        <v/>
      </c>
      <c r="M647" s="12">
        <f>Raw_Data!M647</f>
        <v/>
      </c>
      <c r="N647" s="12">
        <f>Raw_Data!N647</f>
        <v/>
      </c>
      <c r="O647">
        <f>Raw_Data!O647</f>
        <v/>
      </c>
      <c r="P647">
        <f>Raw_Data!P647</f>
        <v/>
      </c>
      <c r="Q647">
        <f>YEAR(B647)</f>
        <v/>
      </c>
      <c r="R647">
        <f>TEXT(B647,"mmm")</f>
        <v/>
      </c>
      <c r="S647" s="15">
        <f>IFERROR(N647/L647,0)</f>
        <v/>
      </c>
    </row>
    <row r="648">
      <c r="A648">
        <f>Raw_Data!A648</f>
        <v/>
      </c>
      <c r="B648" s="11">
        <f>Raw_Data!B648</f>
        <v/>
      </c>
      <c r="C648">
        <f>Raw_Data!C648</f>
        <v/>
      </c>
      <c r="D648">
        <f>Raw_Data!D648</f>
        <v/>
      </c>
      <c r="E648">
        <f>Raw_Data!E648</f>
        <v/>
      </c>
      <c r="F648">
        <f>Raw_Data!F648</f>
        <v/>
      </c>
      <c r="G648">
        <f>Raw_Data!G648</f>
        <v/>
      </c>
      <c r="H648">
        <f>Raw_Data!H648</f>
        <v/>
      </c>
      <c r="I648">
        <f>Raw_Data!I648</f>
        <v/>
      </c>
      <c r="J648" s="12">
        <f>Raw_Data!J648</f>
        <v/>
      </c>
      <c r="K648" s="13">
        <f>Raw_Data!K648</f>
        <v/>
      </c>
      <c r="L648" s="12">
        <f>Raw_Data!L648</f>
        <v/>
      </c>
      <c r="M648" s="12">
        <f>Raw_Data!M648</f>
        <v/>
      </c>
      <c r="N648" s="12">
        <f>Raw_Data!N648</f>
        <v/>
      </c>
      <c r="O648">
        <f>Raw_Data!O648</f>
        <v/>
      </c>
      <c r="P648">
        <f>Raw_Data!P648</f>
        <v/>
      </c>
      <c r="Q648">
        <f>YEAR(B648)</f>
        <v/>
      </c>
      <c r="R648">
        <f>TEXT(B648,"mmm")</f>
        <v/>
      </c>
      <c r="S648" s="15">
        <f>IFERROR(N648/L648,0)</f>
        <v/>
      </c>
    </row>
    <row r="649">
      <c r="A649">
        <f>Raw_Data!A649</f>
        <v/>
      </c>
      <c r="B649" s="11">
        <f>Raw_Data!B649</f>
        <v/>
      </c>
      <c r="C649">
        <f>Raw_Data!C649</f>
        <v/>
      </c>
      <c r="D649">
        <f>Raw_Data!D649</f>
        <v/>
      </c>
      <c r="E649">
        <f>Raw_Data!E649</f>
        <v/>
      </c>
      <c r="F649">
        <f>Raw_Data!F649</f>
        <v/>
      </c>
      <c r="G649">
        <f>Raw_Data!G649</f>
        <v/>
      </c>
      <c r="H649">
        <f>Raw_Data!H649</f>
        <v/>
      </c>
      <c r="I649">
        <f>Raw_Data!I649</f>
        <v/>
      </c>
      <c r="J649" s="12">
        <f>Raw_Data!J649</f>
        <v/>
      </c>
      <c r="K649" s="13">
        <f>Raw_Data!K649</f>
        <v/>
      </c>
      <c r="L649" s="12">
        <f>Raw_Data!L649</f>
        <v/>
      </c>
      <c r="M649" s="12">
        <f>Raw_Data!M649</f>
        <v/>
      </c>
      <c r="N649" s="12">
        <f>Raw_Data!N649</f>
        <v/>
      </c>
      <c r="O649">
        <f>Raw_Data!O649</f>
        <v/>
      </c>
      <c r="P649">
        <f>Raw_Data!P649</f>
        <v/>
      </c>
      <c r="Q649">
        <f>YEAR(B649)</f>
        <v/>
      </c>
      <c r="R649">
        <f>TEXT(B649,"mmm")</f>
        <v/>
      </c>
      <c r="S649" s="15">
        <f>IFERROR(N649/L649,0)</f>
        <v/>
      </c>
    </row>
    <row r="650">
      <c r="A650">
        <f>Raw_Data!A650</f>
        <v/>
      </c>
      <c r="B650" s="11">
        <f>Raw_Data!B650</f>
        <v/>
      </c>
      <c r="C650">
        <f>Raw_Data!C650</f>
        <v/>
      </c>
      <c r="D650">
        <f>Raw_Data!D650</f>
        <v/>
      </c>
      <c r="E650">
        <f>Raw_Data!E650</f>
        <v/>
      </c>
      <c r="F650">
        <f>Raw_Data!F650</f>
        <v/>
      </c>
      <c r="G650">
        <f>Raw_Data!G650</f>
        <v/>
      </c>
      <c r="H650">
        <f>Raw_Data!H650</f>
        <v/>
      </c>
      <c r="I650">
        <f>Raw_Data!I650</f>
        <v/>
      </c>
      <c r="J650" s="12">
        <f>Raw_Data!J650</f>
        <v/>
      </c>
      <c r="K650" s="13">
        <f>Raw_Data!K650</f>
        <v/>
      </c>
      <c r="L650" s="12">
        <f>Raw_Data!L650</f>
        <v/>
      </c>
      <c r="M650" s="12">
        <f>Raw_Data!M650</f>
        <v/>
      </c>
      <c r="N650" s="12">
        <f>Raw_Data!N650</f>
        <v/>
      </c>
      <c r="O650">
        <f>Raw_Data!O650</f>
        <v/>
      </c>
      <c r="P650">
        <f>Raw_Data!P650</f>
        <v/>
      </c>
      <c r="Q650">
        <f>YEAR(B650)</f>
        <v/>
      </c>
      <c r="R650">
        <f>TEXT(B650,"mmm")</f>
        <v/>
      </c>
      <c r="S650" s="15">
        <f>IFERROR(N650/L650,0)</f>
        <v/>
      </c>
    </row>
    <row r="651">
      <c r="A651">
        <f>Raw_Data!A651</f>
        <v/>
      </c>
      <c r="B651" s="11">
        <f>Raw_Data!B651</f>
        <v/>
      </c>
      <c r="C651">
        <f>Raw_Data!C651</f>
        <v/>
      </c>
      <c r="D651">
        <f>Raw_Data!D651</f>
        <v/>
      </c>
      <c r="E651">
        <f>Raw_Data!E651</f>
        <v/>
      </c>
      <c r="F651">
        <f>Raw_Data!F651</f>
        <v/>
      </c>
      <c r="G651">
        <f>Raw_Data!G651</f>
        <v/>
      </c>
      <c r="H651">
        <f>Raw_Data!H651</f>
        <v/>
      </c>
      <c r="I651">
        <f>Raw_Data!I651</f>
        <v/>
      </c>
      <c r="J651" s="12">
        <f>Raw_Data!J651</f>
        <v/>
      </c>
      <c r="K651" s="13">
        <f>Raw_Data!K651</f>
        <v/>
      </c>
      <c r="L651" s="12">
        <f>Raw_Data!L651</f>
        <v/>
      </c>
      <c r="M651" s="12">
        <f>Raw_Data!M651</f>
        <v/>
      </c>
      <c r="N651" s="12">
        <f>Raw_Data!N651</f>
        <v/>
      </c>
      <c r="O651">
        <f>Raw_Data!O651</f>
        <v/>
      </c>
      <c r="P651">
        <f>Raw_Data!P651</f>
        <v/>
      </c>
      <c r="Q651">
        <f>YEAR(B651)</f>
        <v/>
      </c>
      <c r="R651">
        <f>TEXT(B651,"mmm")</f>
        <v/>
      </c>
      <c r="S651" s="15">
        <f>IFERROR(N651/L651,0)</f>
        <v/>
      </c>
    </row>
    <row r="652">
      <c r="A652">
        <f>Raw_Data!A652</f>
        <v/>
      </c>
      <c r="B652" s="11">
        <f>Raw_Data!B652</f>
        <v/>
      </c>
      <c r="C652">
        <f>Raw_Data!C652</f>
        <v/>
      </c>
      <c r="D652">
        <f>Raw_Data!D652</f>
        <v/>
      </c>
      <c r="E652">
        <f>Raw_Data!E652</f>
        <v/>
      </c>
      <c r="F652">
        <f>Raw_Data!F652</f>
        <v/>
      </c>
      <c r="G652">
        <f>Raw_Data!G652</f>
        <v/>
      </c>
      <c r="H652">
        <f>Raw_Data!H652</f>
        <v/>
      </c>
      <c r="I652">
        <f>Raw_Data!I652</f>
        <v/>
      </c>
      <c r="J652" s="12">
        <f>Raw_Data!J652</f>
        <v/>
      </c>
      <c r="K652" s="13">
        <f>Raw_Data!K652</f>
        <v/>
      </c>
      <c r="L652" s="12">
        <f>Raw_Data!L652</f>
        <v/>
      </c>
      <c r="M652" s="12">
        <f>Raw_Data!M652</f>
        <v/>
      </c>
      <c r="N652" s="12">
        <f>Raw_Data!N652</f>
        <v/>
      </c>
      <c r="O652">
        <f>Raw_Data!O652</f>
        <v/>
      </c>
      <c r="P652">
        <f>Raw_Data!P652</f>
        <v/>
      </c>
      <c r="Q652">
        <f>YEAR(B652)</f>
        <v/>
      </c>
      <c r="R652">
        <f>TEXT(B652,"mmm")</f>
        <v/>
      </c>
      <c r="S652" s="15">
        <f>IFERROR(N652/L652,0)</f>
        <v/>
      </c>
    </row>
    <row r="653">
      <c r="A653">
        <f>Raw_Data!A653</f>
        <v/>
      </c>
      <c r="B653" s="11">
        <f>Raw_Data!B653</f>
        <v/>
      </c>
      <c r="C653">
        <f>Raw_Data!C653</f>
        <v/>
      </c>
      <c r="D653">
        <f>Raw_Data!D653</f>
        <v/>
      </c>
      <c r="E653">
        <f>Raw_Data!E653</f>
        <v/>
      </c>
      <c r="F653">
        <f>Raw_Data!F653</f>
        <v/>
      </c>
      <c r="G653">
        <f>Raw_Data!G653</f>
        <v/>
      </c>
      <c r="H653">
        <f>Raw_Data!H653</f>
        <v/>
      </c>
      <c r="I653">
        <f>Raw_Data!I653</f>
        <v/>
      </c>
      <c r="J653" s="12">
        <f>Raw_Data!J653</f>
        <v/>
      </c>
      <c r="K653" s="13">
        <f>Raw_Data!K653</f>
        <v/>
      </c>
      <c r="L653" s="12">
        <f>Raw_Data!L653</f>
        <v/>
      </c>
      <c r="M653" s="12">
        <f>Raw_Data!M653</f>
        <v/>
      </c>
      <c r="N653" s="12">
        <f>Raw_Data!N653</f>
        <v/>
      </c>
      <c r="O653">
        <f>Raw_Data!O653</f>
        <v/>
      </c>
      <c r="P653">
        <f>Raw_Data!P653</f>
        <v/>
      </c>
      <c r="Q653">
        <f>YEAR(B653)</f>
        <v/>
      </c>
      <c r="R653">
        <f>TEXT(B653,"mmm")</f>
        <v/>
      </c>
      <c r="S653" s="15">
        <f>IFERROR(N653/L653,0)</f>
        <v/>
      </c>
    </row>
    <row r="654">
      <c r="A654">
        <f>Raw_Data!A654</f>
        <v/>
      </c>
      <c r="B654" s="11">
        <f>Raw_Data!B654</f>
        <v/>
      </c>
      <c r="C654">
        <f>Raw_Data!C654</f>
        <v/>
      </c>
      <c r="D654">
        <f>Raw_Data!D654</f>
        <v/>
      </c>
      <c r="E654">
        <f>Raw_Data!E654</f>
        <v/>
      </c>
      <c r="F654">
        <f>Raw_Data!F654</f>
        <v/>
      </c>
      <c r="G654">
        <f>Raw_Data!G654</f>
        <v/>
      </c>
      <c r="H654">
        <f>Raw_Data!H654</f>
        <v/>
      </c>
      <c r="I654">
        <f>Raw_Data!I654</f>
        <v/>
      </c>
      <c r="J654" s="12">
        <f>Raw_Data!J654</f>
        <v/>
      </c>
      <c r="K654" s="13">
        <f>Raw_Data!K654</f>
        <v/>
      </c>
      <c r="L654" s="12">
        <f>Raw_Data!L654</f>
        <v/>
      </c>
      <c r="M654" s="12">
        <f>Raw_Data!M654</f>
        <v/>
      </c>
      <c r="N654" s="12">
        <f>Raw_Data!N654</f>
        <v/>
      </c>
      <c r="O654">
        <f>Raw_Data!O654</f>
        <v/>
      </c>
      <c r="P654">
        <f>Raw_Data!P654</f>
        <v/>
      </c>
      <c r="Q654">
        <f>YEAR(B654)</f>
        <v/>
      </c>
      <c r="R654">
        <f>TEXT(B654,"mmm")</f>
        <v/>
      </c>
      <c r="S654" s="15">
        <f>IFERROR(N654/L654,0)</f>
        <v/>
      </c>
    </row>
    <row r="655">
      <c r="A655">
        <f>Raw_Data!A655</f>
        <v/>
      </c>
      <c r="B655" s="11">
        <f>Raw_Data!B655</f>
        <v/>
      </c>
      <c r="C655">
        <f>Raw_Data!C655</f>
        <v/>
      </c>
      <c r="D655">
        <f>Raw_Data!D655</f>
        <v/>
      </c>
      <c r="E655">
        <f>Raw_Data!E655</f>
        <v/>
      </c>
      <c r="F655">
        <f>Raw_Data!F655</f>
        <v/>
      </c>
      <c r="G655">
        <f>Raw_Data!G655</f>
        <v/>
      </c>
      <c r="H655">
        <f>Raw_Data!H655</f>
        <v/>
      </c>
      <c r="I655">
        <f>Raw_Data!I655</f>
        <v/>
      </c>
      <c r="J655" s="12">
        <f>Raw_Data!J655</f>
        <v/>
      </c>
      <c r="K655" s="13">
        <f>Raw_Data!K655</f>
        <v/>
      </c>
      <c r="L655" s="12">
        <f>Raw_Data!L655</f>
        <v/>
      </c>
      <c r="M655" s="12">
        <f>Raw_Data!M655</f>
        <v/>
      </c>
      <c r="N655" s="12">
        <f>Raw_Data!N655</f>
        <v/>
      </c>
      <c r="O655">
        <f>Raw_Data!O655</f>
        <v/>
      </c>
      <c r="P655">
        <f>Raw_Data!P655</f>
        <v/>
      </c>
      <c r="Q655">
        <f>YEAR(B655)</f>
        <v/>
      </c>
      <c r="R655">
        <f>TEXT(B655,"mmm")</f>
        <v/>
      </c>
      <c r="S655" s="15">
        <f>IFERROR(N655/L655,0)</f>
        <v/>
      </c>
    </row>
    <row r="656">
      <c r="A656">
        <f>Raw_Data!A656</f>
        <v/>
      </c>
      <c r="B656" s="11">
        <f>Raw_Data!B656</f>
        <v/>
      </c>
      <c r="C656">
        <f>Raw_Data!C656</f>
        <v/>
      </c>
      <c r="D656">
        <f>Raw_Data!D656</f>
        <v/>
      </c>
      <c r="E656">
        <f>Raw_Data!E656</f>
        <v/>
      </c>
      <c r="F656">
        <f>Raw_Data!F656</f>
        <v/>
      </c>
      <c r="G656">
        <f>Raw_Data!G656</f>
        <v/>
      </c>
      <c r="H656">
        <f>Raw_Data!H656</f>
        <v/>
      </c>
      <c r="I656">
        <f>Raw_Data!I656</f>
        <v/>
      </c>
      <c r="J656" s="12">
        <f>Raw_Data!J656</f>
        <v/>
      </c>
      <c r="K656" s="13">
        <f>Raw_Data!K656</f>
        <v/>
      </c>
      <c r="L656" s="12">
        <f>Raw_Data!L656</f>
        <v/>
      </c>
      <c r="M656" s="12">
        <f>Raw_Data!M656</f>
        <v/>
      </c>
      <c r="N656" s="12">
        <f>Raw_Data!N656</f>
        <v/>
      </c>
      <c r="O656">
        <f>Raw_Data!O656</f>
        <v/>
      </c>
      <c r="P656">
        <f>Raw_Data!P656</f>
        <v/>
      </c>
      <c r="Q656">
        <f>YEAR(B656)</f>
        <v/>
      </c>
      <c r="R656">
        <f>TEXT(B656,"mmm")</f>
        <v/>
      </c>
      <c r="S656" s="15">
        <f>IFERROR(N656/L656,0)</f>
        <v/>
      </c>
    </row>
    <row r="657">
      <c r="A657">
        <f>Raw_Data!A657</f>
        <v/>
      </c>
      <c r="B657" s="11">
        <f>Raw_Data!B657</f>
        <v/>
      </c>
      <c r="C657">
        <f>Raw_Data!C657</f>
        <v/>
      </c>
      <c r="D657">
        <f>Raw_Data!D657</f>
        <v/>
      </c>
      <c r="E657">
        <f>Raw_Data!E657</f>
        <v/>
      </c>
      <c r="F657">
        <f>Raw_Data!F657</f>
        <v/>
      </c>
      <c r="G657">
        <f>Raw_Data!G657</f>
        <v/>
      </c>
      <c r="H657">
        <f>Raw_Data!H657</f>
        <v/>
      </c>
      <c r="I657">
        <f>Raw_Data!I657</f>
        <v/>
      </c>
      <c r="J657" s="12">
        <f>Raw_Data!J657</f>
        <v/>
      </c>
      <c r="K657" s="13">
        <f>Raw_Data!K657</f>
        <v/>
      </c>
      <c r="L657" s="12">
        <f>Raw_Data!L657</f>
        <v/>
      </c>
      <c r="M657" s="12">
        <f>Raw_Data!M657</f>
        <v/>
      </c>
      <c r="N657" s="12">
        <f>Raw_Data!N657</f>
        <v/>
      </c>
      <c r="O657">
        <f>Raw_Data!O657</f>
        <v/>
      </c>
      <c r="P657">
        <f>Raw_Data!P657</f>
        <v/>
      </c>
      <c r="Q657">
        <f>YEAR(B657)</f>
        <v/>
      </c>
      <c r="R657">
        <f>TEXT(B657,"mmm")</f>
        <v/>
      </c>
      <c r="S657" s="15">
        <f>IFERROR(N657/L657,0)</f>
        <v/>
      </c>
    </row>
    <row r="658">
      <c r="A658">
        <f>Raw_Data!A658</f>
        <v/>
      </c>
      <c r="B658" s="11">
        <f>Raw_Data!B658</f>
        <v/>
      </c>
      <c r="C658">
        <f>Raw_Data!C658</f>
        <v/>
      </c>
      <c r="D658">
        <f>Raw_Data!D658</f>
        <v/>
      </c>
      <c r="E658">
        <f>Raw_Data!E658</f>
        <v/>
      </c>
      <c r="F658">
        <f>Raw_Data!F658</f>
        <v/>
      </c>
      <c r="G658">
        <f>Raw_Data!G658</f>
        <v/>
      </c>
      <c r="H658">
        <f>Raw_Data!H658</f>
        <v/>
      </c>
      <c r="I658">
        <f>Raw_Data!I658</f>
        <v/>
      </c>
      <c r="J658" s="12">
        <f>Raw_Data!J658</f>
        <v/>
      </c>
      <c r="K658" s="13">
        <f>Raw_Data!K658</f>
        <v/>
      </c>
      <c r="L658" s="12">
        <f>Raw_Data!L658</f>
        <v/>
      </c>
      <c r="M658" s="12">
        <f>Raw_Data!M658</f>
        <v/>
      </c>
      <c r="N658" s="12">
        <f>Raw_Data!N658</f>
        <v/>
      </c>
      <c r="O658">
        <f>Raw_Data!O658</f>
        <v/>
      </c>
      <c r="P658">
        <f>Raw_Data!P658</f>
        <v/>
      </c>
      <c r="Q658">
        <f>YEAR(B658)</f>
        <v/>
      </c>
      <c r="R658">
        <f>TEXT(B658,"mmm")</f>
        <v/>
      </c>
      <c r="S658" s="15">
        <f>IFERROR(N658/L658,0)</f>
        <v/>
      </c>
    </row>
    <row r="659">
      <c r="A659">
        <f>Raw_Data!A659</f>
        <v/>
      </c>
      <c r="B659" s="11">
        <f>Raw_Data!B659</f>
        <v/>
      </c>
      <c r="C659">
        <f>Raw_Data!C659</f>
        <v/>
      </c>
      <c r="D659">
        <f>Raw_Data!D659</f>
        <v/>
      </c>
      <c r="E659">
        <f>Raw_Data!E659</f>
        <v/>
      </c>
      <c r="F659">
        <f>Raw_Data!F659</f>
        <v/>
      </c>
      <c r="G659">
        <f>Raw_Data!G659</f>
        <v/>
      </c>
      <c r="H659">
        <f>Raw_Data!H659</f>
        <v/>
      </c>
      <c r="I659">
        <f>Raw_Data!I659</f>
        <v/>
      </c>
      <c r="J659" s="12">
        <f>Raw_Data!J659</f>
        <v/>
      </c>
      <c r="K659" s="13">
        <f>Raw_Data!K659</f>
        <v/>
      </c>
      <c r="L659" s="12">
        <f>Raw_Data!L659</f>
        <v/>
      </c>
      <c r="M659" s="12">
        <f>Raw_Data!M659</f>
        <v/>
      </c>
      <c r="N659" s="12">
        <f>Raw_Data!N659</f>
        <v/>
      </c>
      <c r="O659">
        <f>Raw_Data!O659</f>
        <v/>
      </c>
      <c r="P659">
        <f>Raw_Data!P659</f>
        <v/>
      </c>
      <c r="Q659">
        <f>YEAR(B659)</f>
        <v/>
      </c>
      <c r="R659">
        <f>TEXT(B659,"mmm")</f>
        <v/>
      </c>
      <c r="S659" s="15">
        <f>IFERROR(N659/L659,0)</f>
        <v/>
      </c>
    </row>
    <row r="660">
      <c r="A660">
        <f>Raw_Data!A660</f>
        <v/>
      </c>
      <c r="B660" s="11">
        <f>Raw_Data!B660</f>
        <v/>
      </c>
      <c r="C660">
        <f>Raw_Data!C660</f>
        <v/>
      </c>
      <c r="D660">
        <f>Raw_Data!D660</f>
        <v/>
      </c>
      <c r="E660">
        <f>Raw_Data!E660</f>
        <v/>
      </c>
      <c r="F660">
        <f>Raw_Data!F660</f>
        <v/>
      </c>
      <c r="G660">
        <f>Raw_Data!G660</f>
        <v/>
      </c>
      <c r="H660">
        <f>Raw_Data!H660</f>
        <v/>
      </c>
      <c r="I660">
        <f>Raw_Data!I660</f>
        <v/>
      </c>
      <c r="J660" s="12">
        <f>Raw_Data!J660</f>
        <v/>
      </c>
      <c r="K660" s="13">
        <f>Raw_Data!K660</f>
        <v/>
      </c>
      <c r="L660" s="12">
        <f>Raw_Data!L660</f>
        <v/>
      </c>
      <c r="M660" s="12">
        <f>Raw_Data!M660</f>
        <v/>
      </c>
      <c r="N660" s="12">
        <f>Raw_Data!N660</f>
        <v/>
      </c>
      <c r="O660">
        <f>Raw_Data!O660</f>
        <v/>
      </c>
      <c r="P660">
        <f>Raw_Data!P660</f>
        <v/>
      </c>
      <c r="Q660">
        <f>YEAR(B660)</f>
        <v/>
      </c>
      <c r="R660">
        <f>TEXT(B660,"mmm")</f>
        <v/>
      </c>
      <c r="S660" s="15">
        <f>IFERROR(N660/L660,0)</f>
        <v/>
      </c>
    </row>
    <row r="661">
      <c r="A661">
        <f>Raw_Data!A661</f>
        <v/>
      </c>
      <c r="B661" s="11">
        <f>Raw_Data!B661</f>
        <v/>
      </c>
      <c r="C661">
        <f>Raw_Data!C661</f>
        <v/>
      </c>
      <c r="D661">
        <f>Raw_Data!D661</f>
        <v/>
      </c>
      <c r="E661">
        <f>Raw_Data!E661</f>
        <v/>
      </c>
      <c r="F661">
        <f>Raw_Data!F661</f>
        <v/>
      </c>
      <c r="G661">
        <f>Raw_Data!G661</f>
        <v/>
      </c>
      <c r="H661">
        <f>Raw_Data!H661</f>
        <v/>
      </c>
      <c r="I661">
        <f>Raw_Data!I661</f>
        <v/>
      </c>
      <c r="J661" s="12">
        <f>Raw_Data!J661</f>
        <v/>
      </c>
      <c r="K661" s="13">
        <f>Raw_Data!K661</f>
        <v/>
      </c>
      <c r="L661" s="12">
        <f>Raw_Data!L661</f>
        <v/>
      </c>
      <c r="M661" s="12">
        <f>Raw_Data!M661</f>
        <v/>
      </c>
      <c r="N661" s="12">
        <f>Raw_Data!N661</f>
        <v/>
      </c>
      <c r="O661">
        <f>Raw_Data!O661</f>
        <v/>
      </c>
      <c r="P661">
        <f>Raw_Data!P661</f>
        <v/>
      </c>
      <c r="Q661">
        <f>YEAR(B661)</f>
        <v/>
      </c>
      <c r="R661">
        <f>TEXT(B661,"mmm")</f>
        <v/>
      </c>
      <c r="S661" s="15">
        <f>IFERROR(N661/L661,0)</f>
        <v/>
      </c>
    </row>
    <row r="662">
      <c r="A662">
        <f>Raw_Data!A662</f>
        <v/>
      </c>
      <c r="B662" s="11">
        <f>Raw_Data!B662</f>
        <v/>
      </c>
      <c r="C662">
        <f>Raw_Data!C662</f>
        <v/>
      </c>
      <c r="D662">
        <f>Raw_Data!D662</f>
        <v/>
      </c>
      <c r="E662">
        <f>Raw_Data!E662</f>
        <v/>
      </c>
      <c r="F662">
        <f>Raw_Data!F662</f>
        <v/>
      </c>
      <c r="G662">
        <f>Raw_Data!G662</f>
        <v/>
      </c>
      <c r="H662">
        <f>Raw_Data!H662</f>
        <v/>
      </c>
      <c r="I662">
        <f>Raw_Data!I662</f>
        <v/>
      </c>
      <c r="J662" s="12">
        <f>Raw_Data!J662</f>
        <v/>
      </c>
      <c r="K662" s="13">
        <f>Raw_Data!K662</f>
        <v/>
      </c>
      <c r="L662" s="12">
        <f>Raw_Data!L662</f>
        <v/>
      </c>
      <c r="M662" s="12">
        <f>Raw_Data!M662</f>
        <v/>
      </c>
      <c r="N662" s="12">
        <f>Raw_Data!N662</f>
        <v/>
      </c>
      <c r="O662">
        <f>Raw_Data!O662</f>
        <v/>
      </c>
      <c r="P662">
        <f>Raw_Data!P662</f>
        <v/>
      </c>
      <c r="Q662">
        <f>YEAR(B662)</f>
        <v/>
      </c>
      <c r="R662">
        <f>TEXT(B662,"mmm")</f>
        <v/>
      </c>
      <c r="S662" s="15">
        <f>IFERROR(N662/L662,0)</f>
        <v/>
      </c>
    </row>
    <row r="663">
      <c r="A663">
        <f>Raw_Data!A663</f>
        <v/>
      </c>
      <c r="B663" s="11">
        <f>Raw_Data!B663</f>
        <v/>
      </c>
      <c r="C663">
        <f>Raw_Data!C663</f>
        <v/>
      </c>
      <c r="D663">
        <f>Raw_Data!D663</f>
        <v/>
      </c>
      <c r="E663">
        <f>Raw_Data!E663</f>
        <v/>
      </c>
      <c r="F663">
        <f>Raw_Data!F663</f>
        <v/>
      </c>
      <c r="G663">
        <f>Raw_Data!G663</f>
        <v/>
      </c>
      <c r="H663">
        <f>Raw_Data!H663</f>
        <v/>
      </c>
      <c r="I663">
        <f>Raw_Data!I663</f>
        <v/>
      </c>
      <c r="J663" s="12">
        <f>Raw_Data!J663</f>
        <v/>
      </c>
      <c r="K663" s="13">
        <f>Raw_Data!K663</f>
        <v/>
      </c>
      <c r="L663" s="12">
        <f>Raw_Data!L663</f>
        <v/>
      </c>
      <c r="M663" s="12">
        <f>Raw_Data!M663</f>
        <v/>
      </c>
      <c r="N663" s="12">
        <f>Raw_Data!N663</f>
        <v/>
      </c>
      <c r="O663">
        <f>Raw_Data!O663</f>
        <v/>
      </c>
      <c r="P663">
        <f>Raw_Data!P663</f>
        <v/>
      </c>
      <c r="Q663">
        <f>YEAR(B663)</f>
        <v/>
      </c>
      <c r="R663">
        <f>TEXT(B663,"mmm")</f>
        <v/>
      </c>
      <c r="S663" s="15">
        <f>IFERROR(N663/L663,0)</f>
        <v/>
      </c>
    </row>
    <row r="664">
      <c r="A664">
        <f>Raw_Data!A664</f>
        <v/>
      </c>
      <c r="B664" s="11">
        <f>Raw_Data!B664</f>
        <v/>
      </c>
      <c r="C664">
        <f>Raw_Data!C664</f>
        <v/>
      </c>
      <c r="D664">
        <f>Raw_Data!D664</f>
        <v/>
      </c>
      <c r="E664">
        <f>Raw_Data!E664</f>
        <v/>
      </c>
      <c r="F664">
        <f>Raw_Data!F664</f>
        <v/>
      </c>
      <c r="G664">
        <f>Raw_Data!G664</f>
        <v/>
      </c>
      <c r="H664">
        <f>Raw_Data!H664</f>
        <v/>
      </c>
      <c r="I664">
        <f>Raw_Data!I664</f>
        <v/>
      </c>
      <c r="J664" s="12">
        <f>Raw_Data!J664</f>
        <v/>
      </c>
      <c r="K664" s="13">
        <f>Raw_Data!K664</f>
        <v/>
      </c>
      <c r="L664" s="12">
        <f>Raw_Data!L664</f>
        <v/>
      </c>
      <c r="M664" s="12">
        <f>Raw_Data!M664</f>
        <v/>
      </c>
      <c r="N664" s="12">
        <f>Raw_Data!N664</f>
        <v/>
      </c>
      <c r="O664">
        <f>Raw_Data!O664</f>
        <v/>
      </c>
      <c r="P664">
        <f>Raw_Data!P664</f>
        <v/>
      </c>
      <c r="Q664">
        <f>YEAR(B664)</f>
        <v/>
      </c>
      <c r="R664">
        <f>TEXT(B664,"mmm")</f>
        <v/>
      </c>
      <c r="S664" s="15">
        <f>IFERROR(N664/L664,0)</f>
        <v/>
      </c>
    </row>
    <row r="665">
      <c r="A665">
        <f>Raw_Data!A665</f>
        <v/>
      </c>
      <c r="B665" s="11">
        <f>Raw_Data!B665</f>
        <v/>
      </c>
      <c r="C665">
        <f>Raw_Data!C665</f>
        <v/>
      </c>
      <c r="D665">
        <f>Raw_Data!D665</f>
        <v/>
      </c>
      <c r="E665">
        <f>Raw_Data!E665</f>
        <v/>
      </c>
      <c r="F665">
        <f>Raw_Data!F665</f>
        <v/>
      </c>
      <c r="G665">
        <f>Raw_Data!G665</f>
        <v/>
      </c>
      <c r="H665">
        <f>Raw_Data!H665</f>
        <v/>
      </c>
      <c r="I665">
        <f>Raw_Data!I665</f>
        <v/>
      </c>
      <c r="J665" s="12">
        <f>Raw_Data!J665</f>
        <v/>
      </c>
      <c r="K665" s="13">
        <f>Raw_Data!K665</f>
        <v/>
      </c>
      <c r="L665" s="12">
        <f>Raw_Data!L665</f>
        <v/>
      </c>
      <c r="M665" s="12">
        <f>Raw_Data!M665</f>
        <v/>
      </c>
      <c r="N665" s="12">
        <f>Raw_Data!N665</f>
        <v/>
      </c>
      <c r="O665">
        <f>Raw_Data!O665</f>
        <v/>
      </c>
      <c r="P665">
        <f>Raw_Data!P665</f>
        <v/>
      </c>
      <c r="Q665">
        <f>YEAR(B665)</f>
        <v/>
      </c>
      <c r="R665">
        <f>TEXT(B665,"mmm")</f>
        <v/>
      </c>
      <c r="S665" s="15">
        <f>IFERROR(N665/L665,0)</f>
        <v/>
      </c>
    </row>
    <row r="666">
      <c r="A666">
        <f>Raw_Data!A666</f>
        <v/>
      </c>
      <c r="B666" s="11">
        <f>Raw_Data!B666</f>
        <v/>
      </c>
      <c r="C666">
        <f>Raw_Data!C666</f>
        <v/>
      </c>
      <c r="D666">
        <f>Raw_Data!D666</f>
        <v/>
      </c>
      <c r="E666">
        <f>Raw_Data!E666</f>
        <v/>
      </c>
      <c r="F666">
        <f>Raw_Data!F666</f>
        <v/>
      </c>
      <c r="G666">
        <f>Raw_Data!G666</f>
        <v/>
      </c>
      <c r="H666">
        <f>Raw_Data!H666</f>
        <v/>
      </c>
      <c r="I666">
        <f>Raw_Data!I666</f>
        <v/>
      </c>
      <c r="J666" s="12">
        <f>Raw_Data!J666</f>
        <v/>
      </c>
      <c r="K666" s="13">
        <f>Raw_Data!K666</f>
        <v/>
      </c>
      <c r="L666" s="12">
        <f>Raw_Data!L666</f>
        <v/>
      </c>
      <c r="M666" s="12">
        <f>Raw_Data!M666</f>
        <v/>
      </c>
      <c r="N666" s="12">
        <f>Raw_Data!N666</f>
        <v/>
      </c>
      <c r="O666">
        <f>Raw_Data!O666</f>
        <v/>
      </c>
      <c r="P666">
        <f>Raw_Data!P666</f>
        <v/>
      </c>
      <c r="Q666">
        <f>YEAR(B666)</f>
        <v/>
      </c>
      <c r="R666">
        <f>TEXT(B666,"mmm")</f>
        <v/>
      </c>
      <c r="S666" s="15">
        <f>IFERROR(N666/L666,0)</f>
        <v/>
      </c>
    </row>
    <row r="667">
      <c r="A667">
        <f>Raw_Data!A667</f>
        <v/>
      </c>
      <c r="B667" s="11">
        <f>Raw_Data!B667</f>
        <v/>
      </c>
      <c r="C667">
        <f>Raw_Data!C667</f>
        <v/>
      </c>
      <c r="D667">
        <f>Raw_Data!D667</f>
        <v/>
      </c>
      <c r="E667">
        <f>Raw_Data!E667</f>
        <v/>
      </c>
      <c r="F667">
        <f>Raw_Data!F667</f>
        <v/>
      </c>
      <c r="G667">
        <f>Raw_Data!G667</f>
        <v/>
      </c>
      <c r="H667">
        <f>Raw_Data!H667</f>
        <v/>
      </c>
      <c r="I667">
        <f>Raw_Data!I667</f>
        <v/>
      </c>
      <c r="J667" s="12">
        <f>Raw_Data!J667</f>
        <v/>
      </c>
      <c r="K667" s="13">
        <f>Raw_Data!K667</f>
        <v/>
      </c>
      <c r="L667" s="12">
        <f>Raw_Data!L667</f>
        <v/>
      </c>
      <c r="M667" s="12">
        <f>Raw_Data!M667</f>
        <v/>
      </c>
      <c r="N667" s="12">
        <f>Raw_Data!N667</f>
        <v/>
      </c>
      <c r="O667">
        <f>Raw_Data!O667</f>
        <v/>
      </c>
      <c r="P667">
        <f>Raw_Data!P667</f>
        <v/>
      </c>
      <c r="Q667">
        <f>YEAR(B667)</f>
        <v/>
      </c>
      <c r="R667">
        <f>TEXT(B667,"mmm")</f>
        <v/>
      </c>
      <c r="S667" s="15">
        <f>IFERROR(N667/L667,0)</f>
        <v/>
      </c>
    </row>
    <row r="668">
      <c r="A668">
        <f>Raw_Data!A668</f>
        <v/>
      </c>
      <c r="B668" s="11">
        <f>Raw_Data!B668</f>
        <v/>
      </c>
      <c r="C668">
        <f>Raw_Data!C668</f>
        <v/>
      </c>
      <c r="D668">
        <f>Raw_Data!D668</f>
        <v/>
      </c>
      <c r="E668">
        <f>Raw_Data!E668</f>
        <v/>
      </c>
      <c r="F668">
        <f>Raw_Data!F668</f>
        <v/>
      </c>
      <c r="G668">
        <f>Raw_Data!G668</f>
        <v/>
      </c>
      <c r="H668">
        <f>Raw_Data!H668</f>
        <v/>
      </c>
      <c r="I668">
        <f>Raw_Data!I668</f>
        <v/>
      </c>
      <c r="J668" s="12">
        <f>Raw_Data!J668</f>
        <v/>
      </c>
      <c r="K668" s="13">
        <f>Raw_Data!K668</f>
        <v/>
      </c>
      <c r="L668" s="12">
        <f>Raw_Data!L668</f>
        <v/>
      </c>
      <c r="M668" s="12">
        <f>Raw_Data!M668</f>
        <v/>
      </c>
      <c r="N668" s="12">
        <f>Raw_Data!N668</f>
        <v/>
      </c>
      <c r="O668">
        <f>Raw_Data!O668</f>
        <v/>
      </c>
      <c r="P668">
        <f>Raw_Data!P668</f>
        <v/>
      </c>
      <c r="Q668">
        <f>YEAR(B668)</f>
        <v/>
      </c>
      <c r="R668">
        <f>TEXT(B668,"mmm")</f>
        <v/>
      </c>
      <c r="S668" s="15">
        <f>IFERROR(N668/L668,0)</f>
        <v/>
      </c>
    </row>
    <row r="669">
      <c r="A669">
        <f>Raw_Data!A669</f>
        <v/>
      </c>
      <c r="B669" s="11">
        <f>Raw_Data!B669</f>
        <v/>
      </c>
      <c r="C669">
        <f>Raw_Data!C669</f>
        <v/>
      </c>
      <c r="D669">
        <f>Raw_Data!D669</f>
        <v/>
      </c>
      <c r="E669">
        <f>Raw_Data!E669</f>
        <v/>
      </c>
      <c r="F669">
        <f>Raw_Data!F669</f>
        <v/>
      </c>
      <c r="G669">
        <f>Raw_Data!G669</f>
        <v/>
      </c>
      <c r="H669">
        <f>Raw_Data!H669</f>
        <v/>
      </c>
      <c r="I669">
        <f>Raw_Data!I669</f>
        <v/>
      </c>
      <c r="J669" s="12">
        <f>Raw_Data!J669</f>
        <v/>
      </c>
      <c r="K669" s="13">
        <f>Raw_Data!K669</f>
        <v/>
      </c>
      <c r="L669" s="12">
        <f>Raw_Data!L669</f>
        <v/>
      </c>
      <c r="M669" s="12">
        <f>Raw_Data!M669</f>
        <v/>
      </c>
      <c r="N669" s="12">
        <f>Raw_Data!N669</f>
        <v/>
      </c>
      <c r="O669">
        <f>Raw_Data!O669</f>
        <v/>
      </c>
      <c r="P669">
        <f>Raw_Data!P669</f>
        <v/>
      </c>
      <c r="Q669">
        <f>YEAR(B669)</f>
        <v/>
      </c>
      <c r="R669">
        <f>TEXT(B669,"mmm")</f>
        <v/>
      </c>
      <c r="S669" s="15">
        <f>IFERROR(N669/L669,0)</f>
        <v/>
      </c>
    </row>
    <row r="670">
      <c r="A670">
        <f>Raw_Data!A670</f>
        <v/>
      </c>
      <c r="B670" s="11">
        <f>Raw_Data!B670</f>
        <v/>
      </c>
      <c r="C670">
        <f>Raw_Data!C670</f>
        <v/>
      </c>
      <c r="D670">
        <f>Raw_Data!D670</f>
        <v/>
      </c>
      <c r="E670">
        <f>Raw_Data!E670</f>
        <v/>
      </c>
      <c r="F670">
        <f>Raw_Data!F670</f>
        <v/>
      </c>
      <c r="G670">
        <f>Raw_Data!G670</f>
        <v/>
      </c>
      <c r="H670">
        <f>Raw_Data!H670</f>
        <v/>
      </c>
      <c r="I670">
        <f>Raw_Data!I670</f>
        <v/>
      </c>
      <c r="J670" s="12">
        <f>Raw_Data!J670</f>
        <v/>
      </c>
      <c r="K670" s="13">
        <f>Raw_Data!K670</f>
        <v/>
      </c>
      <c r="L670" s="12">
        <f>Raw_Data!L670</f>
        <v/>
      </c>
      <c r="M670" s="12">
        <f>Raw_Data!M670</f>
        <v/>
      </c>
      <c r="N670" s="12">
        <f>Raw_Data!N670</f>
        <v/>
      </c>
      <c r="O670">
        <f>Raw_Data!O670</f>
        <v/>
      </c>
      <c r="P670">
        <f>Raw_Data!P670</f>
        <v/>
      </c>
      <c r="Q670">
        <f>YEAR(B670)</f>
        <v/>
      </c>
      <c r="R670">
        <f>TEXT(B670,"mmm")</f>
        <v/>
      </c>
      <c r="S670" s="15">
        <f>IFERROR(N670/L670,0)</f>
        <v/>
      </c>
    </row>
    <row r="671">
      <c r="A671">
        <f>Raw_Data!A671</f>
        <v/>
      </c>
      <c r="B671" s="11">
        <f>Raw_Data!B671</f>
        <v/>
      </c>
      <c r="C671">
        <f>Raw_Data!C671</f>
        <v/>
      </c>
      <c r="D671">
        <f>Raw_Data!D671</f>
        <v/>
      </c>
      <c r="E671">
        <f>Raw_Data!E671</f>
        <v/>
      </c>
      <c r="F671">
        <f>Raw_Data!F671</f>
        <v/>
      </c>
      <c r="G671">
        <f>Raw_Data!G671</f>
        <v/>
      </c>
      <c r="H671">
        <f>Raw_Data!H671</f>
        <v/>
      </c>
      <c r="I671">
        <f>Raw_Data!I671</f>
        <v/>
      </c>
      <c r="J671" s="12">
        <f>Raw_Data!J671</f>
        <v/>
      </c>
      <c r="K671" s="13">
        <f>Raw_Data!K671</f>
        <v/>
      </c>
      <c r="L671" s="12">
        <f>Raw_Data!L671</f>
        <v/>
      </c>
      <c r="M671" s="12">
        <f>Raw_Data!M671</f>
        <v/>
      </c>
      <c r="N671" s="12">
        <f>Raw_Data!N671</f>
        <v/>
      </c>
      <c r="O671">
        <f>Raw_Data!O671</f>
        <v/>
      </c>
      <c r="P671">
        <f>Raw_Data!P671</f>
        <v/>
      </c>
      <c r="Q671">
        <f>YEAR(B671)</f>
        <v/>
      </c>
      <c r="R671">
        <f>TEXT(B671,"mmm")</f>
        <v/>
      </c>
      <c r="S671" s="15">
        <f>IFERROR(N671/L671,0)</f>
        <v/>
      </c>
    </row>
    <row r="672">
      <c r="A672">
        <f>Raw_Data!A672</f>
        <v/>
      </c>
      <c r="B672" s="11">
        <f>Raw_Data!B672</f>
        <v/>
      </c>
      <c r="C672">
        <f>Raw_Data!C672</f>
        <v/>
      </c>
      <c r="D672">
        <f>Raw_Data!D672</f>
        <v/>
      </c>
      <c r="E672">
        <f>Raw_Data!E672</f>
        <v/>
      </c>
      <c r="F672">
        <f>Raw_Data!F672</f>
        <v/>
      </c>
      <c r="G672">
        <f>Raw_Data!G672</f>
        <v/>
      </c>
      <c r="H672">
        <f>Raw_Data!H672</f>
        <v/>
      </c>
      <c r="I672">
        <f>Raw_Data!I672</f>
        <v/>
      </c>
      <c r="J672" s="12">
        <f>Raw_Data!J672</f>
        <v/>
      </c>
      <c r="K672" s="13">
        <f>Raw_Data!K672</f>
        <v/>
      </c>
      <c r="L672" s="12">
        <f>Raw_Data!L672</f>
        <v/>
      </c>
      <c r="M672" s="12">
        <f>Raw_Data!M672</f>
        <v/>
      </c>
      <c r="N672" s="12">
        <f>Raw_Data!N672</f>
        <v/>
      </c>
      <c r="O672">
        <f>Raw_Data!O672</f>
        <v/>
      </c>
      <c r="P672">
        <f>Raw_Data!P672</f>
        <v/>
      </c>
      <c r="Q672">
        <f>YEAR(B672)</f>
        <v/>
      </c>
      <c r="R672">
        <f>TEXT(B672,"mmm")</f>
        <v/>
      </c>
      <c r="S672" s="15">
        <f>IFERROR(N672/L672,0)</f>
        <v/>
      </c>
    </row>
    <row r="673">
      <c r="A673">
        <f>Raw_Data!A673</f>
        <v/>
      </c>
      <c r="B673" s="11">
        <f>Raw_Data!B673</f>
        <v/>
      </c>
      <c r="C673">
        <f>Raw_Data!C673</f>
        <v/>
      </c>
      <c r="D673">
        <f>Raw_Data!D673</f>
        <v/>
      </c>
      <c r="E673">
        <f>Raw_Data!E673</f>
        <v/>
      </c>
      <c r="F673">
        <f>Raw_Data!F673</f>
        <v/>
      </c>
      <c r="G673">
        <f>Raw_Data!G673</f>
        <v/>
      </c>
      <c r="H673">
        <f>Raw_Data!H673</f>
        <v/>
      </c>
      <c r="I673">
        <f>Raw_Data!I673</f>
        <v/>
      </c>
      <c r="J673" s="12">
        <f>Raw_Data!J673</f>
        <v/>
      </c>
      <c r="K673" s="13">
        <f>Raw_Data!K673</f>
        <v/>
      </c>
      <c r="L673" s="12">
        <f>Raw_Data!L673</f>
        <v/>
      </c>
      <c r="M673" s="12">
        <f>Raw_Data!M673</f>
        <v/>
      </c>
      <c r="N673" s="12">
        <f>Raw_Data!N673</f>
        <v/>
      </c>
      <c r="O673">
        <f>Raw_Data!O673</f>
        <v/>
      </c>
      <c r="P673">
        <f>Raw_Data!P673</f>
        <v/>
      </c>
      <c r="Q673">
        <f>YEAR(B673)</f>
        <v/>
      </c>
      <c r="R673">
        <f>TEXT(B673,"mmm")</f>
        <v/>
      </c>
      <c r="S673" s="15">
        <f>IFERROR(N673/L673,0)</f>
        <v/>
      </c>
    </row>
    <row r="674">
      <c r="A674">
        <f>Raw_Data!A674</f>
        <v/>
      </c>
      <c r="B674" s="11">
        <f>Raw_Data!B674</f>
        <v/>
      </c>
      <c r="C674">
        <f>Raw_Data!C674</f>
        <v/>
      </c>
      <c r="D674">
        <f>Raw_Data!D674</f>
        <v/>
      </c>
      <c r="E674">
        <f>Raw_Data!E674</f>
        <v/>
      </c>
      <c r="F674">
        <f>Raw_Data!F674</f>
        <v/>
      </c>
      <c r="G674">
        <f>Raw_Data!G674</f>
        <v/>
      </c>
      <c r="H674">
        <f>Raw_Data!H674</f>
        <v/>
      </c>
      <c r="I674">
        <f>Raw_Data!I674</f>
        <v/>
      </c>
      <c r="J674" s="12">
        <f>Raw_Data!J674</f>
        <v/>
      </c>
      <c r="K674" s="13">
        <f>Raw_Data!K674</f>
        <v/>
      </c>
      <c r="L674" s="12">
        <f>Raw_Data!L674</f>
        <v/>
      </c>
      <c r="M674" s="12">
        <f>Raw_Data!M674</f>
        <v/>
      </c>
      <c r="N674" s="12">
        <f>Raw_Data!N674</f>
        <v/>
      </c>
      <c r="O674">
        <f>Raw_Data!O674</f>
        <v/>
      </c>
      <c r="P674">
        <f>Raw_Data!P674</f>
        <v/>
      </c>
      <c r="Q674">
        <f>YEAR(B674)</f>
        <v/>
      </c>
      <c r="R674">
        <f>TEXT(B674,"mmm")</f>
        <v/>
      </c>
      <c r="S674" s="15">
        <f>IFERROR(N674/L674,0)</f>
        <v/>
      </c>
    </row>
    <row r="675">
      <c r="A675">
        <f>Raw_Data!A675</f>
        <v/>
      </c>
      <c r="B675" s="11">
        <f>Raw_Data!B675</f>
        <v/>
      </c>
      <c r="C675">
        <f>Raw_Data!C675</f>
        <v/>
      </c>
      <c r="D675">
        <f>Raw_Data!D675</f>
        <v/>
      </c>
      <c r="E675">
        <f>Raw_Data!E675</f>
        <v/>
      </c>
      <c r="F675">
        <f>Raw_Data!F675</f>
        <v/>
      </c>
      <c r="G675">
        <f>Raw_Data!G675</f>
        <v/>
      </c>
      <c r="H675">
        <f>Raw_Data!H675</f>
        <v/>
      </c>
      <c r="I675">
        <f>Raw_Data!I675</f>
        <v/>
      </c>
      <c r="J675" s="12">
        <f>Raw_Data!J675</f>
        <v/>
      </c>
      <c r="K675" s="13">
        <f>Raw_Data!K675</f>
        <v/>
      </c>
      <c r="L675" s="12">
        <f>Raw_Data!L675</f>
        <v/>
      </c>
      <c r="M675" s="12">
        <f>Raw_Data!M675</f>
        <v/>
      </c>
      <c r="N675" s="12">
        <f>Raw_Data!N675</f>
        <v/>
      </c>
      <c r="O675">
        <f>Raw_Data!O675</f>
        <v/>
      </c>
      <c r="P675">
        <f>Raw_Data!P675</f>
        <v/>
      </c>
      <c r="Q675">
        <f>YEAR(B675)</f>
        <v/>
      </c>
      <c r="R675">
        <f>TEXT(B675,"mmm")</f>
        <v/>
      </c>
      <c r="S675" s="15">
        <f>IFERROR(N675/L675,0)</f>
        <v/>
      </c>
    </row>
    <row r="676">
      <c r="A676">
        <f>Raw_Data!A676</f>
        <v/>
      </c>
      <c r="B676" s="11">
        <f>Raw_Data!B676</f>
        <v/>
      </c>
      <c r="C676">
        <f>Raw_Data!C676</f>
        <v/>
      </c>
      <c r="D676">
        <f>Raw_Data!D676</f>
        <v/>
      </c>
      <c r="E676">
        <f>Raw_Data!E676</f>
        <v/>
      </c>
      <c r="F676">
        <f>Raw_Data!F676</f>
        <v/>
      </c>
      <c r="G676">
        <f>Raw_Data!G676</f>
        <v/>
      </c>
      <c r="H676">
        <f>Raw_Data!H676</f>
        <v/>
      </c>
      <c r="I676">
        <f>Raw_Data!I676</f>
        <v/>
      </c>
      <c r="J676" s="12">
        <f>Raw_Data!J676</f>
        <v/>
      </c>
      <c r="K676" s="13">
        <f>Raw_Data!K676</f>
        <v/>
      </c>
      <c r="L676" s="12">
        <f>Raw_Data!L676</f>
        <v/>
      </c>
      <c r="M676" s="12">
        <f>Raw_Data!M676</f>
        <v/>
      </c>
      <c r="N676" s="12">
        <f>Raw_Data!N676</f>
        <v/>
      </c>
      <c r="O676">
        <f>Raw_Data!O676</f>
        <v/>
      </c>
      <c r="P676">
        <f>Raw_Data!P676</f>
        <v/>
      </c>
      <c r="Q676">
        <f>YEAR(B676)</f>
        <v/>
      </c>
      <c r="R676">
        <f>TEXT(B676,"mmm")</f>
        <v/>
      </c>
      <c r="S676" s="15">
        <f>IFERROR(N676/L676,0)</f>
        <v/>
      </c>
    </row>
    <row r="677">
      <c r="A677">
        <f>Raw_Data!A677</f>
        <v/>
      </c>
      <c r="B677" s="11">
        <f>Raw_Data!B677</f>
        <v/>
      </c>
      <c r="C677">
        <f>Raw_Data!C677</f>
        <v/>
      </c>
      <c r="D677">
        <f>Raw_Data!D677</f>
        <v/>
      </c>
      <c r="E677">
        <f>Raw_Data!E677</f>
        <v/>
      </c>
      <c r="F677">
        <f>Raw_Data!F677</f>
        <v/>
      </c>
      <c r="G677">
        <f>Raw_Data!G677</f>
        <v/>
      </c>
      <c r="H677">
        <f>Raw_Data!H677</f>
        <v/>
      </c>
      <c r="I677">
        <f>Raw_Data!I677</f>
        <v/>
      </c>
      <c r="J677" s="12">
        <f>Raw_Data!J677</f>
        <v/>
      </c>
      <c r="K677" s="13">
        <f>Raw_Data!K677</f>
        <v/>
      </c>
      <c r="L677" s="12">
        <f>Raw_Data!L677</f>
        <v/>
      </c>
      <c r="M677" s="12">
        <f>Raw_Data!M677</f>
        <v/>
      </c>
      <c r="N677" s="12">
        <f>Raw_Data!N677</f>
        <v/>
      </c>
      <c r="O677">
        <f>Raw_Data!O677</f>
        <v/>
      </c>
      <c r="P677">
        <f>Raw_Data!P677</f>
        <v/>
      </c>
      <c r="Q677">
        <f>YEAR(B677)</f>
        <v/>
      </c>
      <c r="R677">
        <f>TEXT(B677,"mmm")</f>
        <v/>
      </c>
      <c r="S677" s="15">
        <f>IFERROR(N677/L677,0)</f>
        <v/>
      </c>
    </row>
    <row r="678">
      <c r="A678">
        <f>Raw_Data!A678</f>
        <v/>
      </c>
      <c r="B678" s="11">
        <f>Raw_Data!B678</f>
        <v/>
      </c>
      <c r="C678">
        <f>Raw_Data!C678</f>
        <v/>
      </c>
      <c r="D678">
        <f>Raw_Data!D678</f>
        <v/>
      </c>
      <c r="E678">
        <f>Raw_Data!E678</f>
        <v/>
      </c>
      <c r="F678">
        <f>Raw_Data!F678</f>
        <v/>
      </c>
      <c r="G678">
        <f>Raw_Data!G678</f>
        <v/>
      </c>
      <c r="H678">
        <f>Raw_Data!H678</f>
        <v/>
      </c>
      <c r="I678">
        <f>Raw_Data!I678</f>
        <v/>
      </c>
      <c r="J678" s="12">
        <f>Raw_Data!J678</f>
        <v/>
      </c>
      <c r="K678" s="13">
        <f>Raw_Data!K678</f>
        <v/>
      </c>
      <c r="L678" s="12">
        <f>Raw_Data!L678</f>
        <v/>
      </c>
      <c r="M678" s="12">
        <f>Raw_Data!M678</f>
        <v/>
      </c>
      <c r="N678" s="12">
        <f>Raw_Data!N678</f>
        <v/>
      </c>
      <c r="O678">
        <f>Raw_Data!O678</f>
        <v/>
      </c>
      <c r="P678">
        <f>Raw_Data!P678</f>
        <v/>
      </c>
      <c r="Q678">
        <f>YEAR(B678)</f>
        <v/>
      </c>
      <c r="R678">
        <f>TEXT(B678,"mmm")</f>
        <v/>
      </c>
      <c r="S678" s="15">
        <f>IFERROR(N678/L678,0)</f>
        <v/>
      </c>
    </row>
    <row r="679">
      <c r="A679">
        <f>Raw_Data!A679</f>
        <v/>
      </c>
      <c r="B679" s="11">
        <f>Raw_Data!B679</f>
        <v/>
      </c>
      <c r="C679">
        <f>Raw_Data!C679</f>
        <v/>
      </c>
      <c r="D679">
        <f>Raw_Data!D679</f>
        <v/>
      </c>
      <c r="E679">
        <f>Raw_Data!E679</f>
        <v/>
      </c>
      <c r="F679">
        <f>Raw_Data!F679</f>
        <v/>
      </c>
      <c r="G679">
        <f>Raw_Data!G679</f>
        <v/>
      </c>
      <c r="H679">
        <f>Raw_Data!H679</f>
        <v/>
      </c>
      <c r="I679">
        <f>Raw_Data!I679</f>
        <v/>
      </c>
      <c r="J679" s="12">
        <f>Raw_Data!J679</f>
        <v/>
      </c>
      <c r="K679" s="13">
        <f>Raw_Data!K679</f>
        <v/>
      </c>
      <c r="L679" s="12">
        <f>Raw_Data!L679</f>
        <v/>
      </c>
      <c r="M679" s="12">
        <f>Raw_Data!M679</f>
        <v/>
      </c>
      <c r="N679" s="12">
        <f>Raw_Data!N679</f>
        <v/>
      </c>
      <c r="O679">
        <f>Raw_Data!O679</f>
        <v/>
      </c>
      <c r="P679">
        <f>Raw_Data!P679</f>
        <v/>
      </c>
      <c r="Q679">
        <f>YEAR(B679)</f>
        <v/>
      </c>
      <c r="R679">
        <f>TEXT(B679,"mmm")</f>
        <v/>
      </c>
      <c r="S679" s="15">
        <f>IFERROR(N679/L679,0)</f>
        <v/>
      </c>
    </row>
    <row r="680">
      <c r="A680">
        <f>Raw_Data!A680</f>
        <v/>
      </c>
      <c r="B680" s="11">
        <f>Raw_Data!B680</f>
        <v/>
      </c>
      <c r="C680">
        <f>Raw_Data!C680</f>
        <v/>
      </c>
      <c r="D680">
        <f>Raw_Data!D680</f>
        <v/>
      </c>
      <c r="E680">
        <f>Raw_Data!E680</f>
        <v/>
      </c>
      <c r="F680">
        <f>Raw_Data!F680</f>
        <v/>
      </c>
      <c r="G680">
        <f>Raw_Data!G680</f>
        <v/>
      </c>
      <c r="H680">
        <f>Raw_Data!H680</f>
        <v/>
      </c>
      <c r="I680">
        <f>Raw_Data!I680</f>
        <v/>
      </c>
      <c r="J680" s="12">
        <f>Raw_Data!J680</f>
        <v/>
      </c>
      <c r="K680" s="13">
        <f>Raw_Data!K680</f>
        <v/>
      </c>
      <c r="L680" s="12">
        <f>Raw_Data!L680</f>
        <v/>
      </c>
      <c r="M680" s="12">
        <f>Raw_Data!M680</f>
        <v/>
      </c>
      <c r="N680" s="12">
        <f>Raw_Data!N680</f>
        <v/>
      </c>
      <c r="O680">
        <f>Raw_Data!O680</f>
        <v/>
      </c>
      <c r="P680">
        <f>Raw_Data!P680</f>
        <v/>
      </c>
      <c r="Q680">
        <f>YEAR(B680)</f>
        <v/>
      </c>
      <c r="R680">
        <f>TEXT(B680,"mmm")</f>
        <v/>
      </c>
      <c r="S680" s="15">
        <f>IFERROR(N680/L680,0)</f>
        <v/>
      </c>
    </row>
    <row r="681">
      <c r="A681">
        <f>Raw_Data!A681</f>
        <v/>
      </c>
      <c r="B681" s="11">
        <f>Raw_Data!B681</f>
        <v/>
      </c>
      <c r="C681">
        <f>Raw_Data!C681</f>
        <v/>
      </c>
      <c r="D681">
        <f>Raw_Data!D681</f>
        <v/>
      </c>
      <c r="E681">
        <f>Raw_Data!E681</f>
        <v/>
      </c>
      <c r="F681">
        <f>Raw_Data!F681</f>
        <v/>
      </c>
      <c r="G681">
        <f>Raw_Data!G681</f>
        <v/>
      </c>
      <c r="H681">
        <f>Raw_Data!H681</f>
        <v/>
      </c>
      <c r="I681">
        <f>Raw_Data!I681</f>
        <v/>
      </c>
      <c r="J681" s="12">
        <f>Raw_Data!J681</f>
        <v/>
      </c>
      <c r="K681" s="13">
        <f>Raw_Data!K681</f>
        <v/>
      </c>
      <c r="L681" s="12">
        <f>Raw_Data!L681</f>
        <v/>
      </c>
      <c r="M681" s="12">
        <f>Raw_Data!M681</f>
        <v/>
      </c>
      <c r="N681" s="12">
        <f>Raw_Data!N681</f>
        <v/>
      </c>
      <c r="O681">
        <f>Raw_Data!O681</f>
        <v/>
      </c>
      <c r="P681">
        <f>Raw_Data!P681</f>
        <v/>
      </c>
      <c r="Q681">
        <f>YEAR(B681)</f>
        <v/>
      </c>
      <c r="R681">
        <f>TEXT(B681,"mmm")</f>
        <v/>
      </c>
      <c r="S681" s="15">
        <f>IFERROR(N681/L681,0)</f>
        <v/>
      </c>
    </row>
    <row r="682">
      <c r="A682">
        <f>Raw_Data!A682</f>
        <v/>
      </c>
      <c r="B682" s="11">
        <f>Raw_Data!B682</f>
        <v/>
      </c>
      <c r="C682">
        <f>Raw_Data!C682</f>
        <v/>
      </c>
      <c r="D682">
        <f>Raw_Data!D682</f>
        <v/>
      </c>
      <c r="E682">
        <f>Raw_Data!E682</f>
        <v/>
      </c>
      <c r="F682">
        <f>Raw_Data!F682</f>
        <v/>
      </c>
      <c r="G682">
        <f>Raw_Data!G682</f>
        <v/>
      </c>
      <c r="H682">
        <f>Raw_Data!H682</f>
        <v/>
      </c>
      <c r="I682">
        <f>Raw_Data!I682</f>
        <v/>
      </c>
      <c r="J682" s="12">
        <f>Raw_Data!J682</f>
        <v/>
      </c>
      <c r="K682" s="13">
        <f>Raw_Data!K682</f>
        <v/>
      </c>
      <c r="L682" s="12">
        <f>Raw_Data!L682</f>
        <v/>
      </c>
      <c r="M682" s="12">
        <f>Raw_Data!M682</f>
        <v/>
      </c>
      <c r="N682" s="12">
        <f>Raw_Data!N682</f>
        <v/>
      </c>
      <c r="O682">
        <f>Raw_Data!O682</f>
        <v/>
      </c>
      <c r="P682">
        <f>Raw_Data!P682</f>
        <v/>
      </c>
      <c r="Q682">
        <f>YEAR(B682)</f>
        <v/>
      </c>
      <c r="R682">
        <f>TEXT(B682,"mmm")</f>
        <v/>
      </c>
      <c r="S682" s="15">
        <f>IFERROR(N682/L682,0)</f>
        <v/>
      </c>
    </row>
    <row r="683">
      <c r="A683">
        <f>Raw_Data!A683</f>
        <v/>
      </c>
      <c r="B683" s="11">
        <f>Raw_Data!B683</f>
        <v/>
      </c>
      <c r="C683">
        <f>Raw_Data!C683</f>
        <v/>
      </c>
      <c r="D683">
        <f>Raw_Data!D683</f>
        <v/>
      </c>
      <c r="E683">
        <f>Raw_Data!E683</f>
        <v/>
      </c>
      <c r="F683">
        <f>Raw_Data!F683</f>
        <v/>
      </c>
      <c r="G683">
        <f>Raw_Data!G683</f>
        <v/>
      </c>
      <c r="H683">
        <f>Raw_Data!H683</f>
        <v/>
      </c>
      <c r="I683">
        <f>Raw_Data!I683</f>
        <v/>
      </c>
      <c r="J683" s="12">
        <f>Raw_Data!J683</f>
        <v/>
      </c>
      <c r="K683" s="13">
        <f>Raw_Data!K683</f>
        <v/>
      </c>
      <c r="L683" s="12">
        <f>Raw_Data!L683</f>
        <v/>
      </c>
      <c r="M683" s="12">
        <f>Raw_Data!M683</f>
        <v/>
      </c>
      <c r="N683" s="12">
        <f>Raw_Data!N683</f>
        <v/>
      </c>
      <c r="O683">
        <f>Raw_Data!O683</f>
        <v/>
      </c>
      <c r="P683">
        <f>Raw_Data!P683</f>
        <v/>
      </c>
      <c r="Q683">
        <f>YEAR(B683)</f>
        <v/>
      </c>
      <c r="R683">
        <f>TEXT(B683,"mmm")</f>
        <v/>
      </c>
      <c r="S683" s="15">
        <f>IFERROR(N683/L683,0)</f>
        <v/>
      </c>
    </row>
    <row r="684">
      <c r="A684">
        <f>Raw_Data!A684</f>
        <v/>
      </c>
      <c r="B684" s="11">
        <f>Raw_Data!B684</f>
        <v/>
      </c>
      <c r="C684">
        <f>Raw_Data!C684</f>
        <v/>
      </c>
      <c r="D684">
        <f>Raw_Data!D684</f>
        <v/>
      </c>
      <c r="E684">
        <f>Raw_Data!E684</f>
        <v/>
      </c>
      <c r="F684">
        <f>Raw_Data!F684</f>
        <v/>
      </c>
      <c r="G684">
        <f>Raw_Data!G684</f>
        <v/>
      </c>
      <c r="H684">
        <f>Raw_Data!H684</f>
        <v/>
      </c>
      <c r="I684">
        <f>Raw_Data!I684</f>
        <v/>
      </c>
      <c r="J684" s="12">
        <f>Raw_Data!J684</f>
        <v/>
      </c>
      <c r="K684" s="13">
        <f>Raw_Data!K684</f>
        <v/>
      </c>
      <c r="L684" s="12">
        <f>Raw_Data!L684</f>
        <v/>
      </c>
      <c r="M684" s="12">
        <f>Raw_Data!M684</f>
        <v/>
      </c>
      <c r="N684" s="12">
        <f>Raw_Data!N684</f>
        <v/>
      </c>
      <c r="O684">
        <f>Raw_Data!O684</f>
        <v/>
      </c>
      <c r="P684">
        <f>Raw_Data!P684</f>
        <v/>
      </c>
      <c r="Q684">
        <f>YEAR(B684)</f>
        <v/>
      </c>
      <c r="R684">
        <f>TEXT(B684,"mmm")</f>
        <v/>
      </c>
      <c r="S684" s="15">
        <f>IFERROR(N684/L684,0)</f>
        <v/>
      </c>
    </row>
    <row r="685">
      <c r="A685">
        <f>Raw_Data!A685</f>
        <v/>
      </c>
      <c r="B685" s="11">
        <f>Raw_Data!B685</f>
        <v/>
      </c>
      <c r="C685">
        <f>Raw_Data!C685</f>
        <v/>
      </c>
      <c r="D685">
        <f>Raw_Data!D685</f>
        <v/>
      </c>
      <c r="E685">
        <f>Raw_Data!E685</f>
        <v/>
      </c>
      <c r="F685">
        <f>Raw_Data!F685</f>
        <v/>
      </c>
      <c r="G685">
        <f>Raw_Data!G685</f>
        <v/>
      </c>
      <c r="H685">
        <f>Raw_Data!H685</f>
        <v/>
      </c>
      <c r="I685">
        <f>Raw_Data!I685</f>
        <v/>
      </c>
      <c r="J685" s="12">
        <f>Raw_Data!J685</f>
        <v/>
      </c>
      <c r="K685" s="13">
        <f>Raw_Data!K685</f>
        <v/>
      </c>
      <c r="L685" s="12">
        <f>Raw_Data!L685</f>
        <v/>
      </c>
      <c r="M685" s="12">
        <f>Raw_Data!M685</f>
        <v/>
      </c>
      <c r="N685" s="12">
        <f>Raw_Data!N685</f>
        <v/>
      </c>
      <c r="O685">
        <f>Raw_Data!O685</f>
        <v/>
      </c>
      <c r="P685">
        <f>Raw_Data!P685</f>
        <v/>
      </c>
      <c r="Q685">
        <f>YEAR(B685)</f>
        <v/>
      </c>
      <c r="R685">
        <f>TEXT(B685,"mmm")</f>
        <v/>
      </c>
      <c r="S685" s="15">
        <f>IFERROR(N685/L685,0)</f>
        <v/>
      </c>
    </row>
    <row r="686">
      <c r="A686">
        <f>Raw_Data!A686</f>
        <v/>
      </c>
      <c r="B686" s="11">
        <f>Raw_Data!B686</f>
        <v/>
      </c>
      <c r="C686">
        <f>Raw_Data!C686</f>
        <v/>
      </c>
      <c r="D686">
        <f>Raw_Data!D686</f>
        <v/>
      </c>
      <c r="E686">
        <f>Raw_Data!E686</f>
        <v/>
      </c>
      <c r="F686">
        <f>Raw_Data!F686</f>
        <v/>
      </c>
      <c r="G686">
        <f>Raw_Data!G686</f>
        <v/>
      </c>
      <c r="H686">
        <f>Raw_Data!H686</f>
        <v/>
      </c>
      <c r="I686">
        <f>Raw_Data!I686</f>
        <v/>
      </c>
      <c r="J686" s="12">
        <f>Raw_Data!J686</f>
        <v/>
      </c>
      <c r="K686" s="13">
        <f>Raw_Data!K686</f>
        <v/>
      </c>
      <c r="L686" s="12">
        <f>Raw_Data!L686</f>
        <v/>
      </c>
      <c r="M686" s="12">
        <f>Raw_Data!M686</f>
        <v/>
      </c>
      <c r="N686" s="12">
        <f>Raw_Data!N686</f>
        <v/>
      </c>
      <c r="O686">
        <f>Raw_Data!O686</f>
        <v/>
      </c>
      <c r="P686">
        <f>Raw_Data!P686</f>
        <v/>
      </c>
      <c r="Q686">
        <f>YEAR(B686)</f>
        <v/>
      </c>
      <c r="R686">
        <f>TEXT(B686,"mmm")</f>
        <v/>
      </c>
      <c r="S686" s="15">
        <f>IFERROR(N686/L686,0)</f>
        <v/>
      </c>
    </row>
    <row r="687">
      <c r="A687">
        <f>Raw_Data!A687</f>
        <v/>
      </c>
      <c r="B687" s="11">
        <f>Raw_Data!B687</f>
        <v/>
      </c>
      <c r="C687">
        <f>Raw_Data!C687</f>
        <v/>
      </c>
      <c r="D687">
        <f>Raw_Data!D687</f>
        <v/>
      </c>
      <c r="E687">
        <f>Raw_Data!E687</f>
        <v/>
      </c>
      <c r="F687">
        <f>Raw_Data!F687</f>
        <v/>
      </c>
      <c r="G687">
        <f>Raw_Data!G687</f>
        <v/>
      </c>
      <c r="H687">
        <f>Raw_Data!H687</f>
        <v/>
      </c>
      <c r="I687">
        <f>Raw_Data!I687</f>
        <v/>
      </c>
      <c r="J687" s="12">
        <f>Raw_Data!J687</f>
        <v/>
      </c>
      <c r="K687" s="13">
        <f>Raw_Data!K687</f>
        <v/>
      </c>
      <c r="L687" s="12">
        <f>Raw_Data!L687</f>
        <v/>
      </c>
      <c r="M687" s="12">
        <f>Raw_Data!M687</f>
        <v/>
      </c>
      <c r="N687" s="12">
        <f>Raw_Data!N687</f>
        <v/>
      </c>
      <c r="O687">
        <f>Raw_Data!O687</f>
        <v/>
      </c>
      <c r="P687">
        <f>Raw_Data!P687</f>
        <v/>
      </c>
      <c r="Q687">
        <f>YEAR(B687)</f>
        <v/>
      </c>
      <c r="R687">
        <f>TEXT(B687,"mmm")</f>
        <v/>
      </c>
      <c r="S687" s="15">
        <f>IFERROR(N687/L687,0)</f>
        <v/>
      </c>
    </row>
    <row r="688">
      <c r="A688">
        <f>Raw_Data!A688</f>
        <v/>
      </c>
      <c r="B688" s="11">
        <f>Raw_Data!B688</f>
        <v/>
      </c>
      <c r="C688">
        <f>Raw_Data!C688</f>
        <v/>
      </c>
      <c r="D688">
        <f>Raw_Data!D688</f>
        <v/>
      </c>
      <c r="E688">
        <f>Raw_Data!E688</f>
        <v/>
      </c>
      <c r="F688">
        <f>Raw_Data!F688</f>
        <v/>
      </c>
      <c r="G688">
        <f>Raw_Data!G688</f>
        <v/>
      </c>
      <c r="H688">
        <f>Raw_Data!H688</f>
        <v/>
      </c>
      <c r="I688">
        <f>Raw_Data!I688</f>
        <v/>
      </c>
      <c r="J688" s="12">
        <f>Raw_Data!J688</f>
        <v/>
      </c>
      <c r="K688" s="13">
        <f>Raw_Data!K688</f>
        <v/>
      </c>
      <c r="L688" s="12">
        <f>Raw_Data!L688</f>
        <v/>
      </c>
      <c r="M688" s="12">
        <f>Raw_Data!M688</f>
        <v/>
      </c>
      <c r="N688" s="12">
        <f>Raw_Data!N688</f>
        <v/>
      </c>
      <c r="O688">
        <f>Raw_Data!O688</f>
        <v/>
      </c>
      <c r="P688">
        <f>Raw_Data!P688</f>
        <v/>
      </c>
      <c r="Q688">
        <f>YEAR(B688)</f>
        <v/>
      </c>
      <c r="R688">
        <f>TEXT(B688,"mmm")</f>
        <v/>
      </c>
      <c r="S688" s="15">
        <f>IFERROR(N688/L688,0)</f>
        <v/>
      </c>
    </row>
    <row r="689">
      <c r="A689">
        <f>Raw_Data!A689</f>
        <v/>
      </c>
      <c r="B689" s="11">
        <f>Raw_Data!B689</f>
        <v/>
      </c>
      <c r="C689">
        <f>Raw_Data!C689</f>
        <v/>
      </c>
      <c r="D689">
        <f>Raw_Data!D689</f>
        <v/>
      </c>
      <c r="E689">
        <f>Raw_Data!E689</f>
        <v/>
      </c>
      <c r="F689">
        <f>Raw_Data!F689</f>
        <v/>
      </c>
      <c r="G689">
        <f>Raw_Data!G689</f>
        <v/>
      </c>
      <c r="H689">
        <f>Raw_Data!H689</f>
        <v/>
      </c>
      <c r="I689">
        <f>Raw_Data!I689</f>
        <v/>
      </c>
      <c r="J689" s="12">
        <f>Raw_Data!J689</f>
        <v/>
      </c>
      <c r="K689" s="13">
        <f>Raw_Data!K689</f>
        <v/>
      </c>
      <c r="L689" s="12">
        <f>Raw_Data!L689</f>
        <v/>
      </c>
      <c r="M689" s="12">
        <f>Raw_Data!M689</f>
        <v/>
      </c>
      <c r="N689" s="12">
        <f>Raw_Data!N689</f>
        <v/>
      </c>
      <c r="O689">
        <f>Raw_Data!O689</f>
        <v/>
      </c>
      <c r="P689">
        <f>Raw_Data!P689</f>
        <v/>
      </c>
      <c r="Q689">
        <f>YEAR(B689)</f>
        <v/>
      </c>
      <c r="R689">
        <f>TEXT(B689,"mmm")</f>
        <v/>
      </c>
      <c r="S689" s="15">
        <f>IFERROR(N689/L689,0)</f>
        <v/>
      </c>
    </row>
    <row r="690">
      <c r="A690">
        <f>Raw_Data!A690</f>
        <v/>
      </c>
      <c r="B690" s="11">
        <f>Raw_Data!B690</f>
        <v/>
      </c>
      <c r="C690">
        <f>Raw_Data!C690</f>
        <v/>
      </c>
      <c r="D690">
        <f>Raw_Data!D690</f>
        <v/>
      </c>
      <c r="E690">
        <f>Raw_Data!E690</f>
        <v/>
      </c>
      <c r="F690">
        <f>Raw_Data!F690</f>
        <v/>
      </c>
      <c r="G690">
        <f>Raw_Data!G690</f>
        <v/>
      </c>
      <c r="H690">
        <f>Raw_Data!H690</f>
        <v/>
      </c>
      <c r="I690">
        <f>Raw_Data!I690</f>
        <v/>
      </c>
      <c r="J690" s="12">
        <f>Raw_Data!J690</f>
        <v/>
      </c>
      <c r="K690" s="13">
        <f>Raw_Data!K690</f>
        <v/>
      </c>
      <c r="L690" s="12">
        <f>Raw_Data!L690</f>
        <v/>
      </c>
      <c r="M690" s="12">
        <f>Raw_Data!M690</f>
        <v/>
      </c>
      <c r="N690" s="12">
        <f>Raw_Data!N690</f>
        <v/>
      </c>
      <c r="O690">
        <f>Raw_Data!O690</f>
        <v/>
      </c>
      <c r="P690">
        <f>Raw_Data!P690</f>
        <v/>
      </c>
      <c r="Q690">
        <f>YEAR(B690)</f>
        <v/>
      </c>
      <c r="R690">
        <f>TEXT(B690,"mmm")</f>
        <v/>
      </c>
      <c r="S690" s="15">
        <f>IFERROR(N690/L690,0)</f>
        <v/>
      </c>
    </row>
    <row r="691">
      <c r="A691">
        <f>Raw_Data!A691</f>
        <v/>
      </c>
      <c r="B691" s="11">
        <f>Raw_Data!B691</f>
        <v/>
      </c>
      <c r="C691">
        <f>Raw_Data!C691</f>
        <v/>
      </c>
      <c r="D691">
        <f>Raw_Data!D691</f>
        <v/>
      </c>
      <c r="E691">
        <f>Raw_Data!E691</f>
        <v/>
      </c>
      <c r="F691">
        <f>Raw_Data!F691</f>
        <v/>
      </c>
      <c r="G691">
        <f>Raw_Data!G691</f>
        <v/>
      </c>
      <c r="H691">
        <f>Raw_Data!H691</f>
        <v/>
      </c>
      <c r="I691">
        <f>Raw_Data!I691</f>
        <v/>
      </c>
      <c r="J691" s="12">
        <f>Raw_Data!J691</f>
        <v/>
      </c>
      <c r="K691" s="13">
        <f>Raw_Data!K691</f>
        <v/>
      </c>
      <c r="L691" s="12">
        <f>Raw_Data!L691</f>
        <v/>
      </c>
      <c r="M691" s="12">
        <f>Raw_Data!M691</f>
        <v/>
      </c>
      <c r="N691" s="12">
        <f>Raw_Data!N691</f>
        <v/>
      </c>
      <c r="O691">
        <f>Raw_Data!O691</f>
        <v/>
      </c>
      <c r="P691">
        <f>Raw_Data!P691</f>
        <v/>
      </c>
      <c r="Q691">
        <f>YEAR(B691)</f>
        <v/>
      </c>
      <c r="R691">
        <f>TEXT(B691,"mmm")</f>
        <v/>
      </c>
      <c r="S691" s="15">
        <f>IFERROR(N691/L691,0)</f>
        <v/>
      </c>
    </row>
    <row r="692">
      <c r="A692">
        <f>Raw_Data!A692</f>
        <v/>
      </c>
      <c r="B692" s="11">
        <f>Raw_Data!B692</f>
        <v/>
      </c>
      <c r="C692">
        <f>Raw_Data!C692</f>
        <v/>
      </c>
      <c r="D692">
        <f>Raw_Data!D692</f>
        <v/>
      </c>
      <c r="E692">
        <f>Raw_Data!E692</f>
        <v/>
      </c>
      <c r="F692">
        <f>Raw_Data!F692</f>
        <v/>
      </c>
      <c r="G692">
        <f>Raw_Data!G692</f>
        <v/>
      </c>
      <c r="H692">
        <f>Raw_Data!H692</f>
        <v/>
      </c>
      <c r="I692">
        <f>Raw_Data!I692</f>
        <v/>
      </c>
      <c r="J692" s="12">
        <f>Raw_Data!J692</f>
        <v/>
      </c>
      <c r="K692" s="13">
        <f>Raw_Data!K692</f>
        <v/>
      </c>
      <c r="L692" s="12">
        <f>Raw_Data!L692</f>
        <v/>
      </c>
      <c r="M692" s="12">
        <f>Raw_Data!M692</f>
        <v/>
      </c>
      <c r="N692" s="12">
        <f>Raw_Data!N692</f>
        <v/>
      </c>
      <c r="O692">
        <f>Raw_Data!O692</f>
        <v/>
      </c>
      <c r="P692">
        <f>Raw_Data!P692</f>
        <v/>
      </c>
      <c r="Q692">
        <f>YEAR(B692)</f>
        <v/>
      </c>
      <c r="R692">
        <f>TEXT(B692,"mmm")</f>
        <v/>
      </c>
      <c r="S692" s="15">
        <f>IFERROR(N692/L692,0)</f>
        <v/>
      </c>
    </row>
    <row r="693">
      <c r="A693">
        <f>Raw_Data!A693</f>
        <v/>
      </c>
      <c r="B693" s="11">
        <f>Raw_Data!B693</f>
        <v/>
      </c>
      <c r="C693">
        <f>Raw_Data!C693</f>
        <v/>
      </c>
      <c r="D693">
        <f>Raw_Data!D693</f>
        <v/>
      </c>
      <c r="E693">
        <f>Raw_Data!E693</f>
        <v/>
      </c>
      <c r="F693">
        <f>Raw_Data!F693</f>
        <v/>
      </c>
      <c r="G693">
        <f>Raw_Data!G693</f>
        <v/>
      </c>
      <c r="H693">
        <f>Raw_Data!H693</f>
        <v/>
      </c>
      <c r="I693">
        <f>Raw_Data!I693</f>
        <v/>
      </c>
      <c r="J693" s="12">
        <f>Raw_Data!J693</f>
        <v/>
      </c>
      <c r="K693" s="13">
        <f>Raw_Data!K693</f>
        <v/>
      </c>
      <c r="L693" s="12">
        <f>Raw_Data!L693</f>
        <v/>
      </c>
      <c r="M693" s="12">
        <f>Raw_Data!M693</f>
        <v/>
      </c>
      <c r="N693" s="12">
        <f>Raw_Data!N693</f>
        <v/>
      </c>
      <c r="O693">
        <f>Raw_Data!O693</f>
        <v/>
      </c>
      <c r="P693">
        <f>Raw_Data!P693</f>
        <v/>
      </c>
      <c r="Q693">
        <f>YEAR(B693)</f>
        <v/>
      </c>
      <c r="R693">
        <f>TEXT(B693,"mmm")</f>
        <v/>
      </c>
      <c r="S693" s="15">
        <f>IFERROR(N693/L693,0)</f>
        <v/>
      </c>
    </row>
    <row r="694">
      <c r="A694">
        <f>Raw_Data!A694</f>
        <v/>
      </c>
      <c r="B694" s="11">
        <f>Raw_Data!B694</f>
        <v/>
      </c>
      <c r="C694">
        <f>Raw_Data!C694</f>
        <v/>
      </c>
      <c r="D694">
        <f>Raw_Data!D694</f>
        <v/>
      </c>
      <c r="E694">
        <f>Raw_Data!E694</f>
        <v/>
      </c>
      <c r="F694">
        <f>Raw_Data!F694</f>
        <v/>
      </c>
      <c r="G694">
        <f>Raw_Data!G694</f>
        <v/>
      </c>
      <c r="H694">
        <f>Raw_Data!H694</f>
        <v/>
      </c>
      <c r="I694">
        <f>Raw_Data!I694</f>
        <v/>
      </c>
      <c r="J694" s="12">
        <f>Raw_Data!J694</f>
        <v/>
      </c>
      <c r="K694" s="13">
        <f>Raw_Data!K694</f>
        <v/>
      </c>
      <c r="L694" s="12">
        <f>Raw_Data!L694</f>
        <v/>
      </c>
      <c r="M694" s="12">
        <f>Raw_Data!M694</f>
        <v/>
      </c>
      <c r="N694" s="12">
        <f>Raw_Data!N694</f>
        <v/>
      </c>
      <c r="O694">
        <f>Raw_Data!O694</f>
        <v/>
      </c>
      <c r="P694">
        <f>Raw_Data!P694</f>
        <v/>
      </c>
      <c r="Q694">
        <f>YEAR(B694)</f>
        <v/>
      </c>
      <c r="R694">
        <f>TEXT(B694,"mmm")</f>
        <v/>
      </c>
      <c r="S694" s="15">
        <f>IFERROR(N694/L694,0)</f>
        <v/>
      </c>
    </row>
    <row r="695">
      <c r="A695">
        <f>Raw_Data!A695</f>
        <v/>
      </c>
      <c r="B695" s="11">
        <f>Raw_Data!B695</f>
        <v/>
      </c>
      <c r="C695">
        <f>Raw_Data!C695</f>
        <v/>
      </c>
      <c r="D695">
        <f>Raw_Data!D695</f>
        <v/>
      </c>
      <c r="E695">
        <f>Raw_Data!E695</f>
        <v/>
      </c>
      <c r="F695">
        <f>Raw_Data!F695</f>
        <v/>
      </c>
      <c r="G695">
        <f>Raw_Data!G695</f>
        <v/>
      </c>
      <c r="H695">
        <f>Raw_Data!H695</f>
        <v/>
      </c>
      <c r="I695">
        <f>Raw_Data!I695</f>
        <v/>
      </c>
      <c r="J695" s="12">
        <f>Raw_Data!J695</f>
        <v/>
      </c>
      <c r="K695" s="13">
        <f>Raw_Data!K695</f>
        <v/>
      </c>
      <c r="L695" s="12">
        <f>Raw_Data!L695</f>
        <v/>
      </c>
      <c r="M695" s="12">
        <f>Raw_Data!M695</f>
        <v/>
      </c>
      <c r="N695" s="12">
        <f>Raw_Data!N695</f>
        <v/>
      </c>
      <c r="O695">
        <f>Raw_Data!O695</f>
        <v/>
      </c>
      <c r="P695">
        <f>Raw_Data!P695</f>
        <v/>
      </c>
      <c r="Q695">
        <f>YEAR(B695)</f>
        <v/>
      </c>
      <c r="R695">
        <f>TEXT(B695,"mmm")</f>
        <v/>
      </c>
      <c r="S695" s="15">
        <f>IFERROR(N695/L695,0)</f>
        <v/>
      </c>
    </row>
    <row r="696">
      <c r="A696">
        <f>Raw_Data!A696</f>
        <v/>
      </c>
      <c r="B696" s="11">
        <f>Raw_Data!B696</f>
        <v/>
      </c>
      <c r="C696">
        <f>Raw_Data!C696</f>
        <v/>
      </c>
      <c r="D696">
        <f>Raw_Data!D696</f>
        <v/>
      </c>
      <c r="E696">
        <f>Raw_Data!E696</f>
        <v/>
      </c>
      <c r="F696">
        <f>Raw_Data!F696</f>
        <v/>
      </c>
      <c r="G696">
        <f>Raw_Data!G696</f>
        <v/>
      </c>
      <c r="H696">
        <f>Raw_Data!H696</f>
        <v/>
      </c>
      <c r="I696">
        <f>Raw_Data!I696</f>
        <v/>
      </c>
      <c r="J696" s="12">
        <f>Raw_Data!J696</f>
        <v/>
      </c>
      <c r="K696" s="13">
        <f>Raw_Data!K696</f>
        <v/>
      </c>
      <c r="L696" s="12">
        <f>Raw_Data!L696</f>
        <v/>
      </c>
      <c r="M696" s="12">
        <f>Raw_Data!M696</f>
        <v/>
      </c>
      <c r="N696" s="12">
        <f>Raw_Data!N696</f>
        <v/>
      </c>
      <c r="O696">
        <f>Raw_Data!O696</f>
        <v/>
      </c>
      <c r="P696">
        <f>Raw_Data!P696</f>
        <v/>
      </c>
      <c r="Q696">
        <f>YEAR(B696)</f>
        <v/>
      </c>
      <c r="R696">
        <f>TEXT(B696,"mmm")</f>
        <v/>
      </c>
      <c r="S696" s="15">
        <f>IFERROR(N696/L696,0)</f>
        <v/>
      </c>
    </row>
    <row r="697">
      <c r="A697">
        <f>Raw_Data!A697</f>
        <v/>
      </c>
      <c r="B697" s="11">
        <f>Raw_Data!B697</f>
        <v/>
      </c>
      <c r="C697">
        <f>Raw_Data!C697</f>
        <v/>
      </c>
      <c r="D697">
        <f>Raw_Data!D697</f>
        <v/>
      </c>
      <c r="E697">
        <f>Raw_Data!E697</f>
        <v/>
      </c>
      <c r="F697">
        <f>Raw_Data!F697</f>
        <v/>
      </c>
      <c r="G697">
        <f>Raw_Data!G697</f>
        <v/>
      </c>
      <c r="H697">
        <f>Raw_Data!H697</f>
        <v/>
      </c>
      <c r="I697">
        <f>Raw_Data!I697</f>
        <v/>
      </c>
      <c r="J697" s="12">
        <f>Raw_Data!J697</f>
        <v/>
      </c>
      <c r="K697" s="13">
        <f>Raw_Data!K697</f>
        <v/>
      </c>
      <c r="L697" s="12">
        <f>Raw_Data!L697</f>
        <v/>
      </c>
      <c r="M697" s="12">
        <f>Raw_Data!M697</f>
        <v/>
      </c>
      <c r="N697" s="12">
        <f>Raw_Data!N697</f>
        <v/>
      </c>
      <c r="O697">
        <f>Raw_Data!O697</f>
        <v/>
      </c>
      <c r="P697">
        <f>Raw_Data!P697</f>
        <v/>
      </c>
      <c r="Q697">
        <f>YEAR(B697)</f>
        <v/>
      </c>
      <c r="R697">
        <f>TEXT(B697,"mmm")</f>
        <v/>
      </c>
      <c r="S697" s="15">
        <f>IFERROR(N697/L697,0)</f>
        <v/>
      </c>
    </row>
    <row r="698">
      <c r="A698">
        <f>Raw_Data!A698</f>
        <v/>
      </c>
      <c r="B698" s="11">
        <f>Raw_Data!B698</f>
        <v/>
      </c>
      <c r="C698">
        <f>Raw_Data!C698</f>
        <v/>
      </c>
      <c r="D698">
        <f>Raw_Data!D698</f>
        <v/>
      </c>
      <c r="E698">
        <f>Raw_Data!E698</f>
        <v/>
      </c>
      <c r="F698">
        <f>Raw_Data!F698</f>
        <v/>
      </c>
      <c r="G698">
        <f>Raw_Data!G698</f>
        <v/>
      </c>
      <c r="H698">
        <f>Raw_Data!H698</f>
        <v/>
      </c>
      <c r="I698">
        <f>Raw_Data!I698</f>
        <v/>
      </c>
      <c r="J698" s="12">
        <f>Raw_Data!J698</f>
        <v/>
      </c>
      <c r="K698" s="13">
        <f>Raw_Data!K698</f>
        <v/>
      </c>
      <c r="L698" s="12">
        <f>Raw_Data!L698</f>
        <v/>
      </c>
      <c r="M698" s="12">
        <f>Raw_Data!M698</f>
        <v/>
      </c>
      <c r="N698" s="12">
        <f>Raw_Data!N698</f>
        <v/>
      </c>
      <c r="O698">
        <f>Raw_Data!O698</f>
        <v/>
      </c>
      <c r="P698">
        <f>Raw_Data!P698</f>
        <v/>
      </c>
      <c r="Q698">
        <f>YEAR(B698)</f>
        <v/>
      </c>
      <c r="R698">
        <f>TEXT(B698,"mmm")</f>
        <v/>
      </c>
      <c r="S698" s="15">
        <f>IFERROR(N698/L698,0)</f>
        <v/>
      </c>
    </row>
    <row r="699">
      <c r="A699">
        <f>Raw_Data!A699</f>
        <v/>
      </c>
      <c r="B699" s="11">
        <f>Raw_Data!B699</f>
        <v/>
      </c>
      <c r="C699">
        <f>Raw_Data!C699</f>
        <v/>
      </c>
      <c r="D699">
        <f>Raw_Data!D699</f>
        <v/>
      </c>
      <c r="E699">
        <f>Raw_Data!E699</f>
        <v/>
      </c>
      <c r="F699">
        <f>Raw_Data!F699</f>
        <v/>
      </c>
      <c r="G699">
        <f>Raw_Data!G699</f>
        <v/>
      </c>
      <c r="H699">
        <f>Raw_Data!H699</f>
        <v/>
      </c>
      <c r="I699">
        <f>Raw_Data!I699</f>
        <v/>
      </c>
      <c r="J699" s="12">
        <f>Raw_Data!J699</f>
        <v/>
      </c>
      <c r="K699" s="13">
        <f>Raw_Data!K699</f>
        <v/>
      </c>
      <c r="L699" s="12">
        <f>Raw_Data!L699</f>
        <v/>
      </c>
      <c r="M699" s="12">
        <f>Raw_Data!M699</f>
        <v/>
      </c>
      <c r="N699" s="12">
        <f>Raw_Data!N699</f>
        <v/>
      </c>
      <c r="O699">
        <f>Raw_Data!O699</f>
        <v/>
      </c>
      <c r="P699">
        <f>Raw_Data!P699</f>
        <v/>
      </c>
      <c r="Q699">
        <f>YEAR(B699)</f>
        <v/>
      </c>
      <c r="R699">
        <f>TEXT(B699,"mmm")</f>
        <v/>
      </c>
      <c r="S699" s="15">
        <f>IFERROR(N699/L699,0)</f>
        <v/>
      </c>
    </row>
    <row r="700">
      <c r="A700">
        <f>Raw_Data!A700</f>
        <v/>
      </c>
      <c r="B700" s="11">
        <f>Raw_Data!B700</f>
        <v/>
      </c>
      <c r="C700">
        <f>Raw_Data!C700</f>
        <v/>
      </c>
      <c r="D700">
        <f>Raw_Data!D700</f>
        <v/>
      </c>
      <c r="E700">
        <f>Raw_Data!E700</f>
        <v/>
      </c>
      <c r="F700">
        <f>Raw_Data!F700</f>
        <v/>
      </c>
      <c r="G700">
        <f>Raw_Data!G700</f>
        <v/>
      </c>
      <c r="H700">
        <f>Raw_Data!H700</f>
        <v/>
      </c>
      <c r="I700">
        <f>Raw_Data!I700</f>
        <v/>
      </c>
      <c r="J700" s="12">
        <f>Raw_Data!J700</f>
        <v/>
      </c>
      <c r="K700" s="13">
        <f>Raw_Data!K700</f>
        <v/>
      </c>
      <c r="L700" s="12">
        <f>Raw_Data!L700</f>
        <v/>
      </c>
      <c r="M700" s="12">
        <f>Raw_Data!M700</f>
        <v/>
      </c>
      <c r="N700" s="12">
        <f>Raw_Data!N700</f>
        <v/>
      </c>
      <c r="O700">
        <f>Raw_Data!O700</f>
        <v/>
      </c>
      <c r="P700">
        <f>Raw_Data!P700</f>
        <v/>
      </c>
      <c r="Q700">
        <f>YEAR(B700)</f>
        <v/>
      </c>
      <c r="R700">
        <f>TEXT(B700,"mmm")</f>
        <v/>
      </c>
      <c r="S700" s="15">
        <f>IFERROR(N700/L700,0)</f>
        <v/>
      </c>
    </row>
    <row r="701">
      <c r="A701">
        <f>Raw_Data!A701</f>
        <v/>
      </c>
      <c r="B701" s="11">
        <f>Raw_Data!B701</f>
        <v/>
      </c>
      <c r="C701">
        <f>Raw_Data!C701</f>
        <v/>
      </c>
      <c r="D701">
        <f>Raw_Data!D701</f>
        <v/>
      </c>
      <c r="E701">
        <f>Raw_Data!E701</f>
        <v/>
      </c>
      <c r="F701">
        <f>Raw_Data!F701</f>
        <v/>
      </c>
      <c r="G701">
        <f>Raw_Data!G701</f>
        <v/>
      </c>
      <c r="H701">
        <f>Raw_Data!H701</f>
        <v/>
      </c>
      <c r="I701">
        <f>Raw_Data!I701</f>
        <v/>
      </c>
      <c r="J701" s="12">
        <f>Raw_Data!J701</f>
        <v/>
      </c>
      <c r="K701" s="13">
        <f>Raw_Data!K701</f>
        <v/>
      </c>
      <c r="L701" s="12">
        <f>Raw_Data!L701</f>
        <v/>
      </c>
      <c r="M701" s="12">
        <f>Raw_Data!M701</f>
        <v/>
      </c>
      <c r="N701" s="12">
        <f>Raw_Data!N701</f>
        <v/>
      </c>
      <c r="O701">
        <f>Raw_Data!O701</f>
        <v/>
      </c>
      <c r="P701">
        <f>Raw_Data!P701</f>
        <v/>
      </c>
      <c r="Q701">
        <f>YEAR(B701)</f>
        <v/>
      </c>
      <c r="R701">
        <f>TEXT(B701,"mmm")</f>
        <v/>
      </c>
      <c r="S701" s="15">
        <f>IFERROR(N701/L701,0)</f>
        <v/>
      </c>
    </row>
    <row r="702">
      <c r="A702">
        <f>Raw_Data!A702</f>
        <v/>
      </c>
      <c r="B702" s="11">
        <f>Raw_Data!B702</f>
        <v/>
      </c>
      <c r="C702">
        <f>Raw_Data!C702</f>
        <v/>
      </c>
      <c r="D702">
        <f>Raw_Data!D702</f>
        <v/>
      </c>
      <c r="E702">
        <f>Raw_Data!E702</f>
        <v/>
      </c>
      <c r="F702">
        <f>Raw_Data!F702</f>
        <v/>
      </c>
      <c r="G702">
        <f>Raw_Data!G702</f>
        <v/>
      </c>
      <c r="H702">
        <f>Raw_Data!H702</f>
        <v/>
      </c>
      <c r="I702">
        <f>Raw_Data!I702</f>
        <v/>
      </c>
      <c r="J702" s="12">
        <f>Raw_Data!J702</f>
        <v/>
      </c>
      <c r="K702" s="13">
        <f>Raw_Data!K702</f>
        <v/>
      </c>
      <c r="L702" s="12">
        <f>Raw_Data!L702</f>
        <v/>
      </c>
      <c r="M702" s="12">
        <f>Raw_Data!M702</f>
        <v/>
      </c>
      <c r="N702" s="12">
        <f>Raw_Data!N702</f>
        <v/>
      </c>
      <c r="O702">
        <f>Raw_Data!O702</f>
        <v/>
      </c>
      <c r="P702">
        <f>Raw_Data!P702</f>
        <v/>
      </c>
      <c r="Q702">
        <f>YEAR(B702)</f>
        <v/>
      </c>
      <c r="R702">
        <f>TEXT(B702,"mmm")</f>
        <v/>
      </c>
      <c r="S702" s="15">
        <f>IFERROR(N702/L702,0)</f>
        <v/>
      </c>
    </row>
    <row r="703">
      <c r="A703">
        <f>Raw_Data!A703</f>
        <v/>
      </c>
      <c r="B703" s="11">
        <f>Raw_Data!B703</f>
        <v/>
      </c>
      <c r="C703">
        <f>Raw_Data!C703</f>
        <v/>
      </c>
      <c r="D703">
        <f>Raw_Data!D703</f>
        <v/>
      </c>
      <c r="E703">
        <f>Raw_Data!E703</f>
        <v/>
      </c>
      <c r="F703">
        <f>Raw_Data!F703</f>
        <v/>
      </c>
      <c r="G703">
        <f>Raw_Data!G703</f>
        <v/>
      </c>
      <c r="H703">
        <f>Raw_Data!H703</f>
        <v/>
      </c>
      <c r="I703">
        <f>Raw_Data!I703</f>
        <v/>
      </c>
      <c r="J703" s="12">
        <f>Raw_Data!J703</f>
        <v/>
      </c>
      <c r="K703" s="13">
        <f>Raw_Data!K703</f>
        <v/>
      </c>
      <c r="L703" s="12">
        <f>Raw_Data!L703</f>
        <v/>
      </c>
      <c r="M703" s="12">
        <f>Raw_Data!M703</f>
        <v/>
      </c>
      <c r="N703" s="12">
        <f>Raw_Data!N703</f>
        <v/>
      </c>
      <c r="O703">
        <f>Raw_Data!O703</f>
        <v/>
      </c>
      <c r="P703">
        <f>Raw_Data!P703</f>
        <v/>
      </c>
      <c r="Q703">
        <f>YEAR(B703)</f>
        <v/>
      </c>
      <c r="R703">
        <f>TEXT(B703,"mmm")</f>
        <v/>
      </c>
      <c r="S703" s="15">
        <f>IFERROR(N703/L703,0)</f>
        <v/>
      </c>
    </row>
    <row r="704">
      <c r="A704">
        <f>Raw_Data!A704</f>
        <v/>
      </c>
      <c r="B704" s="11">
        <f>Raw_Data!B704</f>
        <v/>
      </c>
      <c r="C704">
        <f>Raw_Data!C704</f>
        <v/>
      </c>
      <c r="D704">
        <f>Raw_Data!D704</f>
        <v/>
      </c>
      <c r="E704">
        <f>Raw_Data!E704</f>
        <v/>
      </c>
      <c r="F704">
        <f>Raw_Data!F704</f>
        <v/>
      </c>
      <c r="G704">
        <f>Raw_Data!G704</f>
        <v/>
      </c>
      <c r="H704">
        <f>Raw_Data!H704</f>
        <v/>
      </c>
      <c r="I704">
        <f>Raw_Data!I704</f>
        <v/>
      </c>
      <c r="J704" s="12">
        <f>Raw_Data!J704</f>
        <v/>
      </c>
      <c r="K704" s="13">
        <f>Raw_Data!K704</f>
        <v/>
      </c>
      <c r="L704" s="12">
        <f>Raw_Data!L704</f>
        <v/>
      </c>
      <c r="M704" s="12">
        <f>Raw_Data!M704</f>
        <v/>
      </c>
      <c r="N704" s="12">
        <f>Raw_Data!N704</f>
        <v/>
      </c>
      <c r="O704">
        <f>Raw_Data!O704</f>
        <v/>
      </c>
      <c r="P704">
        <f>Raw_Data!P704</f>
        <v/>
      </c>
      <c r="Q704">
        <f>YEAR(B704)</f>
        <v/>
      </c>
      <c r="R704">
        <f>TEXT(B704,"mmm")</f>
        <v/>
      </c>
      <c r="S704" s="15">
        <f>IFERROR(N704/L704,0)</f>
        <v/>
      </c>
    </row>
    <row r="705">
      <c r="A705">
        <f>Raw_Data!A705</f>
        <v/>
      </c>
      <c r="B705" s="11">
        <f>Raw_Data!B705</f>
        <v/>
      </c>
      <c r="C705">
        <f>Raw_Data!C705</f>
        <v/>
      </c>
      <c r="D705">
        <f>Raw_Data!D705</f>
        <v/>
      </c>
      <c r="E705">
        <f>Raw_Data!E705</f>
        <v/>
      </c>
      <c r="F705">
        <f>Raw_Data!F705</f>
        <v/>
      </c>
      <c r="G705">
        <f>Raw_Data!G705</f>
        <v/>
      </c>
      <c r="H705">
        <f>Raw_Data!H705</f>
        <v/>
      </c>
      <c r="I705">
        <f>Raw_Data!I705</f>
        <v/>
      </c>
      <c r="J705" s="12">
        <f>Raw_Data!J705</f>
        <v/>
      </c>
      <c r="K705" s="13">
        <f>Raw_Data!K705</f>
        <v/>
      </c>
      <c r="L705" s="12">
        <f>Raw_Data!L705</f>
        <v/>
      </c>
      <c r="M705" s="12">
        <f>Raw_Data!M705</f>
        <v/>
      </c>
      <c r="N705" s="12">
        <f>Raw_Data!N705</f>
        <v/>
      </c>
      <c r="O705">
        <f>Raw_Data!O705</f>
        <v/>
      </c>
      <c r="P705">
        <f>Raw_Data!P705</f>
        <v/>
      </c>
      <c r="Q705">
        <f>YEAR(B705)</f>
        <v/>
      </c>
      <c r="R705">
        <f>TEXT(B705,"mmm")</f>
        <v/>
      </c>
      <c r="S705" s="15">
        <f>IFERROR(N705/L705,0)</f>
        <v/>
      </c>
    </row>
    <row r="706">
      <c r="A706">
        <f>Raw_Data!A706</f>
        <v/>
      </c>
      <c r="B706" s="11">
        <f>Raw_Data!B706</f>
        <v/>
      </c>
      <c r="C706">
        <f>Raw_Data!C706</f>
        <v/>
      </c>
      <c r="D706">
        <f>Raw_Data!D706</f>
        <v/>
      </c>
      <c r="E706">
        <f>Raw_Data!E706</f>
        <v/>
      </c>
      <c r="F706">
        <f>Raw_Data!F706</f>
        <v/>
      </c>
      <c r="G706">
        <f>Raw_Data!G706</f>
        <v/>
      </c>
      <c r="H706">
        <f>Raw_Data!H706</f>
        <v/>
      </c>
      <c r="I706">
        <f>Raw_Data!I706</f>
        <v/>
      </c>
      <c r="J706" s="12">
        <f>Raw_Data!J706</f>
        <v/>
      </c>
      <c r="K706" s="13">
        <f>Raw_Data!K706</f>
        <v/>
      </c>
      <c r="L706" s="12">
        <f>Raw_Data!L706</f>
        <v/>
      </c>
      <c r="M706" s="12">
        <f>Raw_Data!M706</f>
        <v/>
      </c>
      <c r="N706" s="12">
        <f>Raw_Data!N706</f>
        <v/>
      </c>
      <c r="O706">
        <f>Raw_Data!O706</f>
        <v/>
      </c>
      <c r="P706">
        <f>Raw_Data!P706</f>
        <v/>
      </c>
      <c r="Q706">
        <f>YEAR(B706)</f>
        <v/>
      </c>
      <c r="R706">
        <f>TEXT(B706,"mmm")</f>
        <v/>
      </c>
      <c r="S706" s="15">
        <f>IFERROR(N706/L706,0)</f>
        <v/>
      </c>
    </row>
    <row r="707">
      <c r="A707">
        <f>Raw_Data!A707</f>
        <v/>
      </c>
      <c r="B707" s="11">
        <f>Raw_Data!B707</f>
        <v/>
      </c>
      <c r="C707">
        <f>Raw_Data!C707</f>
        <v/>
      </c>
      <c r="D707">
        <f>Raw_Data!D707</f>
        <v/>
      </c>
      <c r="E707">
        <f>Raw_Data!E707</f>
        <v/>
      </c>
      <c r="F707">
        <f>Raw_Data!F707</f>
        <v/>
      </c>
      <c r="G707">
        <f>Raw_Data!G707</f>
        <v/>
      </c>
      <c r="H707">
        <f>Raw_Data!H707</f>
        <v/>
      </c>
      <c r="I707">
        <f>Raw_Data!I707</f>
        <v/>
      </c>
      <c r="J707" s="12">
        <f>Raw_Data!J707</f>
        <v/>
      </c>
      <c r="K707" s="13">
        <f>Raw_Data!K707</f>
        <v/>
      </c>
      <c r="L707" s="12">
        <f>Raw_Data!L707</f>
        <v/>
      </c>
      <c r="M707" s="12">
        <f>Raw_Data!M707</f>
        <v/>
      </c>
      <c r="N707" s="12">
        <f>Raw_Data!N707</f>
        <v/>
      </c>
      <c r="O707">
        <f>Raw_Data!O707</f>
        <v/>
      </c>
      <c r="P707">
        <f>Raw_Data!P707</f>
        <v/>
      </c>
      <c r="Q707">
        <f>YEAR(B707)</f>
        <v/>
      </c>
      <c r="R707">
        <f>TEXT(B707,"mmm")</f>
        <v/>
      </c>
      <c r="S707" s="15">
        <f>IFERROR(N707/L707,0)</f>
        <v/>
      </c>
    </row>
    <row r="708">
      <c r="A708">
        <f>Raw_Data!A708</f>
        <v/>
      </c>
      <c r="B708" s="11">
        <f>Raw_Data!B708</f>
        <v/>
      </c>
      <c r="C708">
        <f>Raw_Data!C708</f>
        <v/>
      </c>
      <c r="D708">
        <f>Raw_Data!D708</f>
        <v/>
      </c>
      <c r="E708">
        <f>Raw_Data!E708</f>
        <v/>
      </c>
      <c r="F708">
        <f>Raw_Data!F708</f>
        <v/>
      </c>
      <c r="G708">
        <f>Raw_Data!G708</f>
        <v/>
      </c>
      <c r="H708">
        <f>Raw_Data!H708</f>
        <v/>
      </c>
      <c r="I708">
        <f>Raw_Data!I708</f>
        <v/>
      </c>
      <c r="J708" s="12">
        <f>Raw_Data!J708</f>
        <v/>
      </c>
      <c r="K708" s="13">
        <f>Raw_Data!K708</f>
        <v/>
      </c>
      <c r="L708" s="12">
        <f>Raw_Data!L708</f>
        <v/>
      </c>
      <c r="M708" s="12">
        <f>Raw_Data!M708</f>
        <v/>
      </c>
      <c r="N708" s="12">
        <f>Raw_Data!N708</f>
        <v/>
      </c>
      <c r="O708">
        <f>Raw_Data!O708</f>
        <v/>
      </c>
      <c r="P708">
        <f>Raw_Data!P708</f>
        <v/>
      </c>
      <c r="Q708">
        <f>YEAR(B708)</f>
        <v/>
      </c>
      <c r="R708">
        <f>TEXT(B708,"mmm")</f>
        <v/>
      </c>
      <c r="S708" s="15">
        <f>IFERROR(N708/L708,0)</f>
        <v/>
      </c>
    </row>
    <row r="709">
      <c r="A709">
        <f>Raw_Data!A709</f>
        <v/>
      </c>
      <c r="B709" s="11">
        <f>Raw_Data!B709</f>
        <v/>
      </c>
      <c r="C709">
        <f>Raw_Data!C709</f>
        <v/>
      </c>
      <c r="D709">
        <f>Raw_Data!D709</f>
        <v/>
      </c>
      <c r="E709">
        <f>Raw_Data!E709</f>
        <v/>
      </c>
      <c r="F709">
        <f>Raw_Data!F709</f>
        <v/>
      </c>
      <c r="G709">
        <f>Raw_Data!G709</f>
        <v/>
      </c>
      <c r="H709">
        <f>Raw_Data!H709</f>
        <v/>
      </c>
      <c r="I709">
        <f>Raw_Data!I709</f>
        <v/>
      </c>
      <c r="J709" s="12">
        <f>Raw_Data!J709</f>
        <v/>
      </c>
      <c r="K709" s="13">
        <f>Raw_Data!K709</f>
        <v/>
      </c>
      <c r="L709" s="12">
        <f>Raw_Data!L709</f>
        <v/>
      </c>
      <c r="M709" s="12">
        <f>Raw_Data!M709</f>
        <v/>
      </c>
      <c r="N709" s="12">
        <f>Raw_Data!N709</f>
        <v/>
      </c>
      <c r="O709">
        <f>Raw_Data!O709</f>
        <v/>
      </c>
      <c r="P709">
        <f>Raw_Data!P709</f>
        <v/>
      </c>
      <c r="Q709">
        <f>YEAR(B709)</f>
        <v/>
      </c>
      <c r="R709">
        <f>TEXT(B709,"mmm")</f>
        <v/>
      </c>
      <c r="S709" s="15">
        <f>IFERROR(N709/L709,0)</f>
        <v/>
      </c>
    </row>
    <row r="710">
      <c r="A710">
        <f>Raw_Data!A710</f>
        <v/>
      </c>
      <c r="B710" s="11">
        <f>Raw_Data!B710</f>
        <v/>
      </c>
      <c r="C710">
        <f>Raw_Data!C710</f>
        <v/>
      </c>
      <c r="D710">
        <f>Raw_Data!D710</f>
        <v/>
      </c>
      <c r="E710">
        <f>Raw_Data!E710</f>
        <v/>
      </c>
      <c r="F710">
        <f>Raw_Data!F710</f>
        <v/>
      </c>
      <c r="G710">
        <f>Raw_Data!G710</f>
        <v/>
      </c>
      <c r="H710">
        <f>Raw_Data!H710</f>
        <v/>
      </c>
      <c r="I710">
        <f>Raw_Data!I710</f>
        <v/>
      </c>
      <c r="J710" s="12">
        <f>Raw_Data!J710</f>
        <v/>
      </c>
      <c r="K710" s="13">
        <f>Raw_Data!K710</f>
        <v/>
      </c>
      <c r="L710" s="12">
        <f>Raw_Data!L710</f>
        <v/>
      </c>
      <c r="M710" s="12">
        <f>Raw_Data!M710</f>
        <v/>
      </c>
      <c r="N710" s="12">
        <f>Raw_Data!N710</f>
        <v/>
      </c>
      <c r="O710">
        <f>Raw_Data!O710</f>
        <v/>
      </c>
      <c r="P710">
        <f>Raw_Data!P710</f>
        <v/>
      </c>
      <c r="Q710">
        <f>YEAR(B710)</f>
        <v/>
      </c>
      <c r="R710">
        <f>TEXT(B710,"mmm")</f>
        <v/>
      </c>
      <c r="S710" s="15">
        <f>IFERROR(N710/L710,0)</f>
        <v/>
      </c>
    </row>
    <row r="711">
      <c r="A711">
        <f>Raw_Data!A711</f>
        <v/>
      </c>
      <c r="B711" s="11">
        <f>Raw_Data!B711</f>
        <v/>
      </c>
      <c r="C711">
        <f>Raw_Data!C711</f>
        <v/>
      </c>
      <c r="D711">
        <f>Raw_Data!D711</f>
        <v/>
      </c>
      <c r="E711">
        <f>Raw_Data!E711</f>
        <v/>
      </c>
      <c r="F711">
        <f>Raw_Data!F711</f>
        <v/>
      </c>
      <c r="G711">
        <f>Raw_Data!G711</f>
        <v/>
      </c>
      <c r="H711">
        <f>Raw_Data!H711</f>
        <v/>
      </c>
      <c r="I711">
        <f>Raw_Data!I711</f>
        <v/>
      </c>
      <c r="J711" s="12">
        <f>Raw_Data!J711</f>
        <v/>
      </c>
      <c r="K711" s="13">
        <f>Raw_Data!K711</f>
        <v/>
      </c>
      <c r="L711" s="12">
        <f>Raw_Data!L711</f>
        <v/>
      </c>
      <c r="M711" s="12">
        <f>Raw_Data!M711</f>
        <v/>
      </c>
      <c r="N711" s="12">
        <f>Raw_Data!N711</f>
        <v/>
      </c>
      <c r="O711">
        <f>Raw_Data!O711</f>
        <v/>
      </c>
      <c r="P711">
        <f>Raw_Data!P711</f>
        <v/>
      </c>
      <c r="Q711">
        <f>YEAR(B711)</f>
        <v/>
      </c>
      <c r="R711">
        <f>TEXT(B711,"mmm")</f>
        <v/>
      </c>
      <c r="S711" s="15">
        <f>IFERROR(N711/L711,0)</f>
        <v/>
      </c>
    </row>
    <row r="712">
      <c r="A712">
        <f>Raw_Data!A712</f>
        <v/>
      </c>
      <c r="B712" s="11">
        <f>Raw_Data!B712</f>
        <v/>
      </c>
      <c r="C712">
        <f>Raw_Data!C712</f>
        <v/>
      </c>
      <c r="D712">
        <f>Raw_Data!D712</f>
        <v/>
      </c>
      <c r="E712">
        <f>Raw_Data!E712</f>
        <v/>
      </c>
      <c r="F712">
        <f>Raw_Data!F712</f>
        <v/>
      </c>
      <c r="G712">
        <f>Raw_Data!G712</f>
        <v/>
      </c>
      <c r="H712">
        <f>Raw_Data!H712</f>
        <v/>
      </c>
      <c r="I712">
        <f>Raw_Data!I712</f>
        <v/>
      </c>
      <c r="J712" s="12">
        <f>Raw_Data!J712</f>
        <v/>
      </c>
      <c r="K712" s="13">
        <f>Raw_Data!K712</f>
        <v/>
      </c>
      <c r="L712" s="12">
        <f>Raw_Data!L712</f>
        <v/>
      </c>
      <c r="M712" s="12">
        <f>Raw_Data!M712</f>
        <v/>
      </c>
      <c r="N712" s="12">
        <f>Raw_Data!N712</f>
        <v/>
      </c>
      <c r="O712">
        <f>Raw_Data!O712</f>
        <v/>
      </c>
      <c r="P712">
        <f>Raw_Data!P712</f>
        <v/>
      </c>
      <c r="Q712">
        <f>YEAR(B712)</f>
        <v/>
      </c>
      <c r="R712">
        <f>TEXT(B712,"mmm")</f>
        <v/>
      </c>
      <c r="S712" s="15">
        <f>IFERROR(N712/L712,0)</f>
        <v/>
      </c>
    </row>
    <row r="713">
      <c r="A713">
        <f>Raw_Data!A713</f>
        <v/>
      </c>
      <c r="B713" s="11">
        <f>Raw_Data!B713</f>
        <v/>
      </c>
      <c r="C713">
        <f>Raw_Data!C713</f>
        <v/>
      </c>
      <c r="D713">
        <f>Raw_Data!D713</f>
        <v/>
      </c>
      <c r="E713">
        <f>Raw_Data!E713</f>
        <v/>
      </c>
      <c r="F713">
        <f>Raw_Data!F713</f>
        <v/>
      </c>
      <c r="G713">
        <f>Raw_Data!G713</f>
        <v/>
      </c>
      <c r="H713">
        <f>Raw_Data!H713</f>
        <v/>
      </c>
      <c r="I713">
        <f>Raw_Data!I713</f>
        <v/>
      </c>
      <c r="J713" s="12">
        <f>Raw_Data!J713</f>
        <v/>
      </c>
      <c r="K713" s="13">
        <f>Raw_Data!K713</f>
        <v/>
      </c>
      <c r="L713" s="12">
        <f>Raw_Data!L713</f>
        <v/>
      </c>
      <c r="M713" s="12">
        <f>Raw_Data!M713</f>
        <v/>
      </c>
      <c r="N713" s="12">
        <f>Raw_Data!N713</f>
        <v/>
      </c>
      <c r="O713">
        <f>Raw_Data!O713</f>
        <v/>
      </c>
      <c r="P713">
        <f>Raw_Data!P713</f>
        <v/>
      </c>
      <c r="Q713">
        <f>YEAR(B713)</f>
        <v/>
      </c>
      <c r="R713">
        <f>TEXT(B713,"mmm")</f>
        <v/>
      </c>
      <c r="S713" s="15">
        <f>IFERROR(N713/L713,0)</f>
        <v/>
      </c>
    </row>
    <row r="714">
      <c r="A714">
        <f>Raw_Data!A714</f>
        <v/>
      </c>
      <c r="B714" s="11">
        <f>Raw_Data!B714</f>
        <v/>
      </c>
      <c r="C714">
        <f>Raw_Data!C714</f>
        <v/>
      </c>
      <c r="D714">
        <f>Raw_Data!D714</f>
        <v/>
      </c>
      <c r="E714">
        <f>Raw_Data!E714</f>
        <v/>
      </c>
      <c r="F714">
        <f>Raw_Data!F714</f>
        <v/>
      </c>
      <c r="G714">
        <f>Raw_Data!G714</f>
        <v/>
      </c>
      <c r="H714">
        <f>Raw_Data!H714</f>
        <v/>
      </c>
      <c r="I714">
        <f>Raw_Data!I714</f>
        <v/>
      </c>
      <c r="J714" s="12">
        <f>Raw_Data!J714</f>
        <v/>
      </c>
      <c r="K714" s="13">
        <f>Raw_Data!K714</f>
        <v/>
      </c>
      <c r="L714" s="12">
        <f>Raw_Data!L714</f>
        <v/>
      </c>
      <c r="M714" s="12">
        <f>Raw_Data!M714</f>
        <v/>
      </c>
      <c r="N714" s="12">
        <f>Raw_Data!N714</f>
        <v/>
      </c>
      <c r="O714">
        <f>Raw_Data!O714</f>
        <v/>
      </c>
      <c r="P714">
        <f>Raw_Data!P714</f>
        <v/>
      </c>
      <c r="Q714">
        <f>YEAR(B714)</f>
        <v/>
      </c>
      <c r="R714">
        <f>TEXT(B714,"mmm")</f>
        <v/>
      </c>
      <c r="S714" s="15">
        <f>IFERROR(N714/L714,0)</f>
        <v/>
      </c>
    </row>
    <row r="715">
      <c r="A715">
        <f>Raw_Data!A715</f>
        <v/>
      </c>
      <c r="B715" s="11">
        <f>Raw_Data!B715</f>
        <v/>
      </c>
      <c r="C715">
        <f>Raw_Data!C715</f>
        <v/>
      </c>
      <c r="D715">
        <f>Raw_Data!D715</f>
        <v/>
      </c>
      <c r="E715">
        <f>Raw_Data!E715</f>
        <v/>
      </c>
      <c r="F715">
        <f>Raw_Data!F715</f>
        <v/>
      </c>
      <c r="G715">
        <f>Raw_Data!G715</f>
        <v/>
      </c>
      <c r="H715">
        <f>Raw_Data!H715</f>
        <v/>
      </c>
      <c r="I715">
        <f>Raw_Data!I715</f>
        <v/>
      </c>
      <c r="J715" s="12">
        <f>Raw_Data!J715</f>
        <v/>
      </c>
      <c r="K715" s="13">
        <f>Raw_Data!K715</f>
        <v/>
      </c>
      <c r="L715" s="12">
        <f>Raw_Data!L715</f>
        <v/>
      </c>
      <c r="M715" s="12">
        <f>Raw_Data!M715</f>
        <v/>
      </c>
      <c r="N715" s="12">
        <f>Raw_Data!N715</f>
        <v/>
      </c>
      <c r="O715">
        <f>Raw_Data!O715</f>
        <v/>
      </c>
      <c r="P715">
        <f>Raw_Data!P715</f>
        <v/>
      </c>
      <c r="Q715">
        <f>YEAR(B715)</f>
        <v/>
      </c>
      <c r="R715">
        <f>TEXT(B715,"mmm")</f>
        <v/>
      </c>
      <c r="S715" s="15">
        <f>IFERROR(N715/L715,0)</f>
        <v/>
      </c>
    </row>
    <row r="716">
      <c r="A716">
        <f>Raw_Data!A716</f>
        <v/>
      </c>
      <c r="B716" s="11">
        <f>Raw_Data!B716</f>
        <v/>
      </c>
      <c r="C716">
        <f>Raw_Data!C716</f>
        <v/>
      </c>
      <c r="D716">
        <f>Raw_Data!D716</f>
        <v/>
      </c>
      <c r="E716">
        <f>Raw_Data!E716</f>
        <v/>
      </c>
      <c r="F716">
        <f>Raw_Data!F716</f>
        <v/>
      </c>
      <c r="G716">
        <f>Raw_Data!G716</f>
        <v/>
      </c>
      <c r="H716">
        <f>Raw_Data!H716</f>
        <v/>
      </c>
      <c r="I716">
        <f>Raw_Data!I716</f>
        <v/>
      </c>
      <c r="J716" s="12">
        <f>Raw_Data!J716</f>
        <v/>
      </c>
      <c r="K716" s="13">
        <f>Raw_Data!K716</f>
        <v/>
      </c>
      <c r="L716" s="12">
        <f>Raw_Data!L716</f>
        <v/>
      </c>
      <c r="M716" s="12">
        <f>Raw_Data!M716</f>
        <v/>
      </c>
      <c r="N716" s="12">
        <f>Raw_Data!N716</f>
        <v/>
      </c>
      <c r="O716">
        <f>Raw_Data!O716</f>
        <v/>
      </c>
      <c r="P716">
        <f>Raw_Data!P716</f>
        <v/>
      </c>
      <c r="Q716">
        <f>YEAR(B716)</f>
        <v/>
      </c>
      <c r="R716">
        <f>TEXT(B716,"mmm")</f>
        <v/>
      </c>
      <c r="S716" s="15">
        <f>IFERROR(N716/L716,0)</f>
        <v/>
      </c>
    </row>
    <row r="717">
      <c r="A717">
        <f>Raw_Data!A717</f>
        <v/>
      </c>
      <c r="B717" s="11">
        <f>Raw_Data!B717</f>
        <v/>
      </c>
      <c r="C717">
        <f>Raw_Data!C717</f>
        <v/>
      </c>
      <c r="D717">
        <f>Raw_Data!D717</f>
        <v/>
      </c>
      <c r="E717">
        <f>Raw_Data!E717</f>
        <v/>
      </c>
      <c r="F717">
        <f>Raw_Data!F717</f>
        <v/>
      </c>
      <c r="G717">
        <f>Raw_Data!G717</f>
        <v/>
      </c>
      <c r="H717">
        <f>Raw_Data!H717</f>
        <v/>
      </c>
      <c r="I717">
        <f>Raw_Data!I717</f>
        <v/>
      </c>
      <c r="J717" s="12">
        <f>Raw_Data!J717</f>
        <v/>
      </c>
      <c r="K717" s="13">
        <f>Raw_Data!K717</f>
        <v/>
      </c>
      <c r="L717" s="12">
        <f>Raw_Data!L717</f>
        <v/>
      </c>
      <c r="M717" s="12">
        <f>Raw_Data!M717</f>
        <v/>
      </c>
      <c r="N717" s="12">
        <f>Raw_Data!N717</f>
        <v/>
      </c>
      <c r="O717">
        <f>Raw_Data!O717</f>
        <v/>
      </c>
      <c r="P717">
        <f>Raw_Data!P717</f>
        <v/>
      </c>
      <c r="Q717">
        <f>YEAR(B717)</f>
        <v/>
      </c>
      <c r="R717">
        <f>TEXT(B717,"mmm")</f>
        <v/>
      </c>
      <c r="S717" s="15">
        <f>IFERROR(N717/L717,0)</f>
        <v/>
      </c>
    </row>
    <row r="718">
      <c r="A718">
        <f>Raw_Data!A718</f>
        <v/>
      </c>
      <c r="B718" s="11">
        <f>Raw_Data!B718</f>
        <v/>
      </c>
      <c r="C718">
        <f>Raw_Data!C718</f>
        <v/>
      </c>
      <c r="D718">
        <f>Raw_Data!D718</f>
        <v/>
      </c>
      <c r="E718">
        <f>Raw_Data!E718</f>
        <v/>
      </c>
      <c r="F718">
        <f>Raw_Data!F718</f>
        <v/>
      </c>
      <c r="G718">
        <f>Raw_Data!G718</f>
        <v/>
      </c>
      <c r="H718">
        <f>Raw_Data!H718</f>
        <v/>
      </c>
      <c r="I718">
        <f>Raw_Data!I718</f>
        <v/>
      </c>
      <c r="J718" s="12">
        <f>Raw_Data!J718</f>
        <v/>
      </c>
      <c r="K718" s="13">
        <f>Raw_Data!K718</f>
        <v/>
      </c>
      <c r="L718" s="12">
        <f>Raw_Data!L718</f>
        <v/>
      </c>
      <c r="M718" s="12">
        <f>Raw_Data!M718</f>
        <v/>
      </c>
      <c r="N718" s="12">
        <f>Raw_Data!N718</f>
        <v/>
      </c>
      <c r="O718">
        <f>Raw_Data!O718</f>
        <v/>
      </c>
      <c r="P718">
        <f>Raw_Data!P718</f>
        <v/>
      </c>
      <c r="Q718">
        <f>YEAR(B718)</f>
        <v/>
      </c>
      <c r="R718">
        <f>TEXT(B718,"mmm")</f>
        <v/>
      </c>
      <c r="S718" s="15">
        <f>IFERROR(N718/L718,0)</f>
        <v/>
      </c>
    </row>
    <row r="719">
      <c r="A719">
        <f>Raw_Data!A719</f>
        <v/>
      </c>
      <c r="B719" s="11">
        <f>Raw_Data!B719</f>
        <v/>
      </c>
      <c r="C719">
        <f>Raw_Data!C719</f>
        <v/>
      </c>
      <c r="D719">
        <f>Raw_Data!D719</f>
        <v/>
      </c>
      <c r="E719">
        <f>Raw_Data!E719</f>
        <v/>
      </c>
      <c r="F719">
        <f>Raw_Data!F719</f>
        <v/>
      </c>
      <c r="G719">
        <f>Raw_Data!G719</f>
        <v/>
      </c>
      <c r="H719">
        <f>Raw_Data!H719</f>
        <v/>
      </c>
      <c r="I719">
        <f>Raw_Data!I719</f>
        <v/>
      </c>
      <c r="J719" s="12">
        <f>Raw_Data!J719</f>
        <v/>
      </c>
      <c r="K719" s="13">
        <f>Raw_Data!K719</f>
        <v/>
      </c>
      <c r="L719" s="12">
        <f>Raw_Data!L719</f>
        <v/>
      </c>
      <c r="M719" s="12">
        <f>Raw_Data!M719</f>
        <v/>
      </c>
      <c r="N719" s="12">
        <f>Raw_Data!N719</f>
        <v/>
      </c>
      <c r="O719">
        <f>Raw_Data!O719</f>
        <v/>
      </c>
      <c r="P719">
        <f>Raw_Data!P719</f>
        <v/>
      </c>
      <c r="Q719">
        <f>YEAR(B719)</f>
        <v/>
      </c>
      <c r="R719">
        <f>TEXT(B719,"mmm")</f>
        <v/>
      </c>
      <c r="S719" s="15">
        <f>IFERROR(N719/L719,0)</f>
        <v/>
      </c>
    </row>
    <row r="720">
      <c r="A720">
        <f>Raw_Data!A720</f>
        <v/>
      </c>
      <c r="B720" s="11">
        <f>Raw_Data!B720</f>
        <v/>
      </c>
      <c r="C720">
        <f>Raw_Data!C720</f>
        <v/>
      </c>
      <c r="D720">
        <f>Raw_Data!D720</f>
        <v/>
      </c>
      <c r="E720">
        <f>Raw_Data!E720</f>
        <v/>
      </c>
      <c r="F720">
        <f>Raw_Data!F720</f>
        <v/>
      </c>
      <c r="G720">
        <f>Raw_Data!G720</f>
        <v/>
      </c>
      <c r="H720">
        <f>Raw_Data!H720</f>
        <v/>
      </c>
      <c r="I720">
        <f>Raw_Data!I720</f>
        <v/>
      </c>
      <c r="J720" s="12">
        <f>Raw_Data!J720</f>
        <v/>
      </c>
      <c r="K720" s="13">
        <f>Raw_Data!K720</f>
        <v/>
      </c>
      <c r="L720" s="12">
        <f>Raw_Data!L720</f>
        <v/>
      </c>
      <c r="M720" s="12">
        <f>Raw_Data!M720</f>
        <v/>
      </c>
      <c r="N720" s="12">
        <f>Raw_Data!N720</f>
        <v/>
      </c>
      <c r="O720">
        <f>Raw_Data!O720</f>
        <v/>
      </c>
      <c r="P720">
        <f>Raw_Data!P720</f>
        <v/>
      </c>
      <c r="Q720">
        <f>YEAR(B720)</f>
        <v/>
      </c>
      <c r="R720">
        <f>TEXT(B720,"mmm")</f>
        <v/>
      </c>
      <c r="S720" s="15">
        <f>IFERROR(N720/L720,0)</f>
        <v/>
      </c>
    </row>
    <row r="721">
      <c r="A721">
        <f>Raw_Data!A721</f>
        <v/>
      </c>
      <c r="B721" s="11">
        <f>Raw_Data!B721</f>
        <v/>
      </c>
      <c r="C721">
        <f>Raw_Data!C721</f>
        <v/>
      </c>
      <c r="D721">
        <f>Raw_Data!D721</f>
        <v/>
      </c>
      <c r="E721">
        <f>Raw_Data!E721</f>
        <v/>
      </c>
      <c r="F721">
        <f>Raw_Data!F721</f>
        <v/>
      </c>
      <c r="G721">
        <f>Raw_Data!G721</f>
        <v/>
      </c>
      <c r="H721">
        <f>Raw_Data!H721</f>
        <v/>
      </c>
      <c r="I721">
        <f>Raw_Data!I721</f>
        <v/>
      </c>
      <c r="J721" s="12">
        <f>Raw_Data!J721</f>
        <v/>
      </c>
      <c r="K721" s="13">
        <f>Raw_Data!K721</f>
        <v/>
      </c>
      <c r="L721" s="12">
        <f>Raw_Data!L721</f>
        <v/>
      </c>
      <c r="M721" s="12">
        <f>Raw_Data!M721</f>
        <v/>
      </c>
      <c r="N721" s="12">
        <f>Raw_Data!N721</f>
        <v/>
      </c>
      <c r="O721">
        <f>Raw_Data!O721</f>
        <v/>
      </c>
      <c r="P721">
        <f>Raw_Data!P721</f>
        <v/>
      </c>
      <c r="Q721">
        <f>YEAR(B721)</f>
        <v/>
      </c>
      <c r="R721">
        <f>TEXT(B721,"mmm")</f>
        <v/>
      </c>
      <c r="S721" s="15">
        <f>IFERROR(N721/L721,0)</f>
        <v/>
      </c>
    </row>
    <row r="722">
      <c r="A722">
        <f>Raw_Data!A722</f>
        <v/>
      </c>
      <c r="B722" s="11">
        <f>Raw_Data!B722</f>
        <v/>
      </c>
      <c r="C722">
        <f>Raw_Data!C722</f>
        <v/>
      </c>
      <c r="D722">
        <f>Raw_Data!D722</f>
        <v/>
      </c>
      <c r="E722">
        <f>Raw_Data!E722</f>
        <v/>
      </c>
      <c r="F722">
        <f>Raw_Data!F722</f>
        <v/>
      </c>
      <c r="G722">
        <f>Raw_Data!G722</f>
        <v/>
      </c>
      <c r="H722">
        <f>Raw_Data!H722</f>
        <v/>
      </c>
      <c r="I722">
        <f>Raw_Data!I722</f>
        <v/>
      </c>
      <c r="J722" s="12">
        <f>Raw_Data!J722</f>
        <v/>
      </c>
      <c r="K722" s="13">
        <f>Raw_Data!K722</f>
        <v/>
      </c>
      <c r="L722" s="12">
        <f>Raw_Data!L722</f>
        <v/>
      </c>
      <c r="M722" s="12">
        <f>Raw_Data!M722</f>
        <v/>
      </c>
      <c r="N722" s="12">
        <f>Raw_Data!N722</f>
        <v/>
      </c>
      <c r="O722">
        <f>Raw_Data!O722</f>
        <v/>
      </c>
      <c r="P722">
        <f>Raw_Data!P722</f>
        <v/>
      </c>
      <c r="Q722">
        <f>YEAR(B722)</f>
        <v/>
      </c>
      <c r="R722">
        <f>TEXT(B722,"mmm")</f>
        <v/>
      </c>
      <c r="S722" s="15">
        <f>IFERROR(N722/L722,0)</f>
        <v/>
      </c>
    </row>
    <row r="723">
      <c r="A723">
        <f>Raw_Data!A723</f>
        <v/>
      </c>
      <c r="B723" s="11">
        <f>Raw_Data!B723</f>
        <v/>
      </c>
      <c r="C723">
        <f>Raw_Data!C723</f>
        <v/>
      </c>
      <c r="D723">
        <f>Raw_Data!D723</f>
        <v/>
      </c>
      <c r="E723">
        <f>Raw_Data!E723</f>
        <v/>
      </c>
      <c r="F723">
        <f>Raw_Data!F723</f>
        <v/>
      </c>
      <c r="G723">
        <f>Raw_Data!G723</f>
        <v/>
      </c>
      <c r="H723">
        <f>Raw_Data!H723</f>
        <v/>
      </c>
      <c r="I723">
        <f>Raw_Data!I723</f>
        <v/>
      </c>
      <c r="J723" s="12">
        <f>Raw_Data!J723</f>
        <v/>
      </c>
      <c r="K723" s="13">
        <f>Raw_Data!K723</f>
        <v/>
      </c>
      <c r="L723" s="12">
        <f>Raw_Data!L723</f>
        <v/>
      </c>
      <c r="M723" s="12">
        <f>Raw_Data!M723</f>
        <v/>
      </c>
      <c r="N723" s="12">
        <f>Raw_Data!N723</f>
        <v/>
      </c>
      <c r="O723">
        <f>Raw_Data!O723</f>
        <v/>
      </c>
      <c r="P723">
        <f>Raw_Data!P723</f>
        <v/>
      </c>
      <c r="Q723">
        <f>YEAR(B723)</f>
        <v/>
      </c>
      <c r="R723">
        <f>TEXT(B723,"mmm")</f>
        <v/>
      </c>
      <c r="S723" s="15">
        <f>IFERROR(N723/L723,0)</f>
        <v/>
      </c>
    </row>
    <row r="724">
      <c r="A724">
        <f>Raw_Data!A724</f>
        <v/>
      </c>
      <c r="B724" s="11">
        <f>Raw_Data!B724</f>
        <v/>
      </c>
      <c r="C724">
        <f>Raw_Data!C724</f>
        <v/>
      </c>
      <c r="D724">
        <f>Raw_Data!D724</f>
        <v/>
      </c>
      <c r="E724">
        <f>Raw_Data!E724</f>
        <v/>
      </c>
      <c r="F724">
        <f>Raw_Data!F724</f>
        <v/>
      </c>
      <c r="G724">
        <f>Raw_Data!G724</f>
        <v/>
      </c>
      <c r="H724">
        <f>Raw_Data!H724</f>
        <v/>
      </c>
      <c r="I724">
        <f>Raw_Data!I724</f>
        <v/>
      </c>
      <c r="J724" s="12">
        <f>Raw_Data!J724</f>
        <v/>
      </c>
      <c r="K724" s="13">
        <f>Raw_Data!K724</f>
        <v/>
      </c>
      <c r="L724" s="12">
        <f>Raw_Data!L724</f>
        <v/>
      </c>
      <c r="M724" s="12">
        <f>Raw_Data!M724</f>
        <v/>
      </c>
      <c r="N724" s="12">
        <f>Raw_Data!N724</f>
        <v/>
      </c>
      <c r="O724">
        <f>Raw_Data!O724</f>
        <v/>
      </c>
      <c r="P724">
        <f>Raw_Data!P724</f>
        <v/>
      </c>
      <c r="Q724">
        <f>YEAR(B724)</f>
        <v/>
      </c>
      <c r="R724">
        <f>TEXT(B724,"mmm")</f>
        <v/>
      </c>
      <c r="S724" s="15">
        <f>IFERROR(N724/L724,0)</f>
        <v/>
      </c>
    </row>
    <row r="725">
      <c r="A725">
        <f>Raw_Data!A725</f>
        <v/>
      </c>
      <c r="B725" s="11">
        <f>Raw_Data!B725</f>
        <v/>
      </c>
      <c r="C725">
        <f>Raw_Data!C725</f>
        <v/>
      </c>
      <c r="D725">
        <f>Raw_Data!D725</f>
        <v/>
      </c>
      <c r="E725">
        <f>Raw_Data!E725</f>
        <v/>
      </c>
      <c r="F725">
        <f>Raw_Data!F725</f>
        <v/>
      </c>
      <c r="G725">
        <f>Raw_Data!G725</f>
        <v/>
      </c>
      <c r="H725">
        <f>Raw_Data!H725</f>
        <v/>
      </c>
      <c r="I725">
        <f>Raw_Data!I725</f>
        <v/>
      </c>
      <c r="J725" s="12">
        <f>Raw_Data!J725</f>
        <v/>
      </c>
      <c r="K725" s="13">
        <f>Raw_Data!K725</f>
        <v/>
      </c>
      <c r="L725" s="12">
        <f>Raw_Data!L725</f>
        <v/>
      </c>
      <c r="M725" s="12">
        <f>Raw_Data!M725</f>
        <v/>
      </c>
      <c r="N725" s="12">
        <f>Raw_Data!N725</f>
        <v/>
      </c>
      <c r="O725">
        <f>Raw_Data!O725</f>
        <v/>
      </c>
      <c r="P725">
        <f>Raw_Data!P725</f>
        <v/>
      </c>
      <c r="Q725">
        <f>YEAR(B725)</f>
        <v/>
      </c>
      <c r="R725">
        <f>TEXT(B725,"mmm")</f>
        <v/>
      </c>
      <c r="S725" s="15">
        <f>IFERROR(N725/L725,0)</f>
        <v/>
      </c>
    </row>
    <row r="726">
      <c r="A726">
        <f>Raw_Data!A726</f>
        <v/>
      </c>
      <c r="B726" s="11">
        <f>Raw_Data!B726</f>
        <v/>
      </c>
      <c r="C726">
        <f>Raw_Data!C726</f>
        <v/>
      </c>
      <c r="D726">
        <f>Raw_Data!D726</f>
        <v/>
      </c>
      <c r="E726">
        <f>Raw_Data!E726</f>
        <v/>
      </c>
      <c r="F726">
        <f>Raw_Data!F726</f>
        <v/>
      </c>
      <c r="G726">
        <f>Raw_Data!G726</f>
        <v/>
      </c>
      <c r="H726">
        <f>Raw_Data!H726</f>
        <v/>
      </c>
      <c r="I726">
        <f>Raw_Data!I726</f>
        <v/>
      </c>
      <c r="J726" s="12">
        <f>Raw_Data!J726</f>
        <v/>
      </c>
      <c r="K726" s="13">
        <f>Raw_Data!K726</f>
        <v/>
      </c>
      <c r="L726" s="12">
        <f>Raw_Data!L726</f>
        <v/>
      </c>
      <c r="M726" s="12">
        <f>Raw_Data!M726</f>
        <v/>
      </c>
      <c r="N726" s="12">
        <f>Raw_Data!N726</f>
        <v/>
      </c>
      <c r="O726">
        <f>Raw_Data!O726</f>
        <v/>
      </c>
      <c r="P726">
        <f>Raw_Data!P726</f>
        <v/>
      </c>
      <c r="Q726">
        <f>YEAR(B726)</f>
        <v/>
      </c>
      <c r="R726">
        <f>TEXT(B726,"mmm")</f>
        <v/>
      </c>
      <c r="S726" s="15">
        <f>IFERROR(N726/L726,0)</f>
        <v/>
      </c>
    </row>
    <row r="727">
      <c r="A727">
        <f>Raw_Data!A727</f>
        <v/>
      </c>
      <c r="B727" s="11">
        <f>Raw_Data!B727</f>
        <v/>
      </c>
      <c r="C727">
        <f>Raw_Data!C727</f>
        <v/>
      </c>
      <c r="D727">
        <f>Raw_Data!D727</f>
        <v/>
      </c>
      <c r="E727">
        <f>Raw_Data!E727</f>
        <v/>
      </c>
      <c r="F727">
        <f>Raw_Data!F727</f>
        <v/>
      </c>
      <c r="G727">
        <f>Raw_Data!G727</f>
        <v/>
      </c>
      <c r="H727">
        <f>Raw_Data!H727</f>
        <v/>
      </c>
      <c r="I727">
        <f>Raw_Data!I727</f>
        <v/>
      </c>
      <c r="J727" s="12">
        <f>Raw_Data!J727</f>
        <v/>
      </c>
      <c r="K727" s="13">
        <f>Raw_Data!K727</f>
        <v/>
      </c>
      <c r="L727" s="12">
        <f>Raw_Data!L727</f>
        <v/>
      </c>
      <c r="M727" s="12">
        <f>Raw_Data!M727</f>
        <v/>
      </c>
      <c r="N727" s="12">
        <f>Raw_Data!N727</f>
        <v/>
      </c>
      <c r="O727">
        <f>Raw_Data!O727</f>
        <v/>
      </c>
      <c r="P727">
        <f>Raw_Data!P727</f>
        <v/>
      </c>
      <c r="Q727">
        <f>YEAR(B727)</f>
        <v/>
      </c>
      <c r="R727">
        <f>TEXT(B727,"mmm")</f>
        <v/>
      </c>
      <c r="S727" s="15">
        <f>IFERROR(N727/L727,0)</f>
        <v/>
      </c>
    </row>
    <row r="728">
      <c r="A728">
        <f>Raw_Data!A728</f>
        <v/>
      </c>
      <c r="B728" s="11">
        <f>Raw_Data!B728</f>
        <v/>
      </c>
      <c r="C728">
        <f>Raw_Data!C728</f>
        <v/>
      </c>
      <c r="D728">
        <f>Raw_Data!D728</f>
        <v/>
      </c>
      <c r="E728">
        <f>Raw_Data!E728</f>
        <v/>
      </c>
      <c r="F728">
        <f>Raw_Data!F728</f>
        <v/>
      </c>
      <c r="G728">
        <f>Raw_Data!G728</f>
        <v/>
      </c>
      <c r="H728">
        <f>Raw_Data!H728</f>
        <v/>
      </c>
      <c r="I728">
        <f>Raw_Data!I728</f>
        <v/>
      </c>
      <c r="J728" s="12">
        <f>Raw_Data!J728</f>
        <v/>
      </c>
      <c r="K728" s="13">
        <f>Raw_Data!K728</f>
        <v/>
      </c>
      <c r="L728" s="12">
        <f>Raw_Data!L728</f>
        <v/>
      </c>
      <c r="M728" s="12">
        <f>Raw_Data!M728</f>
        <v/>
      </c>
      <c r="N728" s="12">
        <f>Raw_Data!N728</f>
        <v/>
      </c>
      <c r="O728">
        <f>Raw_Data!O728</f>
        <v/>
      </c>
      <c r="P728">
        <f>Raw_Data!P728</f>
        <v/>
      </c>
      <c r="Q728">
        <f>YEAR(B728)</f>
        <v/>
      </c>
      <c r="R728">
        <f>TEXT(B728,"mmm")</f>
        <v/>
      </c>
      <c r="S728" s="15">
        <f>IFERROR(N728/L728,0)</f>
        <v/>
      </c>
    </row>
    <row r="729">
      <c r="A729">
        <f>Raw_Data!A729</f>
        <v/>
      </c>
      <c r="B729" s="11">
        <f>Raw_Data!B729</f>
        <v/>
      </c>
      <c r="C729">
        <f>Raw_Data!C729</f>
        <v/>
      </c>
      <c r="D729">
        <f>Raw_Data!D729</f>
        <v/>
      </c>
      <c r="E729">
        <f>Raw_Data!E729</f>
        <v/>
      </c>
      <c r="F729">
        <f>Raw_Data!F729</f>
        <v/>
      </c>
      <c r="G729">
        <f>Raw_Data!G729</f>
        <v/>
      </c>
      <c r="H729">
        <f>Raw_Data!H729</f>
        <v/>
      </c>
      <c r="I729">
        <f>Raw_Data!I729</f>
        <v/>
      </c>
      <c r="J729" s="12">
        <f>Raw_Data!J729</f>
        <v/>
      </c>
      <c r="K729" s="13">
        <f>Raw_Data!K729</f>
        <v/>
      </c>
      <c r="L729" s="12">
        <f>Raw_Data!L729</f>
        <v/>
      </c>
      <c r="M729" s="12">
        <f>Raw_Data!M729</f>
        <v/>
      </c>
      <c r="N729" s="12">
        <f>Raw_Data!N729</f>
        <v/>
      </c>
      <c r="O729">
        <f>Raw_Data!O729</f>
        <v/>
      </c>
      <c r="P729">
        <f>Raw_Data!P729</f>
        <v/>
      </c>
      <c r="Q729">
        <f>YEAR(B729)</f>
        <v/>
      </c>
      <c r="R729">
        <f>TEXT(B729,"mmm")</f>
        <v/>
      </c>
      <c r="S729" s="15">
        <f>IFERROR(N729/L729,0)</f>
        <v/>
      </c>
    </row>
    <row r="730">
      <c r="A730">
        <f>Raw_Data!A730</f>
        <v/>
      </c>
      <c r="B730" s="11">
        <f>Raw_Data!B730</f>
        <v/>
      </c>
      <c r="C730">
        <f>Raw_Data!C730</f>
        <v/>
      </c>
      <c r="D730">
        <f>Raw_Data!D730</f>
        <v/>
      </c>
      <c r="E730">
        <f>Raw_Data!E730</f>
        <v/>
      </c>
      <c r="F730">
        <f>Raw_Data!F730</f>
        <v/>
      </c>
      <c r="G730">
        <f>Raw_Data!G730</f>
        <v/>
      </c>
      <c r="H730">
        <f>Raw_Data!H730</f>
        <v/>
      </c>
      <c r="I730">
        <f>Raw_Data!I730</f>
        <v/>
      </c>
      <c r="J730" s="12">
        <f>Raw_Data!J730</f>
        <v/>
      </c>
      <c r="K730" s="13">
        <f>Raw_Data!K730</f>
        <v/>
      </c>
      <c r="L730" s="12">
        <f>Raw_Data!L730</f>
        <v/>
      </c>
      <c r="M730" s="12">
        <f>Raw_Data!M730</f>
        <v/>
      </c>
      <c r="N730" s="12">
        <f>Raw_Data!N730</f>
        <v/>
      </c>
      <c r="O730">
        <f>Raw_Data!O730</f>
        <v/>
      </c>
      <c r="P730">
        <f>Raw_Data!P730</f>
        <v/>
      </c>
      <c r="Q730">
        <f>YEAR(B730)</f>
        <v/>
      </c>
      <c r="R730">
        <f>TEXT(B730,"mmm")</f>
        <v/>
      </c>
      <c r="S730" s="15">
        <f>IFERROR(N730/L730,0)</f>
        <v/>
      </c>
    </row>
    <row r="731">
      <c r="A731">
        <f>Raw_Data!A731</f>
        <v/>
      </c>
      <c r="B731" s="11">
        <f>Raw_Data!B731</f>
        <v/>
      </c>
      <c r="C731">
        <f>Raw_Data!C731</f>
        <v/>
      </c>
      <c r="D731">
        <f>Raw_Data!D731</f>
        <v/>
      </c>
      <c r="E731">
        <f>Raw_Data!E731</f>
        <v/>
      </c>
      <c r="F731">
        <f>Raw_Data!F731</f>
        <v/>
      </c>
      <c r="G731">
        <f>Raw_Data!G731</f>
        <v/>
      </c>
      <c r="H731">
        <f>Raw_Data!H731</f>
        <v/>
      </c>
      <c r="I731">
        <f>Raw_Data!I731</f>
        <v/>
      </c>
      <c r="J731" s="12">
        <f>Raw_Data!J731</f>
        <v/>
      </c>
      <c r="K731" s="13">
        <f>Raw_Data!K731</f>
        <v/>
      </c>
      <c r="L731" s="12">
        <f>Raw_Data!L731</f>
        <v/>
      </c>
      <c r="M731" s="12">
        <f>Raw_Data!M731</f>
        <v/>
      </c>
      <c r="N731" s="12">
        <f>Raw_Data!N731</f>
        <v/>
      </c>
      <c r="O731">
        <f>Raw_Data!O731</f>
        <v/>
      </c>
      <c r="P731">
        <f>Raw_Data!P731</f>
        <v/>
      </c>
      <c r="Q731">
        <f>YEAR(B731)</f>
        <v/>
      </c>
      <c r="R731">
        <f>TEXT(B731,"mmm")</f>
        <v/>
      </c>
      <c r="S731" s="15">
        <f>IFERROR(N731/L731,0)</f>
        <v/>
      </c>
    </row>
    <row r="732">
      <c r="A732">
        <f>Raw_Data!A732</f>
        <v/>
      </c>
      <c r="B732" s="11">
        <f>Raw_Data!B732</f>
        <v/>
      </c>
      <c r="C732">
        <f>Raw_Data!C732</f>
        <v/>
      </c>
      <c r="D732">
        <f>Raw_Data!D732</f>
        <v/>
      </c>
      <c r="E732">
        <f>Raw_Data!E732</f>
        <v/>
      </c>
      <c r="F732">
        <f>Raw_Data!F732</f>
        <v/>
      </c>
      <c r="G732">
        <f>Raw_Data!G732</f>
        <v/>
      </c>
      <c r="H732">
        <f>Raw_Data!H732</f>
        <v/>
      </c>
      <c r="I732">
        <f>Raw_Data!I732</f>
        <v/>
      </c>
      <c r="J732" s="12">
        <f>Raw_Data!J732</f>
        <v/>
      </c>
      <c r="K732" s="13">
        <f>Raw_Data!K732</f>
        <v/>
      </c>
      <c r="L732" s="12">
        <f>Raw_Data!L732</f>
        <v/>
      </c>
      <c r="M732" s="12">
        <f>Raw_Data!M732</f>
        <v/>
      </c>
      <c r="N732" s="12">
        <f>Raw_Data!N732</f>
        <v/>
      </c>
      <c r="O732">
        <f>Raw_Data!O732</f>
        <v/>
      </c>
      <c r="P732">
        <f>Raw_Data!P732</f>
        <v/>
      </c>
      <c r="Q732">
        <f>YEAR(B732)</f>
        <v/>
      </c>
      <c r="R732">
        <f>TEXT(B732,"mmm")</f>
        <v/>
      </c>
      <c r="S732" s="15">
        <f>IFERROR(N732/L732,0)</f>
        <v/>
      </c>
    </row>
    <row r="733">
      <c r="A733">
        <f>Raw_Data!A733</f>
        <v/>
      </c>
      <c r="B733" s="11">
        <f>Raw_Data!B733</f>
        <v/>
      </c>
      <c r="C733">
        <f>Raw_Data!C733</f>
        <v/>
      </c>
      <c r="D733">
        <f>Raw_Data!D733</f>
        <v/>
      </c>
      <c r="E733">
        <f>Raw_Data!E733</f>
        <v/>
      </c>
      <c r="F733">
        <f>Raw_Data!F733</f>
        <v/>
      </c>
      <c r="G733">
        <f>Raw_Data!G733</f>
        <v/>
      </c>
      <c r="H733">
        <f>Raw_Data!H733</f>
        <v/>
      </c>
      <c r="I733">
        <f>Raw_Data!I733</f>
        <v/>
      </c>
      <c r="J733" s="12">
        <f>Raw_Data!J733</f>
        <v/>
      </c>
      <c r="K733" s="13">
        <f>Raw_Data!K733</f>
        <v/>
      </c>
      <c r="L733" s="12">
        <f>Raw_Data!L733</f>
        <v/>
      </c>
      <c r="M733" s="12">
        <f>Raw_Data!M733</f>
        <v/>
      </c>
      <c r="N733" s="12">
        <f>Raw_Data!N733</f>
        <v/>
      </c>
      <c r="O733">
        <f>Raw_Data!O733</f>
        <v/>
      </c>
      <c r="P733">
        <f>Raw_Data!P733</f>
        <v/>
      </c>
      <c r="Q733">
        <f>YEAR(B733)</f>
        <v/>
      </c>
      <c r="R733">
        <f>TEXT(B733,"mmm")</f>
        <v/>
      </c>
      <c r="S733" s="15">
        <f>IFERROR(N733/L733,0)</f>
        <v/>
      </c>
    </row>
    <row r="734">
      <c r="A734">
        <f>Raw_Data!A734</f>
        <v/>
      </c>
      <c r="B734" s="11">
        <f>Raw_Data!B734</f>
        <v/>
      </c>
      <c r="C734">
        <f>Raw_Data!C734</f>
        <v/>
      </c>
      <c r="D734">
        <f>Raw_Data!D734</f>
        <v/>
      </c>
      <c r="E734">
        <f>Raw_Data!E734</f>
        <v/>
      </c>
      <c r="F734">
        <f>Raw_Data!F734</f>
        <v/>
      </c>
      <c r="G734">
        <f>Raw_Data!G734</f>
        <v/>
      </c>
      <c r="H734">
        <f>Raw_Data!H734</f>
        <v/>
      </c>
      <c r="I734">
        <f>Raw_Data!I734</f>
        <v/>
      </c>
      <c r="J734" s="12">
        <f>Raw_Data!J734</f>
        <v/>
      </c>
      <c r="K734" s="13">
        <f>Raw_Data!K734</f>
        <v/>
      </c>
      <c r="L734" s="12">
        <f>Raw_Data!L734</f>
        <v/>
      </c>
      <c r="M734" s="12">
        <f>Raw_Data!M734</f>
        <v/>
      </c>
      <c r="N734" s="12">
        <f>Raw_Data!N734</f>
        <v/>
      </c>
      <c r="O734">
        <f>Raw_Data!O734</f>
        <v/>
      </c>
      <c r="P734">
        <f>Raw_Data!P734</f>
        <v/>
      </c>
      <c r="Q734">
        <f>YEAR(B734)</f>
        <v/>
      </c>
      <c r="R734">
        <f>TEXT(B734,"mmm")</f>
        <v/>
      </c>
      <c r="S734" s="15">
        <f>IFERROR(N734/L734,0)</f>
        <v/>
      </c>
    </row>
    <row r="735">
      <c r="A735">
        <f>Raw_Data!A735</f>
        <v/>
      </c>
      <c r="B735" s="11">
        <f>Raw_Data!B735</f>
        <v/>
      </c>
      <c r="C735">
        <f>Raw_Data!C735</f>
        <v/>
      </c>
      <c r="D735">
        <f>Raw_Data!D735</f>
        <v/>
      </c>
      <c r="E735">
        <f>Raw_Data!E735</f>
        <v/>
      </c>
      <c r="F735">
        <f>Raw_Data!F735</f>
        <v/>
      </c>
      <c r="G735">
        <f>Raw_Data!G735</f>
        <v/>
      </c>
      <c r="H735">
        <f>Raw_Data!H735</f>
        <v/>
      </c>
      <c r="I735">
        <f>Raw_Data!I735</f>
        <v/>
      </c>
      <c r="J735" s="12">
        <f>Raw_Data!J735</f>
        <v/>
      </c>
      <c r="K735" s="13">
        <f>Raw_Data!K735</f>
        <v/>
      </c>
      <c r="L735" s="12">
        <f>Raw_Data!L735</f>
        <v/>
      </c>
      <c r="M735" s="12">
        <f>Raw_Data!M735</f>
        <v/>
      </c>
      <c r="N735" s="12">
        <f>Raw_Data!N735</f>
        <v/>
      </c>
      <c r="O735">
        <f>Raw_Data!O735</f>
        <v/>
      </c>
      <c r="P735">
        <f>Raw_Data!P735</f>
        <v/>
      </c>
      <c r="Q735">
        <f>YEAR(B735)</f>
        <v/>
      </c>
      <c r="R735">
        <f>TEXT(B735,"mmm")</f>
        <v/>
      </c>
      <c r="S735" s="15">
        <f>IFERROR(N735/L735,0)</f>
        <v/>
      </c>
    </row>
    <row r="736">
      <c r="A736">
        <f>Raw_Data!A736</f>
        <v/>
      </c>
      <c r="B736" s="11">
        <f>Raw_Data!B736</f>
        <v/>
      </c>
      <c r="C736">
        <f>Raw_Data!C736</f>
        <v/>
      </c>
      <c r="D736">
        <f>Raw_Data!D736</f>
        <v/>
      </c>
      <c r="E736">
        <f>Raw_Data!E736</f>
        <v/>
      </c>
      <c r="F736">
        <f>Raw_Data!F736</f>
        <v/>
      </c>
      <c r="G736">
        <f>Raw_Data!G736</f>
        <v/>
      </c>
      <c r="H736">
        <f>Raw_Data!H736</f>
        <v/>
      </c>
      <c r="I736">
        <f>Raw_Data!I736</f>
        <v/>
      </c>
      <c r="J736" s="12">
        <f>Raw_Data!J736</f>
        <v/>
      </c>
      <c r="K736" s="13">
        <f>Raw_Data!K736</f>
        <v/>
      </c>
      <c r="L736" s="12">
        <f>Raw_Data!L736</f>
        <v/>
      </c>
      <c r="M736" s="12">
        <f>Raw_Data!M736</f>
        <v/>
      </c>
      <c r="N736" s="12">
        <f>Raw_Data!N736</f>
        <v/>
      </c>
      <c r="O736">
        <f>Raw_Data!O736</f>
        <v/>
      </c>
      <c r="P736">
        <f>Raw_Data!P736</f>
        <v/>
      </c>
      <c r="Q736">
        <f>YEAR(B736)</f>
        <v/>
      </c>
      <c r="R736">
        <f>TEXT(B736,"mmm")</f>
        <v/>
      </c>
      <c r="S736" s="15">
        <f>IFERROR(N736/L736,0)</f>
        <v/>
      </c>
    </row>
    <row r="737">
      <c r="A737">
        <f>Raw_Data!A737</f>
        <v/>
      </c>
      <c r="B737" s="11">
        <f>Raw_Data!B737</f>
        <v/>
      </c>
      <c r="C737">
        <f>Raw_Data!C737</f>
        <v/>
      </c>
      <c r="D737">
        <f>Raw_Data!D737</f>
        <v/>
      </c>
      <c r="E737">
        <f>Raw_Data!E737</f>
        <v/>
      </c>
      <c r="F737">
        <f>Raw_Data!F737</f>
        <v/>
      </c>
      <c r="G737">
        <f>Raw_Data!G737</f>
        <v/>
      </c>
      <c r="H737">
        <f>Raw_Data!H737</f>
        <v/>
      </c>
      <c r="I737">
        <f>Raw_Data!I737</f>
        <v/>
      </c>
      <c r="J737" s="12">
        <f>Raw_Data!J737</f>
        <v/>
      </c>
      <c r="K737" s="13">
        <f>Raw_Data!K737</f>
        <v/>
      </c>
      <c r="L737" s="12">
        <f>Raw_Data!L737</f>
        <v/>
      </c>
      <c r="M737" s="12">
        <f>Raw_Data!M737</f>
        <v/>
      </c>
      <c r="N737" s="12">
        <f>Raw_Data!N737</f>
        <v/>
      </c>
      <c r="O737">
        <f>Raw_Data!O737</f>
        <v/>
      </c>
      <c r="P737">
        <f>Raw_Data!P737</f>
        <v/>
      </c>
      <c r="Q737">
        <f>YEAR(B737)</f>
        <v/>
      </c>
      <c r="R737">
        <f>TEXT(B737,"mmm")</f>
        <v/>
      </c>
      <c r="S737" s="15">
        <f>IFERROR(N737/L737,0)</f>
        <v/>
      </c>
    </row>
    <row r="738">
      <c r="A738">
        <f>Raw_Data!A738</f>
        <v/>
      </c>
      <c r="B738" s="11">
        <f>Raw_Data!B738</f>
        <v/>
      </c>
      <c r="C738">
        <f>Raw_Data!C738</f>
        <v/>
      </c>
      <c r="D738">
        <f>Raw_Data!D738</f>
        <v/>
      </c>
      <c r="E738">
        <f>Raw_Data!E738</f>
        <v/>
      </c>
      <c r="F738">
        <f>Raw_Data!F738</f>
        <v/>
      </c>
      <c r="G738">
        <f>Raw_Data!G738</f>
        <v/>
      </c>
      <c r="H738">
        <f>Raw_Data!H738</f>
        <v/>
      </c>
      <c r="I738">
        <f>Raw_Data!I738</f>
        <v/>
      </c>
      <c r="J738" s="12">
        <f>Raw_Data!J738</f>
        <v/>
      </c>
      <c r="K738" s="13">
        <f>Raw_Data!K738</f>
        <v/>
      </c>
      <c r="L738" s="12">
        <f>Raw_Data!L738</f>
        <v/>
      </c>
      <c r="M738" s="12">
        <f>Raw_Data!M738</f>
        <v/>
      </c>
      <c r="N738" s="12">
        <f>Raw_Data!N738</f>
        <v/>
      </c>
      <c r="O738">
        <f>Raw_Data!O738</f>
        <v/>
      </c>
      <c r="P738">
        <f>Raw_Data!P738</f>
        <v/>
      </c>
      <c r="Q738">
        <f>YEAR(B738)</f>
        <v/>
      </c>
      <c r="R738">
        <f>TEXT(B738,"mmm")</f>
        <v/>
      </c>
      <c r="S738" s="15">
        <f>IFERROR(N738/L738,0)</f>
        <v/>
      </c>
    </row>
    <row r="739">
      <c r="A739">
        <f>Raw_Data!A739</f>
        <v/>
      </c>
      <c r="B739" s="11">
        <f>Raw_Data!B739</f>
        <v/>
      </c>
      <c r="C739">
        <f>Raw_Data!C739</f>
        <v/>
      </c>
      <c r="D739">
        <f>Raw_Data!D739</f>
        <v/>
      </c>
      <c r="E739">
        <f>Raw_Data!E739</f>
        <v/>
      </c>
      <c r="F739">
        <f>Raw_Data!F739</f>
        <v/>
      </c>
      <c r="G739">
        <f>Raw_Data!G739</f>
        <v/>
      </c>
      <c r="H739">
        <f>Raw_Data!H739</f>
        <v/>
      </c>
      <c r="I739">
        <f>Raw_Data!I739</f>
        <v/>
      </c>
      <c r="J739" s="12">
        <f>Raw_Data!J739</f>
        <v/>
      </c>
      <c r="K739" s="13">
        <f>Raw_Data!K739</f>
        <v/>
      </c>
      <c r="L739" s="12">
        <f>Raw_Data!L739</f>
        <v/>
      </c>
      <c r="M739" s="12">
        <f>Raw_Data!M739</f>
        <v/>
      </c>
      <c r="N739" s="12">
        <f>Raw_Data!N739</f>
        <v/>
      </c>
      <c r="O739">
        <f>Raw_Data!O739</f>
        <v/>
      </c>
      <c r="P739">
        <f>Raw_Data!P739</f>
        <v/>
      </c>
      <c r="Q739">
        <f>YEAR(B739)</f>
        <v/>
      </c>
      <c r="R739">
        <f>TEXT(B739,"mmm")</f>
        <v/>
      </c>
      <c r="S739" s="15">
        <f>IFERROR(N739/L739,0)</f>
        <v/>
      </c>
    </row>
    <row r="740">
      <c r="A740">
        <f>Raw_Data!A740</f>
        <v/>
      </c>
      <c r="B740" s="11">
        <f>Raw_Data!B740</f>
        <v/>
      </c>
      <c r="C740">
        <f>Raw_Data!C740</f>
        <v/>
      </c>
      <c r="D740">
        <f>Raw_Data!D740</f>
        <v/>
      </c>
      <c r="E740">
        <f>Raw_Data!E740</f>
        <v/>
      </c>
      <c r="F740">
        <f>Raw_Data!F740</f>
        <v/>
      </c>
      <c r="G740">
        <f>Raw_Data!G740</f>
        <v/>
      </c>
      <c r="H740">
        <f>Raw_Data!H740</f>
        <v/>
      </c>
      <c r="I740">
        <f>Raw_Data!I740</f>
        <v/>
      </c>
      <c r="J740" s="12">
        <f>Raw_Data!J740</f>
        <v/>
      </c>
      <c r="K740" s="13">
        <f>Raw_Data!K740</f>
        <v/>
      </c>
      <c r="L740" s="12">
        <f>Raw_Data!L740</f>
        <v/>
      </c>
      <c r="M740" s="12">
        <f>Raw_Data!M740</f>
        <v/>
      </c>
      <c r="N740" s="12">
        <f>Raw_Data!N740</f>
        <v/>
      </c>
      <c r="O740">
        <f>Raw_Data!O740</f>
        <v/>
      </c>
      <c r="P740">
        <f>Raw_Data!P740</f>
        <v/>
      </c>
      <c r="Q740">
        <f>YEAR(B740)</f>
        <v/>
      </c>
      <c r="R740">
        <f>TEXT(B740,"mmm")</f>
        <v/>
      </c>
      <c r="S740" s="15">
        <f>IFERROR(N740/L740,0)</f>
        <v/>
      </c>
    </row>
    <row r="741">
      <c r="A741">
        <f>Raw_Data!A741</f>
        <v/>
      </c>
      <c r="B741" s="11">
        <f>Raw_Data!B741</f>
        <v/>
      </c>
      <c r="C741">
        <f>Raw_Data!C741</f>
        <v/>
      </c>
      <c r="D741">
        <f>Raw_Data!D741</f>
        <v/>
      </c>
      <c r="E741">
        <f>Raw_Data!E741</f>
        <v/>
      </c>
      <c r="F741">
        <f>Raw_Data!F741</f>
        <v/>
      </c>
      <c r="G741">
        <f>Raw_Data!G741</f>
        <v/>
      </c>
      <c r="H741">
        <f>Raw_Data!H741</f>
        <v/>
      </c>
      <c r="I741">
        <f>Raw_Data!I741</f>
        <v/>
      </c>
      <c r="J741" s="12">
        <f>Raw_Data!J741</f>
        <v/>
      </c>
      <c r="K741" s="13">
        <f>Raw_Data!K741</f>
        <v/>
      </c>
      <c r="L741" s="12">
        <f>Raw_Data!L741</f>
        <v/>
      </c>
      <c r="M741" s="12">
        <f>Raw_Data!M741</f>
        <v/>
      </c>
      <c r="N741" s="12">
        <f>Raw_Data!N741</f>
        <v/>
      </c>
      <c r="O741">
        <f>Raw_Data!O741</f>
        <v/>
      </c>
      <c r="P741">
        <f>Raw_Data!P741</f>
        <v/>
      </c>
      <c r="Q741">
        <f>YEAR(B741)</f>
        <v/>
      </c>
      <c r="R741">
        <f>TEXT(B741,"mmm")</f>
        <v/>
      </c>
      <c r="S741" s="15">
        <f>IFERROR(N741/L741,0)</f>
        <v/>
      </c>
    </row>
    <row r="742">
      <c r="A742">
        <f>Raw_Data!A742</f>
        <v/>
      </c>
      <c r="B742" s="11">
        <f>Raw_Data!B742</f>
        <v/>
      </c>
      <c r="C742">
        <f>Raw_Data!C742</f>
        <v/>
      </c>
      <c r="D742">
        <f>Raw_Data!D742</f>
        <v/>
      </c>
      <c r="E742">
        <f>Raw_Data!E742</f>
        <v/>
      </c>
      <c r="F742">
        <f>Raw_Data!F742</f>
        <v/>
      </c>
      <c r="G742">
        <f>Raw_Data!G742</f>
        <v/>
      </c>
      <c r="H742">
        <f>Raw_Data!H742</f>
        <v/>
      </c>
      <c r="I742">
        <f>Raw_Data!I742</f>
        <v/>
      </c>
      <c r="J742" s="12">
        <f>Raw_Data!J742</f>
        <v/>
      </c>
      <c r="K742" s="13">
        <f>Raw_Data!K742</f>
        <v/>
      </c>
      <c r="L742" s="12">
        <f>Raw_Data!L742</f>
        <v/>
      </c>
      <c r="M742" s="12">
        <f>Raw_Data!M742</f>
        <v/>
      </c>
      <c r="N742" s="12">
        <f>Raw_Data!N742</f>
        <v/>
      </c>
      <c r="O742">
        <f>Raw_Data!O742</f>
        <v/>
      </c>
      <c r="P742">
        <f>Raw_Data!P742</f>
        <v/>
      </c>
      <c r="Q742">
        <f>YEAR(B742)</f>
        <v/>
      </c>
      <c r="R742">
        <f>TEXT(B742,"mmm")</f>
        <v/>
      </c>
      <c r="S742" s="15">
        <f>IFERROR(N742/L742,0)</f>
        <v/>
      </c>
    </row>
    <row r="743">
      <c r="A743">
        <f>Raw_Data!A743</f>
        <v/>
      </c>
      <c r="B743" s="11">
        <f>Raw_Data!B743</f>
        <v/>
      </c>
      <c r="C743">
        <f>Raw_Data!C743</f>
        <v/>
      </c>
      <c r="D743">
        <f>Raw_Data!D743</f>
        <v/>
      </c>
      <c r="E743">
        <f>Raw_Data!E743</f>
        <v/>
      </c>
      <c r="F743">
        <f>Raw_Data!F743</f>
        <v/>
      </c>
      <c r="G743">
        <f>Raw_Data!G743</f>
        <v/>
      </c>
      <c r="H743">
        <f>Raw_Data!H743</f>
        <v/>
      </c>
      <c r="I743">
        <f>Raw_Data!I743</f>
        <v/>
      </c>
      <c r="J743" s="12">
        <f>Raw_Data!J743</f>
        <v/>
      </c>
      <c r="K743" s="13">
        <f>Raw_Data!K743</f>
        <v/>
      </c>
      <c r="L743" s="12">
        <f>Raw_Data!L743</f>
        <v/>
      </c>
      <c r="M743" s="12">
        <f>Raw_Data!M743</f>
        <v/>
      </c>
      <c r="N743" s="12">
        <f>Raw_Data!N743</f>
        <v/>
      </c>
      <c r="O743">
        <f>Raw_Data!O743</f>
        <v/>
      </c>
      <c r="P743">
        <f>Raw_Data!P743</f>
        <v/>
      </c>
      <c r="Q743">
        <f>YEAR(B743)</f>
        <v/>
      </c>
      <c r="R743">
        <f>TEXT(B743,"mmm")</f>
        <v/>
      </c>
      <c r="S743" s="15">
        <f>IFERROR(N743/L743,0)</f>
        <v/>
      </c>
    </row>
    <row r="744">
      <c r="A744">
        <f>Raw_Data!A744</f>
        <v/>
      </c>
      <c r="B744" s="11">
        <f>Raw_Data!B744</f>
        <v/>
      </c>
      <c r="C744">
        <f>Raw_Data!C744</f>
        <v/>
      </c>
      <c r="D744">
        <f>Raw_Data!D744</f>
        <v/>
      </c>
      <c r="E744">
        <f>Raw_Data!E744</f>
        <v/>
      </c>
      <c r="F744">
        <f>Raw_Data!F744</f>
        <v/>
      </c>
      <c r="G744">
        <f>Raw_Data!G744</f>
        <v/>
      </c>
      <c r="H744">
        <f>Raw_Data!H744</f>
        <v/>
      </c>
      <c r="I744">
        <f>Raw_Data!I744</f>
        <v/>
      </c>
      <c r="J744" s="12">
        <f>Raw_Data!J744</f>
        <v/>
      </c>
      <c r="K744" s="13">
        <f>Raw_Data!K744</f>
        <v/>
      </c>
      <c r="L744" s="12">
        <f>Raw_Data!L744</f>
        <v/>
      </c>
      <c r="M744" s="12">
        <f>Raw_Data!M744</f>
        <v/>
      </c>
      <c r="N744" s="12">
        <f>Raw_Data!N744</f>
        <v/>
      </c>
      <c r="O744">
        <f>Raw_Data!O744</f>
        <v/>
      </c>
      <c r="P744">
        <f>Raw_Data!P744</f>
        <v/>
      </c>
      <c r="Q744">
        <f>YEAR(B744)</f>
        <v/>
      </c>
      <c r="R744">
        <f>TEXT(B744,"mmm")</f>
        <v/>
      </c>
      <c r="S744" s="15">
        <f>IFERROR(N744/L744,0)</f>
        <v/>
      </c>
    </row>
    <row r="745">
      <c r="A745">
        <f>Raw_Data!A745</f>
        <v/>
      </c>
      <c r="B745" s="11">
        <f>Raw_Data!B745</f>
        <v/>
      </c>
      <c r="C745">
        <f>Raw_Data!C745</f>
        <v/>
      </c>
      <c r="D745">
        <f>Raw_Data!D745</f>
        <v/>
      </c>
      <c r="E745">
        <f>Raw_Data!E745</f>
        <v/>
      </c>
      <c r="F745">
        <f>Raw_Data!F745</f>
        <v/>
      </c>
      <c r="G745">
        <f>Raw_Data!G745</f>
        <v/>
      </c>
      <c r="H745">
        <f>Raw_Data!H745</f>
        <v/>
      </c>
      <c r="I745">
        <f>Raw_Data!I745</f>
        <v/>
      </c>
      <c r="J745" s="12">
        <f>Raw_Data!J745</f>
        <v/>
      </c>
      <c r="K745" s="13">
        <f>Raw_Data!K745</f>
        <v/>
      </c>
      <c r="L745" s="12">
        <f>Raw_Data!L745</f>
        <v/>
      </c>
      <c r="M745" s="12">
        <f>Raw_Data!M745</f>
        <v/>
      </c>
      <c r="N745" s="12">
        <f>Raw_Data!N745</f>
        <v/>
      </c>
      <c r="O745">
        <f>Raw_Data!O745</f>
        <v/>
      </c>
      <c r="P745">
        <f>Raw_Data!P745</f>
        <v/>
      </c>
      <c r="Q745">
        <f>YEAR(B745)</f>
        <v/>
      </c>
      <c r="R745">
        <f>TEXT(B745,"mmm")</f>
        <v/>
      </c>
      <c r="S745" s="15">
        <f>IFERROR(N745/L745,0)</f>
        <v/>
      </c>
    </row>
    <row r="746">
      <c r="A746">
        <f>Raw_Data!A746</f>
        <v/>
      </c>
      <c r="B746" s="11">
        <f>Raw_Data!B746</f>
        <v/>
      </c>
      <c r="C746">
        <f>Raw_Data!C746</f>
        <v/>
      </c>
      <c r="D746">
        <f>Raw_Data!D746</f>
        <v/>
      </c>
      <c r="E746">
        <f>Raw_Data!E746</f>
        <v/>
      </c>
      <c r="F746">
        <f>Raw_Data!F746</f>
        <v/>
      </c>
      <c r="G746">
        <f>Raw_Data!G746</f>
        <v/>
      </c>
      <c r="H746">
        <f>Raw_Data!H746</f>
        <v/>
      </c>
      <c r="I746">
        <f>Raw_Data!I746</f>
        <v/>
      </c>
      <c r="J746" s="12">
        <f>Raw_Data!J746</f>
        <v/>
      </c>
      <c r="K746" s="13">
        <f>Raw_Data!K746</f>
        <v/>
      </c>
      <c r="L746" s="12">
        <f>Raw_Data!L746</f>
        <v/>
      </c>
      <c r="M746" s="12">
        <f>Raw_Data!M746</f>
        <v/>
      </c>
      <c r="N746" s="12">
        <f>Raw_Data!N746</f>
        <v/>
      </c>
      <c r="O746">
        <f>Raw_Data!O746</f>
        <v/>
      </c>
      <c r="P746">
        <f>Raw_Data!P746</f>
        <v/>
      </c>
      <c r="Q746">
        <f>YEAR(B746)</f>
        <v/>
      </c>
      <c r="R746">
        <f>TEXT(B746,"mmm")</f>
        <v/>
      </c>
      <c r="S746" s="15">
        <f>IFERROR(N746/L746,0)</f>
        <v/>
      </c>
    </row>
    <row r="747">
      <c r="A747">
        <f>Raw_Data!A747</f>
        <v/>
      </c>
      <c r="B747" s="11">
        <f>Raw_Data!B747</f>
        <v/>
      </c>
      <c r="C747">
        <f>Raw_Data!C747</f>
        <v/>
      </c>
      <c r="D747">
        <f>Raw_Data!D747</f>
        <v/>
      </c>
      <c r="E747">
        <f>Raw_Data!E747</f>
        <v/>
      </c>
      <c r="F747">
        <f>Raw_Data!F747</f>
        <v/>
      </c>
      <c r="G747">
        <f>Raw_Data!G747</f>
        <v/>
      </c>
      <c r="H747">
        <f>Raw_Data!H747</f>
        <v/>
      </c>
      <c r="I747">
        <f>Raw_Data!I747</f>
        <v/>
      </c>
      <c r="J747" s="12">
        <f>Raw_Data!J747</f>
        <v/>
      </c>
      <c r="K747" s="13">
        <f>Raw_Data!K747</f>
        <v/>
      </c>
      <c r="L747" s="12">
        <f>Raw_Data!L747</f>
        <v/>
      </c>
      <c r="M747" s="12">
        <f>Raw_Data!M747</f>
        <v/>
      </c>
      <c r="N747" s="12">
        <f>Raw_Data!N747</f>
        <v/>
      </c>
      <c r="O747">
        <f>Raw_Data!O747</f>
        <v/>
      </c>
      <c r="P747">
        <f>Raw_Data!P747</f>
        <v/>
      </c>
      <c r="Q747">
        <f>YEAR(B747)</f>
        <v/>
      </c>
      <c r="R747">
        <f>TEXT(B747,"mmm")</f>
        <v/>
      </c>
      <c r="S747" s="15">
        <f>IFERROR(N747/L747,0)</f>
        <v/>
      </c>
    </row>
    <row r="748">
      <c r="A748">
        <f>Raw_Data!A748</f>
        <v/>
      </c>
      <c r="B748" s="11">
        <f>Raw_Data!B748</f>
        <v/>
      </c>
      <c r="C748">
        <f>Raw_Data!C748</f>
        <v/>
      </c>
      <c r="D748">
        <f>Raw_Data!D748</f>
        <v/>
      </c>
      <c r="E748">
        <f>Raw_Data!E748</f>
        <v/>
      </c>
      <c r="F748">
        <f>Raw_Data!F748</f>
        <v/>
      </c>
      <c r="G748">
        <f>Raw_Data!G748</f>
        <v/>
      </c>
      <c r="H748">
        <f>Raw_Data!H748</f>
        <v/>
      </c>
      <c r="I748">
        <f>Raw_Data!I748</f>
        <v/>
      </c>
      <c r="J748" s="12">
        <f>Raw_Data!J748</f>
        <v/>
      </c>
      <c r="K748" s="13">
        <f>Raw_Data!K748</f>
        <v/>
      </c>
      <c r="L748" s="12">
        <f>Raw_Data!L748</f>
        <v/>
      </c>
      <c r="M748" s="12">
        <f>Raw_Data!M748</f>
        <v/>
      </c>
      <c r="N748" s="12">
        <f>Raw_Data!N748</f>
        <v/>
      </c>
      <c r="O748">
        <f>Raw_Data!O748</f>
        <v/>
      </c>
      <c r="P748">
        <f>Raw_Data!P748</f>
        <v/>
      </c>
      <c r="Q748">
        <f>YEAR(B748)</f>
        <v/>
      </c>
      <c r="R748">
        <f>TEXT(B748,"mmm")</f>
        <v/>
      </c>
      <c r="S748" s="15">
        <f>IFERROR(N748/L748,0)</f>
        <v/>
      </c>
    </row>
    <row r="749">
      <c r="A749">
        <f>Raw_Data!A749</f>
        <v/>
      </c>
      <c r="B749" s="11">
        <f>Raw_Data!B749</f>
        <v/>
      </c>
      <c r="C749">
        <f>Raw_Data!C749</f>
        <v/>
      </c>
      <c r="D749">
        <f>Raw_Data!D749</f>
        <v/>
      </c>
      <c r="E749">
        <f>Raw_Data!E749</f>
        <v/>
      </c>
      <c r="F749">
        <f>Raw_Data!F749</f>
        <v/>
      </c>
      <c r="G749">
        <f>Raw_Data!G749</f>
        <v/>
      </c>
      <c r="H749">
        <f>Raw_Data!H749</f>
        <v/>
      </c>
      <c r="I749">
        <f>Raw_Data!I749</f>
        <v/>
      </c>
      <c r="J749" s="12">
        <f>Raw_Data!J749</f>
        <v/>
      </c>
      <c r="K749" s="13">
        <f>Raw_Data!K749</f>
        <v/>
      </c>
      <c r="L749" s="12">
        <f>Raw_Data!L749</f>
        <v/>
      </c>
      <c r="M749" s="12">
        <f>Raw_Data!M749</f>
        <v/>
      </c>
      <c r="N749" s="12">
        <f>Raw_Data!N749</f>
        <v/>
      </c>
      <c r="O749">
        <f>Raw_Data!O749</f>
        <v/>
      </c>
      <c r="P749">
        <f>Raw_Data!P749</f>
        <v/>
      </c>
      <c r="Q749">
        <f>YEAR(B749)</f>
        <v/>
      </c>
      <c r="R749">
        <f>TEXT(B749,"mmm")</f>
        <v/>
      </c>
      <c r="S749" s="15">
        <f>IFERROR(N749/L749,0)</f>
        <v/>
      </c>
    </row>
    <row r="750">
      <c r="A750">
        <f>Raw_Data!A750</f>
        <v/>
      </c>
      <c r="B750" s="11">
        <f>Raw_Data!B750</f>
        <v/>
      </c>
      <c r="C750">
        <f>Raw_Data!C750</f>
        <v/>
      </c>
      <c r="D750">
        <f>Raw_Data!D750</f>
        <v/>
      </c>
      <c r="E750">
        <f>Raw_Data!E750</f>
        <v/>
      </c>
      <c r="F750">
        <f>Raw_Data!F750</f>
        <v/>
      </c>
      <c r="G750">
        <f>Raw_Data!G750</f>
        <v/>
      </c>
      <c r="H750">
        <f>Raw_Data!H750</f>
        <v/>
      </c>
      <c r="I750">
        <f>Raw_Data!I750</f>
        <v/>
      </c>
      <c r="J750" s="12">
        <f>Raw_Data!J750</f>
        <v/>
      </c>
      <c r="K750" s="13">
        <f>Raw_Data!K750</f>
        <v/>
      </c>
      <c r="L750" s="12">
        <f>Raw_Data!L750</f>
        <v/>
      </c>
      <c r="M750" s="12">
        <f>Raw_Data!M750</f>
        <v/>
      </c>
      <c r="N750" s="12">
        <f>Raw_Data!N750</f>
        <v/>
      </c>
      <c r="O750">
        <f>Raw_Data!O750</f>
        <v/>
      </c>
      <c r="P750">
        <f>Raw_Data!P750</f>
        <v/>
      </c>
      <c r="Q750">
        <f>YEAR(B750)</f>
        <v/>
      </c>
      <c r="R750">
        <f>TEXT(B750,"mmm")</f>
        <v/>
      </c>
      <c r="S750" s="15">
        <f>IFERROR(N750/L750,0)</f>
        <v/>
      </c>
    </row>
    <row r="751">
      <c r="A751">
        <f>Raw_Data!A751</f>
        <v/>
      </c>
      <c r="B751" s="11">
        <f>Raw_Data!B751</f>
        <v/>
      </c>
      <c r="C751">
        <f>Raw_Data!C751</f>
        <v/>
      </c>
      <c r="D751">
        <f>Raw_Data!D751</f>
        <v/>
      </c>
      <c r="E751">
        <f>Raw_Data!E751</f>
        <v/>
      </c>
      <c r="F751">
        <f>Raw_Data!F751</f>
        <v/>
      </c>
      <c r="G751">
        <f>Raw_Data!G751</f>
        <v/>
      </c>
      <c r="H751">
        <f>Raw_Data!H751</f>
        <v/>
      </c>
      <c r="I751">
        <f>Raw_Data!I751</f>
        <v/>
      </c>
      <c r="J751" s="12">
        <f>Raw_Data!J751</f>
        <v/>
      </c>
      <c r="K751" s="13">
        <f>Raw_Data!K751</f>
        <v/>
      </c>
      <c r="L751" s="12">
        <f>Raw_Data!L751</f>
        <v/>
      </c>
      <c r="M751" s="12">
        <f>Raw_Data!M751</f>
        <v/>
      </c>
      <c r="N751" s="12">
        <f>Raw_Data!N751</f>
        <v/>
      </c>
      <c r="O751">
        <f>Raw_Data!O751</f>
        <v/>
      </c>
      <c r="P751">
        <f>Raw_Data!P751</f>
        <v/>
      </c>
      <c r="Q751">
        <f>YEAR(B751)</f>
        <v/>
      </c>
      <c r="R751">
        <f>TEXT(B751,"mmm")</f>
        <v/>
      </c>
      <c r="S751" s="15">
        <f>IFERROR(N751/L751,0)</f>
        <v/>
      </c>
    </row>
    <row r="752">
      <c r="A752">
        <f>Raw_Data!A752</f>
        <v/>
      </c>
      <c r="B752" s="11">
        <f>Raw_Data!B752</f>
        <v/>
      </c>
      <c r="C752">
        <f>Raw_Data!C752</f>
        <v/>
      </c>
      <c r="D752">
        <f>Raw_Data!D752</f>
        <v/>
      </c>
      <c r="E752">
        <f>Raw_Data!E752</f>
        <v/>
      </c>
      <c r="F752">
        <f>Raw_Data!F752</f>
        <v/>
      </c>
      <c r="G752">
        <f>Raw_Data!G752</f>
        <v/>
      </c>
      <c r="H752">
        <f>Raw_Data!H752</f>
        <v/>
      </c>
      <c r="I752">
        <f>Raw_Data!I752</f>
        <v/>
      </c>
      <c r="J752" s="12">
        <f>Raw_Data!J752</f>
        <v/>
      </c>
      <c r="K752" s="13">
        <f>Raw_Data!K752</f>
        <v/>
      </c>
      <c r="L752" s="12">
        <f>Raw_Data!L752</f>
        <v/>
      </c>
      <c r="M752" s="12">
        <f>Raw_Data!M752</f>
        <v/>
      </c>
      <c r="N752" s="12">
        <f>Raw_Data!N752</f>
        <v/>
      </c>
      <c r="O752">
        <f>Raw_Data!O752</f>
        <v/>
      </c>
      <c r="P752">
        <f>Raw_Data!P752</f>
        <v/>
      </c>
      <c r="Q752">
        <f>YEAR(B752)</f>
        <v/>
      </c>
      <c r="R752">
        <f>TEXT(B752,"mmm")</f>
        <v/>
      </c>
      <c r="S752" s="15">
        <f>IFERROR(N752/L752,0)</f>
        <v/>
      </c>
    </row>
    <row r="753">
      <c r="A753">
        <f>Raw_Data!A753</f>
        <v/>
      </c>
      <c r="B753" s="11">
        <f>Raw_Data!B753</f>
        <v/>
      </c>
      <c r="C753">
        <f>Raw_Data!C753</f>
        <v/>
      </c>
      <c r="D753">
        <f>Raw_Data!D753</f>
        <v/>
      </c>
      <c r="E753">
        <f>Raw_Data!E753</f>
        <v/>
      </c>
      <c r="F753">
        <f>Raw_Data!F753</f>
        <v/>
      </c>
      <c r="G753">
        <f>Raw_Data!G753</f>
        <v/>
      </c>
      <c r="H753">
        <f>Raw_Data!H753</f>
        <v/>
      </c>
      <c r="I753">
        <f>Raw_Data!I753</f>
        <v/>
      </c>
      <c r="J753" s="12">
        <f>Raw_Data!J753</f>
        <v/>
      </c>
      <c r="K753" s="13">
        <f>Raw_Data!K753</f>
        <v/>
      </c>
      <c r="L753" s="12">
        <f>Raw_Data!L753</f>
        <v/>
      </c>
      <c r="M753" s="12">
        <f>Raw_Data!M753</f>
        <v/>
      </c>
      <c r="N753" s="12">
        <f>Raw_Data!N753</f>
        <v/>
      </c>
      <c r="O753">
        <f>Raw_Data!O753</f>
        <v/>
      </c>
      <c r="P753">
        <f>Raw_Data!P753</f>
        <v/>
      </c>
      <c r="Q753">
        <f>YEAR(B753)</f>
        <v/>
      </c>
      <c r="R753">
        <f>TEXT(B753,"mmm")</f>
        <v/>
      </c>
      <c r="S753" s="15">
        <f>IFERROR(N753/L753,0)</f>
        <v/>
      </c>
    </row>
    <row r="754">
      <c r="A754">
        <f>Raw_Data!A754</f>
        <v/>
      </c>
      <c r="B754" s="11">
        <f>Raw_Data!B754</f>
        <v/>
      </c>
      <c r="C754">
        <f>Raw_Data!C754</f>
        <v/>
      </c>
      <c r="D754">
        <f>Raw_Data!D754</f>
        <v/>
      </c>
      <c r="E754">
        <f>Raw_Data!E754</f>
        <v/>
      </c>
      <c r="F754">
        <f>Raw_Data!F754</f>
        <v/>
      </c>
      <c r="G754">
        <f>Raw_Data!G754</f>
        <v/>
      </c>
      <c r="H754">
        <f>Raw_Data!H754</f>
        <v/>
      </c>
      <c r="I754">
        <f>Raw_Data!I754</f>
        <v/>
      </c>
      <c r="J754" s="12">
        <f>Raw_Data!J754</f>
        <v/>
      </c>
      <c r="K754" s="13">
        <f>Raw_Data!K754</f>
        <v/>
      </c>
      <c r="L754" s="12">
        <f>Raw_Data!L754</f>
        <v/>
      </c>
      <c r="M754" s="12">
        <f>Raw_Data!M754</f>
        <v/>
      </c>
      <c r="N754" s="12">
        <f>Raw_Data!N754</f>
        <v/>
      </c>
      <c r="O754">
        <f>Raw_Data!O754</f>
        <v/>
      </c>
      <c r="P754">
        <f>Raw_Data!P754</f>
        <v/>
      </c>
      <c r="Q754">
        <f>YEAR(B754)</f>
        <v/>
      </c>
      <c r="R754">
        <f>TEXT(B754,"mmm")</f>
        <v/>
      </c>
      <c r="S754" s="15">
        <f>IFERROR(N754/L754,0)</f>
        <v/>
      </c>
    </row>
    <row r="755">
      <c r="A755">
        <f>Raw_Data!A755</f>
        <v/>
      </c>
      <c r="B755" s="11">
        <f>Raw_Data!B755</f>
        <v/>
      </c>
      <c r="C755">
        <f>Raw_Data!C755</f>
        <v/>
      </c>
      <c r="D755">
        <f>Raw_Data!D755</f>
        <v/>
      </c>
      <c r="E755">
        <f>Raw_Data!E755</f>
        <v/>
      </c>
      <c r="F755">
        <f>Raw_Data!F755</f>
        <v/>
      </c>
      <c r="G755">
        <f>Raw_Data!G755</f>
        <v/>
      </c>
      <c r="H755">
        <f>Raw_Data!H755</f>
        <v/>
      </c>
      <c r="I755">
        <f>Raw_Data!I755</f>
        <v/>
      </c>
      <c r="J755" s="12">
        <f>Raw_Data!J755</f>
        <v/>
      </c>
      <c r="K755" s="13">
        <f>Raw_Data!K755</f>
        <v/>
      </c>
      <c r="L755" s="12">
        <f>Raw_Data!L755</f>
        <v/>
      </c>
      <c r="M755" s="12">
        <f>Raw_Data!M755</f>
        <v/>
      </c>
      <c r="N755" s="12">
        <f>Raw_Data!N755</f>
        <v/>
      </c>
      <c r="O755">
        <f>Raw_Data!O755</f>
        <v/>
      </c>
      <c r="P755">
        <f>Raw_Data!P755</f>
        <v/>
      </c>
      <c r="Q755">
        <f>YEAR(B755)</f>
        <v/>
      </c>
      <c r="R755">
        <f>TEXT(B755,"mmm")</f>
        <v/>
      </c>
      <c r="S755" s="15">
        <f>IFERROR(N755/L755,0)</f>
        <v/>
      </c>
    </row>
    <row r="756">
      <c r="A756">
        <f>Raw_Data!A756</f>
        <v/>
      </c>
      <c r="B756" s="11">
        <f>Raw_Data!B756</f>
        <v/>
      </c>
      <c r="C756">
        <f>Raw_Data!C756</f>
        <v/>
      </c>
      <c r="D756">
        <f>Raw_Data!D756</f>
        <v/>
      </c>
      <c r="E756">
        <f>Raw_Data!E756</f>
        <v/>
      </c>
      <c r="F756">
        <f>Raw_Data!F756</f>
        <v/>
      </c>
      <c r="G756">
        <f>Raw_Data!G756</f>
        <v/>
      </c>
      <c r="H756">
        <f>Raw_Data!H756</f>
        <v/>
      </c>
      <c r="I756">
        <f>Raw_Data!I756</f>
        <v/>
      </c>
      <c r="J756" s="12">
        <f>Raw_Data!J756</f>
        <v/>
      </c>
      <c r="K756" s="13">
        <f>Raw_Data!K756</f>
        <v/>
      </c>
      <c r="L756" s="12">
        <f>Raw_Data!L756</f>
        <v/>
      </c>
      <c r="M756" s="12">
        <f>Raw_Data!M756</f>
        <v/>
      </c>
      <c r="N756" s="12">
        <f>Raw_Data!N756</f>
        <v/>
      </c>
      <c r="O756">
        <f>Raw_Data!O756</f>
        <v/>
      </c>
      <c r="P756">
        <f>Raw_Data!P756</f>
        <v/>
      </c>
      <c r="Q756">
        <f>YEAR(B756)</f>
        <v/>
      </c>
      <c r="R756">
        <f>TEXT(B756,"mmm")</f>
        <v/>
      </c>
      <c r="S756" s="15">
        <f>IFERROR(N756/L756,0)</f>
        <v/>
      </c>
    </row>
    <row r="757">
      <c r="A757">
        <f>Raw_Data!A757</f>
        <v/>
      </c>
      <c r="B757" s="11">
        <f>Raw_Data!B757</f>
        <v/>
      </c>
      <c r="C757">
        <f>Raw_Data!C757</f>
        <v/>
      </c>
      <c r="D757">
        <f>Raw_Data!D757</f>
        <v/>
      </c>
      <c r="E757">
        <f>Raw_Data!E757</f>
        <v/>
      </c>
      <c r="F757">
        <f>Raw_Data!F757</f>
        <v/>
      </c>
      <c r="G757">
        <f>Raw_Data!G757</f>
        <v/>
      </c>
      <c r="H757">
        <f>Raw_Data!H757</f>
        <v/>
      </c>
      <c r="I757">
        <f>Raw_Data!I757</f>
        <v/>
      </c>
      <c r="J757" s="12">
        <f>Raw_Data!J757</f>
        <v/>
      </c>
      <c r="K757" s="13">
        <f>Raw_Data!K757</f>
        <v/>
      </c>
      <c r="L757" s="12">
        <f>Raw_Data!L757</f>
        <v/>
      </c>
      <c r="M757" s="12">
        <f>Raw_Data!M757</f>
        <v/>
      </c>
      <c r="N757" s="12">
        <f>Raw_Data!N757</f>
        <v/>
      </c>
      <c r="O757">
        <f>Raw_Data!O757</f>
        <v/>
      </c>
      <c r="P757">
        <f>Raw_Data!P757</f>
        <v/>
      </c>
      <c r="Q757">
        <f>YEAR(B757)</f>
        <v/>
      </c>
      <c r="R757">
        <f>TEXT(B757,"mmm")</f>
        <v/>
      </c>
      <c r="S757" s="15">
        <f>IFERROR(N757/L757,0)</f>
        <v/>
      </c>
    </row>
    <row r="758">
      <c r="A758">
        <f>Raw_Data!A758</f>
        <v/>
      </c>
      <c r="B758" s="11">
        <f>Raw_Data!B758</f>
        <v/>
      </c>
      <c r="C758">
        <f>Raw_Data!C758</f>
        <v/>
      </c>
      <c r="D758">
        <f>Raw_Data!D758</f>
        <v/>
      </c>
      <c r="E758">
        <f>Raw_Data!E758</f>
        <v/>
      </c>
      <c r="F758">
        <f>Raw_Data!F758</f>
        <v/>
      </c>
      <c r="G758">
        <f>Raw_Data!G758</f>
        <v/>
      </c>
      <c r="H758">
        <f>Raw_Data!H758</f>
        <v/>
      </c>
      <c r="I758">
        <f>Raw_Data!I758</f>
        <v/>
      </c>
      <c r="J758" s="12">
        <f>Raw_Data!J758</f>
        <v/>
      </c>
      <c r="K758" s="13">
        <f>Raw_Data!K758</f>
        <v/>
      </c>
      <c r="L758" s="12">
        <f>Raw_Data!L758</f>
        <v/>
      </c>
      <c r="M758" s="12">
        <f>Raw_Data!M758</f>
        <v/>
      </c>
      <c r="N758" s="12">
        <f>Raw_Data!N758</f>
        <v/>
      </c>
      <c r="O758">
        <f>Raw_Data!O758</f>
        <v/>
      </c>
      <c r="P758">
        <f>Raw_Data!P758</f>
        <v/>
      </c>
      <c r="Q758">
        <f>YEAR(B758)</f>
        <v/>
      </c>
      <c r="R758">
        <f>TEXT(B758,"mmm")</f>
        <v/>
      </c>
      <c r="S758" s="15">
        <f>IFERROR(N758/L758,0)</f>
        <v/>
      </c>
    </row>
    <row r="759">
      <c r="A759">
        <f>Raw_Data!A759</f>
        <v/>
      </c>
      <c r="B759" s="11">
        <f>Raw_Data!B759</f>
        <v/>
      </c>
      <c r="C759">
        <f>Raw_Data!C759</f>
        <v/>
      </c>
      <c r="D759">
        <f>Raw_Data!D759</f>
        <v/>
      </c>
      <c r="E759">
        <f>Raw_Data!E759</f>
        <v/>
      </c>
      <c r="F759">
        <f>Raw_Data!F759</f>
        <v/>
      </c>
      <c r="G759">
        <f>Raw_Data!G759</f>
        <v/>
      </c>
      <c r="H759">
        <f>Raw_Data!H759</f>
        <v/>
      </c>
      <c r="I759">
        <f>Raw_Data!I759</f>
        <v/>
      </c>
      <c r="J759" s="12">
        <f>Raw_Data!J759</f>
        <v/>
      </c>
      <c r="K759" s="13">
        <f>Raw_Data!K759</f>
        <v/>
      </c>
      <c r="L759" s="12">
        <f>Raw_Data!L759</f>
        <v/>
      </c>
      <c r="M759" s="12">
        <f>Raw_Data!M759</f>
        <v/>
      </c>
      <c r="N759" s="12">
        <f>Raw_Data!N759</f>
        <v/>
      </c>
      <c r="O759">
        <f>Raw_Data!O759</f>
        <v/>
      </c>
      <c r="P759">
        <f>Raw_Data!P759</f>
        <v/>
      </c>
      <c r="Q759">
        <f>YEAR(B759)</f>
        <v/>
      </c>
      <c r="R759">
        <f>TEXT(B759,"mmm")</f>
        <v/>
      </c>
      <c r="S759" s="15">
        <f>IFERROR(N759/L759,0)</f>
        <v/>
      </c>
    </row>
    <row r="760">
      <c r="A760">
        <f>Raw_Data!A760</f>
        <v/>
      </c>
      <c r="B760" s="11">
        <f>Raw_Data!B760</f>
        <v/>
      </c>
      <c r="C760">
        <f>Raw_Data!C760</f>
        <v/>
      </c>
      <c r="D760">
        <f>Raw_Data!D760</f>
        <v/>
      </c>
      <c r="E760">
        <f>Raw_Data!E760</f>
        <v/>
      </c>
      <c r="F760">
        <f>Raw_Data!F760</f>
        <v/>
      </c>
      <c r="G760">
        <f>Raw_Data!G760</f>
        <v/>
      </c>
      <c r="H760">
        <f>Raw_Data!H760</f>
        <v/>
      </c>
      <c r="I760">
        <f>Raw_Data!I760</f>
        <v/>
      </c>
      <c r="J760" s="12">
        <f>Raw_Data!J760</f>
        <v/>
      </c>
      <c r="K760" s="13">
        <f>Raw_Data!K760</f>
        <v/>
      </c>
      <c r="L760" s="12">
        <f>Raw_Data!L760</f>
        <v/>
      </c>
      <c r="M760" s="12">
        <f>Raw_Data!M760</f>
        <v/>
      </c>
      <c r="N760" s="12">
        <f>Raw_Data!N760</f>
        <v/>
      </c>
      <c r="O760">
        <f>Raw_Data!O760</f>
        <v/>
      </c>
      <c r="P760">
        <f>Raw_Data!P760</f>
        <v/>
      </c>
      <c r="Q760">
        <f>YEAR(B760)</f>
        <v/>
      </c>
      <c r="R760">
        <f>TEXT(B760,"mmm")</f>
        <v/>
      </c>
      <c r="S760" s="15">
        <f>IFERROR(N760/L760,0)</f>
        <v/>
      </c>
    </row>
    <row r="761">
      <c r="A761">
        <f>Raw_Data!A761</f>
        <v/>
      </c>
      <c r="B761" s="11">
        <f>Raw_Data!B761</f>
        <v/>
      </c>
      <c r="C761">
        <f>Raw_Data!C761</f>
        <v/>
      </c>
      <c r="D761">
        <f>Raw_Data!D761</f>
        <v/>
      </c>
      <c r="E761">
        <f>Raw_Data!E761</f>
        <v/>
      </c>
      <c r="F761">
        <f>Raw_Data!F761</f>
        <v/>
      </c>
      <c r="G761">
        <f>Raw_Data!G761</f>
        <v/>
      </c>
      <c r="H761">
        <f>Raw_Data!H761</f>
        <v/>
      </c>
      <c r="I761">
        <f>Raw_Data!I761</f>
        <v/>
      </c>
      <c r="J761" s="12">
        <f>Raw_Data!J761</f>
        <v/>
      </c>
      <c r="K761" s="13">
        <f>Raw_Data!K761</f>
        <v/>
      </c>
      <c r="L761" s="12">
        <f>Raw_Data!L761</f>
        <v/>
      </c>
      <c r="M761" s="12">
        <f>Raw_Data!M761</f>
        <v/>
      </c>
      <c r="N761" s="12">
        <f>Raw_Data!N761</f>
        <v/>
      </c>
      <c r="O761">
        <f>Raw_Data!O761</f>
        <v/>
      </c>
      <c r="P761">
        <f>Raw_Data!P761</f>
        <v/>
      </c>
      <c r="Q761">
        <f>YEAR(B761)</f>
        <v/>
      </c>
      <c r="R761">
        <f>TEXT(B761,"mmm")</f>
        <v/>
      </c>
      <c r="S761" s="15">
        <f>IFERROR(N761/L761,0)</f>
        <v/>
      </c>
    </row>
    <row r="762">
      <c r="A762">
        <f>Raw_Data!A762</f>
        <v/>
      </c>
      <c r="B762" s="11">
        <f>Raw_Data!B762</f>
        <v/>
      </c>
      <c r="C762">
        <f>Raw_Data!C762</f>
        <v/>
      </c>
      <c r="D762">
        <f>Raw_Data!D762</f>
        <v/>
      </c>
      <c r="E762">
        <f>Raw_Data!E762</f>
        <v/>
      </c>
      <c r="F762">
        <f>Raw_Data!F762</f>
        <v/>
      </c>
      <c r="G762">
        <f>Raw_Data!G762</f>
        <v/>
      </c>
      <c r="H762">
        <f>Raw_Data!H762</f>
        <v/>
      </c>
      <c r="I762">
        <f>Raw_Data!I762</f>
        <v/>
      </c>
      <c r="J762" s="12">
        <f>Raw_Data!J762</f>
        <v/>
      </c>
      <c r="K762" s="13">
        <f>Raw_Data!K762</f>
        <v/>
      </c>
      <c r="L762" s="12">
        <f>Raw_Data!L762</f>
        <v/>
      </c>
      <c r="M762" s="12">
        <f>Raw_Data!M762</f>
        <v/>
      </c>
      <c r="N762" s="12">
        <f>Raw_Data!N762</f>
        <v/>
      </c>
      <c r="O762">
        <f>Raw_Data!O762</f>
        <v/>
      </c>
      <c r="P762">
        <f>Raw_Data!P762</f>
        <v/>
      </c>
      <c r="Q762">
        <f>YEAR(B762)</f>
        <v/>
      </c>
      <c r="R762">
        <f>TEXT(B762,"mmm")</f>
        <v/>
      </c>
      <c r="S762" s="15">
        <f>IFERROR(N762/L762,0)</f>
        <v/>
      </c>
    </row>
    <row r="763">
      <c r="A763">
        <f>Raw_Data!A763</f>
        <v/>
      </c>
      <c r="B763" s="11">
        <f>Raw_Data!B763</f>
        <v/>
      </c>
      <c r="C763">
        <f>Raw_Data!C763</f>
        <v/>
      </c>
      <c r="D763">
        <f>Raw_Data!D763</f>
        <v/>
      </c>
      <c r="E763">
        <f>Raw_Data!E763</f>
        <v/>
      </c>
      <c r="F763">
        <f>Raw_Data!F763</f>
        <v/>
      </c>
      <c r="G763">
        <f>Raw_Data!G763</f>
        <v/>
      </c>
      <c r="H763">
        <f>Raw_Data!H763</f>
        <v/>
      </c>
      <c r="I763">
        <f>Raw_Data!I763</f>
        <v/>
      </c>
      <c r="J763" s="12">
        <f>Raw_Data!J763</f>
        <v/>
      </c>
      <c r="K763" s="13">
        <f>Raw_Data!K763</f>
        <v/>
      </c>
      <c r="L763" s="12">
        <f>Raw_Data!L763</f>
        <v/>
      </c>
      <c r="M763" s="12">
        <f>Raw_Data!M763</f>
        <v/>
      </c>
      <c r="N763" s="12">
        <f>Raw_Data!N763</f>
        <v/>
      </c>
      <c r="O763">
        <f>Raw_Data!O763</f>
        <v/>
      </c>
      <c r="P763">
        <f>Raw_Data!P763</f>
        <v/>
      </c>
      <c r="Q763">
        <f>YEAR(B763)</f>
        <v/>
      </c>
      <c r="R763">
        <f>TEXT(B763,"mmm")</f>
        <v/>
      </c>
      <c r="S763" s="15">
        <f>IFERROR(N763/L763,0)</f>
        <v/>
      </c>
    </row>
    <row r="764">
      <c r="A764">
        <f>Raw_Data!A764</f>
        <v/>
      </c>
      <c r="B764" s="11">
        <f>Raw_Data!B764</f>
        <v/>
      </c>
      <c r="C764">
        <f>Raw_Data!C764</f>
        <v/>
      </c>
      <c r="D764">
        <f>Raw_Data!D764</f>
        <v/>
      </c>
      <c r="E764">
        <f>Raw_Data!E764</f>
        <v/>
      </c>
      <c r="F764">
        <f>Raw_Data!F764</f>
        <v/>
      </c>
      <c r="G764">
        <f>Raw_Data!G764</f>
        <v/>
      </c>
      <c r="H764">
        <f>Raw_Data!H764</f>
        <v/>
      </c>
      <c r="I764">
        <f>Raw_Data!I764</f>
        <v/>
      </c>
      <c r="J764" s="12">
        <f>Raw_Data!J764</f>
        <v/>
      </c>
      <c r="K764" s="13">
        <f>Raw_Data!K764</f>
        <v/>
      </c>
      <c r="L764" s="12">
        <f>Raw_Data!L764</f>
        <v/>
      </c>
      <c r="M764" s="12">
        <f>Raw_Data!M764</f>
        <v/>
      </c>
      <c r="N764" s="12">
        <f>Raw_Data!N764</f>
        <v/>
      </c>
      <c r="O764">
        <f>Raw_Data!O764</f>
        <v/>
      </c>
      <c r="P764">
        <f>Raw_Data!P764</f>
        <v/>
      </c>
      <c r="Q764">
        <f>YEAR(B764)</f>
        <v/>
      </c>
      <c r="R764">
        <f>TEXT(B764,"mmm")</f>
        <v/>
      </c>
      <c r="S764" s="15">
        <f>IFERROR(N764/L764,0)</f>
        <v/>
      </c>
    </row>
    <row r="765">
      <c r="A765">
        <f>Raw_Data!A765</f>
        <v/>
      </c>
      <c r="B765" s="11">
        <f>Raw_Data!B765</f>
        <v/>
      </c>
      <c r="C765">
        <f>Raw_Data!C765</f>
        <v/>
      </c>
      <c r="D765">
        <f>Raw_Data!D765</f>
        <v/>
      </c>
      <c r="E765">
        <f>Raw_Data!E765</f>
        <v/>
      </c>
      <c r="F765">
        <f>Raw_Data!F765</f>
        <v/>
      </c>
      <c r="G765">
        <f>Raw_Data!G765</f>
        <v/>
      </c>
      <c r="H765">
        <f>Raw_Data!H765</f>
        <v/>
      </c>
      <c r="I765">
        <f>Raw_Data!I765</f>
        <v/>
      </c>
      <c r="J765" s="12">
        <f>Raw_Data!J765</f>
        <v/>
      </c>
      <c r="K765" s="13">
        <f>Raw_Data!K765</f>
        <v/>
      </c>
      <c r="L765" s="12">
        <f>Raw_Data!L765</f>
        <v/>
      </c>
      <c r="M765" s="12">
        <f>Raw_Data!M765</f>
        <v/>
      </c>
      <c r="N765" s="12">
        <f>Raw_Data!N765</f>
        <v/>
      </c>
      <c r="O765">
        <f>Raw_Data!O765</f>
        <v/>
      </c>
      <c r="P765">
        <f>Raw_Data!P765</f>
        <v/>
      </c>
      <c r="Q765">
        <f>YEAR(B765)</f>
        <v/>
      </c>
      <c r="R765">
        <f>TEXT(B765,"mmm")</f>
        <v/>
      </c>
      <c r="S765" s="15">
        <f>IFERROR(N765/L765,0)</f>
        <v/>
      </c>
    </row>
    <row r="766">
      <c r="A766">
        <f>Raw_Data!A766</f>
        <v/>
      </c>
      <c r="B766" s="11">
        <f>Raw_Data!B766</f>
        <v/>
      </c>
      <c r="C766">
        <f>Raw_Data!C766</f>
        <v/>
      </c>
      <c r="D766">
        <f>Raw_Data!D766</f>
        <v/>
      </c>
      <c r="E766">
        <f>Raw_Data!E766</f>
        <v/>
      </c>
      <c r="F766">
        <f>Raw_Data!F766</f>
        <v/>
      </c>
      <c r="G766">
        <f>Raw_Data!G766</f>
        <v/>
      </c>
      <c r="H766">
        <f>Raw_Data!H766</f>
        <v/>
      </c>
      <c r="I766">
        <f>Raw_Data!I766</f>
        <v/>
      </c>
      <c r="J766" s="12">
        <f>Raw_Data!J766</f>
        <v/>
      </c>
      <c r="K766" s="13">
        <f>Raw_Data!K766</f>
        <v/>
      </c>
      <c r="L766" s="12">
        <f>Raw_Data!L766</f>
        <v/>
      </c>
      <c r="M766" s="12">
        <f>Raw_Data!M766</f>
        <v/>
      </c>
      <c r="N766" s="12">
        <f>Raw_Data!N766</f>
        <v/>
      </c>
      <c r="O766">
        <f>Raw_Data!O766</f>
        <v/>
      </c>
      <c r="P766">
        <f>Raw_Data!P766</f>
        <v/>
      </c>
      <c r="Q766">
        <f>YEAR(B766)</f>
        <v/>
      </c>
      <c r="R766">
        <f>TEXT(B766,"mmm")</f>
        <v/>
      </c>
      <c r="S766" s="15">
        <f>IFERROR(N766/L766,0)</f>
        <v/>
      </c>
    </row>
    <row r="767">
      <c r="A767">
        <f>Raw_Data!A767</f>
        <v/>
      </c>
      <c r="B767" s="11">
        <f>Raw_Data!B767</f>
        <v/>
      </c>
      <c r="C767">
        <f>Raw_Data!C767</f>
        <v/>
      </c>
      <c r="D767">
        <f>Raw_Data!D767</f>
        <v/>
      </c>
      <c r="E767">
        <f>Raw_Data!E767</f>
        <v/>
      </c>
      <c r="F767">
        <f>Raw_Data!F767</f>
        <v/>
      </c>
      <c r="G767">
        <f>Raw_Data!G767</f>
        <v/>
      </c>
      <c r="H767">
        <f>Raw_Data!H767</f>
        <v/>
      </c>
      <c r="I767">
        <f>Raw_Data!I767</f>
        <v/>
      </c>
      <c r="J767" s="12">
        <f>Raw_Data!J767</f>
        <v/>
      </c>
      <c r="K767" s="13">
        <f>Raw_Data!K767</f>
        <v/>
      </c>
      <c r="L767" s="12">
        <f>Raw_Data!L767</f>
        <v/>
      </c>
      <c r="M767" s="12">
        <f>Raw_Data!M767</f>
        <v/>
      </c>
      <c r="N767" s="12">
        <f>Raw_Data!N767</f>
        <v/>
      </c>
      <c r="O767">
        <f>Raw_Data!O767</f>
        <v/>
      </c>
      <c r="P767">
        <f>Raw_Data!P767</f>
        <v/>
      </c>
      <c r="Q767">
        <f>YEAR(B767)</f>
        <v/>
      </c>
      <c r="R767">
        <f>TEXT(B767,"mmm")</f>
        <v/>
      </c>
      <c r="S767" s="15">
        <f>IFERROR(N767/L767,0)</f>
        <v/>
      </c>
    </row>
    <row r="768">
      <c r="A768">
        <f>Raw_Data!A768</f>
        <v/>
      </c>
      <c r="B768" s="11">
        <f>Raw_Data!B768</f>
        <v/>
      </c>
      <c r="C768">
        <f>Raw_Data!C768</f>
        <v/>
      </c>
      <c r="D768">
        <f>Raw_Data!D768</f>
        <v/>
      </c>
      <c r="E768">
        <f>Raw_Data!E768</f>
        <v/>
      </c>
      <c r="F768">
        <f>Raw_Data!F768</f>
        <v/>
      </c>
      <c r="G768">
        <f>Raw_Data!G768</f>
        <v/>
      </c>
      <c r="H768">
        <f>Raw_Data!H768</f>
        <v/>
      </c>
      <c r="I768">
        <f>Raw_Data!I768</f>
        <v/>
      </c>
      <c r="J768" s="12">
        <f>Raw_Data!J768</f>
        <v/>
      </c>
      <c r="K768" s="13">
        <f>Raw_Data!K768</f>
        <v/>
      </c>
      <c r="L768" s="12">
        <f>Raw_Data!L768</f>
        <v/>
      </c>
      <c r="M768" s="12">
        <f>Raw_Data!M768</f>
        <v/>
      </c>
      <c r="N768" s="12">
        <f>Raw_Data!N768</f>
        <v/>
      </c>
      <c r="O768">
        <f>Raw_Data!O768</f>
        <v/>
      </c>
      <c r="P768">
        <f>Raw_Data!P768</f>
        <v/>
      </c>
      <c r="Q768">
        <f>YEAR(B768)</f>
        <v/>
      </c>
      <c r="R768">
        <f>TEXT(B768,"mmm")</f>
        <v/>
      </c>
      <c r="S768" s="15">
        <f>IFERROR(N768/L768,0)</f>
        <v/>
      </c>
    </row>
    <row r="769">
      <c r="A769">
        <f>Raw_Data!A769</f>
        <v/>
      </c>
      <c r="B769" s="11">
        <f>Raw_Data!B769</f>
        <v/>
      </c>
      <c r="C769">
        <f>Raw_Data!C769</f>
        <v/>
      </c>
      <c r="D769">
        <f>Raw_Data!D769</f>
        <v/>
      </c>
      <c r="E769">
        <f>Raw_Data!E769</f>
        <v/>
      </c>
      <c r="F769">
        <f>Raw_Data!F769</f>
        <v/>
      </c>
      <c r="G769">
        <f>Raw_Data!G769</f>
        <v/>
      </c>
      <c r="H769">
        <f>Raw_Data!H769</f>
        <v/>
      </c>
      <c r="I769">
        <f>Raw_Data!I769</f>
        <v/>
      </c>
      <c r="J769" s="12">
        <f>Raw_Data!J769</f>
        <v/>
      </c>
      <c r="K769" s="13">
        <f>Raw_Data!K769</f>
        <v/>
      </c>
      <c r="L769" s="12">
        <f>Raw_Data!L769</f>
        <v/>
      </c>
      <c r="M769" s="12">
        <f>Raw_Data!M769</f>
        <v/>
      </c>
      <c r="N769" s="12">
        <f>Raw_Data!N769</f>
        <v/>
      </c>
      <c r="O769">
        <f>Raw_Data!O769</f>
        <v/>
      </c>
      <c r="P769">
        <f>Raw_Data!P769</f>
        <v/>
      </c>
      <c r="Q769">
        <f>YEAR(B769)</f>
        <v/>
      </c>
      <c r="R769">
        <f>TEXT(B769,"mmm")</f>
        <v/>
      </c>
      <c r="S769" s="15">
        <f>IFERROR(N769/L769,0)</f>
        <v/>
      </c>
    </row>
    <row r="770">
      <c r="A770">
        <f>Raw_Data!A770</f>
        <v/>
      </c>
      <c r="B770" s="11">
        <f>Raw_Data!B770</f>
        <v/>
      </c>
      <c r="C770">
        <f>Raw_Data!C770</f>
        <v/>
      </c>
      <c r="D770">
        <f>Raw_Data!D770</f>
        <v/>
      </c>
      <c r="E770">
        <f>Raw_Data!E770</f>
        <v/>
      </c>
      <c r="F770">
        <f>Raw_Data!F770</f>
        <v/>
      </c>
      <c r="G770">
        <f>Raw_Data!G770</f>
        <v/>
      </c>
      <c r="H770">
        <f>Raw_Data!H770</f>
        <v/>
      </c>
      <c r="I770">
        <f>Raw_Data!I770</f>
        <v/>
      </c>
      <c r="J770" s="12">
        <f>Raw_Data!J770</f>
        <v/>
      </c>
      <c r="K770" s="13">
        <f>Raw_Data!K770</f>
        <v/>
      </c>
      <c r="L770" s="12">
        <f>Raw_Data!L770</f>
        <v/>
      </c>
      <c r="M770" s="12">
        <f>Raw_Data!M770</f>
        <v/>
      </c>
      <c r="N770" s="12">
        <f>Raw_Data!N770</f>
        <v/>
      </c>
      <c r="O770">
        <f>Raw_Data!O770</f>
        <v/>
      </c>
      <c r="P770">
        <f>Raw_Data!P770</f>
        <v/>
      </c>
      <c r="Q770">
        <f>YEAR(B770)</f>
        <v/>
      </c>
      <c r="R770">
        <f>TEXT(B770,"mmm")</f>
        <v/>
      </c>
      <c r="S770" s="15">
        <f>IFERROR(N770/L770,0)</f>
        <v/>
      </c>
    </row>
    <row r="771">
      <c r="A771">
        <f>Raw_Data!A771</f>
        <v/>
      </c>
      <c r="B771" s="11">
        <f>Raw_Data!B771</f>
        <v/>
      </c>
      <c r="C771">
        <f>Raw_Data!C771</f>
        <v/>
      </c>
      <c r="D771">
        <f>Raw_Data!D771</f>
        <v/>
      </c>
      <c r="E771">
        <f>Raw_Data!E771</f>
        <v/>
      </c>
      <c r="F771">
        <f>Raw_Data!F771</f>
        <v/>
      </c>
      <c r="G771">
        <f>Raw_Data!G771</f>
        <v/>
      </c>
      <c r="H771">
        <f>Raw_Data!H771</f>
        <v/>
      </c>
      <c r="I771">
        <f>Raw_Data!I771</f>
        <v/>
      </c>
      <c r="J771" s="12">
        <f>Raw_Data!J771</f>
        <v/>
      </c>
      <c r="K771" s="13">
        <f>Raw_Data!K771</f>
        <v/>
      </c>
      <c r="L771" s="12">
        <f>Raw_Data!L771</f>
        <v/>
      </c>
      <c r="M771" s="12">
        <f>Raw_Data!M771</f>
        <v/>
      </c>
      <c r="N771" s="12">
        <f>Raw_Data!N771</f>
        <v/>
      </c>
      <c r="O771">
        <f>Raw_Data!O771</f>
        <v/>
      </c>
      <c r="P771">
        <f>Raw_Data!P771</f>
        <v/>
      </c>
      <c r="Q771">
        <f>YEAR(B771)</f>
        <v/>
      </c>
      <c r="R771">
        <f>TEXT(B771,"mmm")</f>
        <v/>
      </c>
      <c r="S771" s="15">
        <f>IFERROR(N771/L771,0)</f>
        <v/>
      </c>
    </row>
    <row r="772">
      <c r="A772">
        <f>Raw_Data!A772</f>
        <v/>
      </c>
      <c r="B772" s="11">
        <f>Raw_Data!B772</f>
        <v/>
      </c>
      <c r="C772">
        <f>Raw_Data!C772</f>
        <v/>
      </c>
      <c r="D772">
        <f>Raw_Data!D772</f>
        <v/>
      </c>
      <c r="E772">
        <f>Raw_Data!E772</f>
        <v/>
      </c>
      <c r="F772">
        <f>Raw_Data!F772</f>
        <v/>
      </c>
      <c r="G772">
        <f>Raw_Data!G772</f>
        <v/>
      </c>
      <c r="H772">
        <f>Raw_Data!H772</f>
        <v/>
      </c>
      <c r="I772">
        <f>Raw_Data!I772</f>
        <v/>
      </c>
      <c r="J772" s="12">
        <f>Raw_Data!J772</f>
        <v/>
      </c>
      <c r="K772" s="13">
        <f>Raw_Data!K772</f>
        <v/>
      </c>
      <c r="L772" s="12">
        <f>Raw_Data!L772</f>
        <v/>
      </c>
      <c r="M772" s="12">
        <f>Raw_Data!M772</f>
        <v/>
      </c>
      <c r="N772" s="12">
        <f>Raw_Data!N772</f>
        <v/>
      </c>
      <c r="O772">
        <f>Raw_Data!O772</f>
        <v/>
      </c>
      <c r="P772">
        <f>Raw_Data!P772</f>
        <v/>
      </c>
      <c r="Q772">
        <f>YEAR(B772)</f>
        <v/>
      </c>
      <c r="R772">
        <f>TEXT(B772,"mmm")</f>
        <v/>
      </c>
      <c r="S772" s="15">
        <f>IFERROR(N772/L772,0)</f>
        <v/>
      </c>
    </row>
    <row r="773">
      <c r="A773">
        <f>Raw_Data!A773</f>
        <v/>
      </c>
      <c r="B773" s="11">
        <f>Raw_Data!B773</f>
        <v/>
      </c>
      <c r="C773">
        <f>Raw_Data!C773</f>
        <v/>
      </c>
      <c r="D773">
        <f>Raw_Data!D773</f>
        <v/>
      </c>
      <c r="E773">
        <f>Raw_Data!E773</f>
        <v/>
      </c>
      <c r="F773">
        <f>Raw_Data!F773</f>
        <v/>
      </c>
      <c r="G773">
        <f>Raw_Data!G773</f>
        <v/>
      </c>
      <c r="H773">
        <f>Raw_Data!H773</f>
        <v/>
      </c>
      <c r="I773">
        <f>Raw_Data!I773</f>
        <v/>
      </c>
      <c r="J773" s="12">
        <f>Raw_Data!J773</f>
        <v/>
      </c>
      <c r="K773" s="13">
        <f>Raw_Data!K773</f>
        <v/>
      </c>
      <c r="L773" s="12">
        <f>Raw_Data!L773</f>
        <v/>
      </c>
      <c r="M773" s="12">
        <f>Raw_Data!M773</f>
        <v/>
      </c>
      <c r="N773" s="12">
        <f>Raw_Data!N773</f>
        <v/>
      </c>
      <c r="O773">
        <f>Raw_Data!O773</f>
        <v/>
      </c>
      <c r="P773">
        <f>Raw_Data!P773</f>
        <v/>
      </c>
      <c r="Q773">
        <f>YEAR(B773)</f>
        <v/>
      </c>
      <c r="R773">
        <f>TEXT(B773,"mmm")</f>
        <v/>
      </c>
      <c r="S773" s="15">
        <f>IFERROR(N773/L773,0)</f>
        <v/>
      </c>
    </row>
    <row r="774">
      <c r="A774">
        <f>Raw_Data!A774</f>
        <v/>
      </c>
      <c r="B774" s="11">
        <f>Raw_Data!B774</f>
        <v/>
      </c>
      <c r="C774">
        <f>Raw_Data!C774</f>
        <v/>
      </c>
      <c r="D774">
        <f>Raw_Data!D774</f>
        <v/>
      </c>
      <c r="E774">
        <f>Raw_Data!E774</f>
        <v/>
      </c>
      <c r="F774">
        <f>Raw_Data!F774</f>
        <v/>
      </c>
      <c r="G774">
        <f>Raw_Data!G774</f>
        <v/>
      </c>
      <c r="H774">
        <f>Raw_Data!H774</f>
        <v/>
      </c>
      <c r="I774">
        <f>Raw_Data!I774</f>
        <v/>
      </c>
      <c r="J774" s="12">
        <f>Raw_Data!J774</f>
        <v/>
      </c>
      <c r="K774" s="13">
        <f>Raw_Data!K774</f>
        <v/>
      </c>
      <c r="L774" s="12">
        <f>Raw_Data!L774</f>
        <v/>
      </c>
      <c r="M774" s="12">
        <f>Raw_Data!M774</f>
        <v/>
      </c>
      <c r="N774" s="12">
        <f>Raw_Data!N774</f>
        <v/>
      </c>
      <c r="O774">
        <f>Raw_Data!O774</f>
        <v/>
      </c>
      <c r="P774">
        <f>Raw_Data!P774</f>
        <v/>
      </c>
      <c r="Q774">
        <f>YEAR(B774)</f>
        <v/>
      </c>
      <c r="R774">
        <f>TEXT(B774,"mmm")</f>
        <v/>
      </c>
      <c r="S774" s="15">
        <f>IFERROR(N774/L774,0)</f>
        <v/>
      </c>
    </row>
    <row r="775">
      <c r="A775">
        <f>Raw_Data!A775</f>
        <v/>
      </c>
      <c r="B775" s="11">
        <f>Raw_Data!B775</f>
        <v/>
      </c>
      <c r="C775">
        <f>Raw_Data!C775</f>
        <v/>
      </c>
      <c r="D775">
        <f>Raw_Data!D775</f>
        <v/>
      </c>
      <c r="E775">
        <f>Raw_Data!E775</f>
        <v/>
      </c>
      <c r="F775">
        <f>Raw_Data!F775</f>
        <v/>
      </c>
      <c r="G775">
        <f>Raw_Data!G775</f>
        <v/>
      </c>
      <c r="H775">
        <f>Raw_Data!H775</f>
        <v/>
      </c>
      <c r="I775">
        <f>Raw_Data!I775</f>
        <v/>
      </c>
      <c r="J775" s="12">
        <f>Raw_Data!J775</f>
        <v/>
      </c>
      <c r="K775" s="13">
        <f>Raw_Data!K775</f>
        <v/>
      </c>
      <c r="L775" s="12">
        <f>Raw_Data!L775</f>
        <v/>
      </c>
      <c r="M775" s="12">
        <f>Raw_Data!M775</f>
        <v/>
      </c>
      <c r="N775" s="12">
        <f>Raw_Data!N775</f>
        <v/>
      </c>
      <c r="O775">
        <f>Raw_Data!O775</f>
        <v/>
      </c>
      <c r="P775">
        <f>Raw_Data!P775</f>
        <v/>
      </c>
      <c r="Q775">
        <f>YEAR(B775)</f>
        <v/>
      </c>
      <c r="R775">
        <f>TEXT(B775,"mmm")</f>
        <v/>
      </c>
      <c r="S775" s="15">
        <f>IFERROR(N775/L775,0)</f>
        <v/>
      </c>
    </row>
    <row r="776">
      <c r="A776">
        <f>Raw_Data!A776</f>
        <v/>
      </c>
      <c r="B776" s="11">
        <f>Raw_Data!B776</f>
        <v/>
      </c>
      <c r="C776">
        <f>Raw_Data!C776</f>
        <v/>
      </c>
      <c r="D776">
        <f>Raw_Data!D776</f>
        <v/>
      </c>
      <c r="E776">
        <f>Raw_Data!E776</f>
        <v/>
      </c>
      <c r="F776">
        <f>Raw_Data!F776</f>
        <v/>
      </c>
      <c r="G776">
        <f>Raw_Data!G776</f>
        <v/>
      </c>
      <c r="H776">
        <f>Raw_Data!H776</f>
        <v/>
      </c>
      <c r="I776">
        <f>Raw_Data!I776</f>
        <v/>
      </c>
      <c r="J776" s="12">
        <f>Raw_Data!J776</f>
        <v/>
      </c>
      <c r="K776" s="13">
        <f>Raw_Data!K776</f>
        <v/>
      </c>
      <c r="L776" s="12">
        <f>Raw_Data!L776</f>
        <v/>
      </c>
      <c r="M776" s="12">
        <f>Raw_Data!M776</f>
        <v/>
      </c>
      <c r="N776" s="12">
        <f>Raw_Data!N776</f>
        <v/>
      </c>
      <c r="O776">
        <f>Raw_Data!O776</f>
        <v/>
      </c>
      <c r="P776">
        <f>Raw_Data!P776</f>
        <v/>
      </c>
      <c r="Q776">
        <f>YEAR(B776)</f>
        <v/>
      </c>
      <c r="R776">
        <f>TEXT(B776,"mmm")</f>
        <v/>
      </c>
      <c r="S776" s="15">
        <f>IFERROR(N776/L776,0)</f>
        <v/>
      </c>
    </row>
    <row r="777">
      <c r="A777">
        <f>Raw_Data!A777</f>
        <v/>
      </c>
      <c r="B777" s="11">
        <f>Raw_Data!B777</f>
        <v/>
      </c>
      <c r="C777">
        <f>Raw_Data!C777</f>
        <v/>
      </c>
      <c r="D777">
        <f>Raw_Data!D777</f>
        <v/>
      </c>
      <c r="E777">
        <f>Raw_Data!E777</f>
        <v/>
      </c>
      <c r="F777">
        <f>Raw_Data!F777</f>
        <v/>
      </c>
      <c r="G777">
        <f>Raw_Data!G777</f>
        <v/>
      </c>
      <c r="H777">
        <f>Raw_Data!H777</f>
        <v/>
      </c>
      <c r="I777">
        <f>Raw_Data!I777</f>
        <v/>
      </c>
      <c r="J777" s="12">
        <f>Raw_Data!J777</f>
        <v/>
      </c>
      <c r="K777" s="13">
        <f>Raw_Data!K777</f>
        <v/>
      </c>
      <c r="L777" s="12">
        <f>Raw_Data!L777</f>
        <v/>
      </c>
      <c r="M777" s="12">
        <f>Raw_Data!M777</f>
        <v/>
      </c>
      <c r="N777" s="12">
        <f>Raw_Data!N777</f>
        <v/>
      </c>
      <c r="O777">
        <f>Raw_Data!O777</f>
        <v/>
      </c>
      <c r="P777">
        <f>Raw_Data!P777</f>
        <v/>
      </c>
      <c r="Q777">
        <f>YEAR(B777)</f>
        <v/>
      </c>
      <c r="R777">
        <f>TEXT(B777,"mmm")</f>
        <v/>
      </c>
      <c r="S777" s="15">
        <f>IFERROR(N777/L777,0)</f>
        <v/>
      </c>
    </row>
    <row r="778">
      <c r="A778">
        <f>Raw_Data!A778</f>
        <v/>
      </c>
      <c r="B778" s="11">
        <f>Raw_Data!B778</f>
        <v/>
      </c>
      <c r="C778">
        <f>Raw_Data!C778</f>
        <v/>
      </c>
      <c r="D778">
        <f>Raw_Data!D778</f>
        <v/>
      </c>
      <c r="E778">
        <f>Raw_Data!E778</f>
        <v/>
      </c>
      <c r="F778">
        <f>Raw_Data!F778</f>
        <v/>
      </c>
      <c r="G778">
        <f>Raw_Data!G778</f>
        <v/>
      </c>
      <c r="H778">
        <f>Raw_Data!H778</f>
        <v/>
      </c>
      <c r="I778">
        <f>Raw_Data!I778</f>
        <v/>
      </c>
      <c r="J778" s="12">
        <f>Raw_Data!J778</f>
        <v/>
      </c>
      <c r="K778" s="13">
        <f>Raw_Data!K778</f>
        <v/>
      </c>
      <c r="L778" s="12">
        <f>Raw_Data!L778</f>
        <v/>
      </c>
      <c r="M778" s="12">
        <f>Raw_Data!M778</f>
        <v/>
      </c>
      <c r="N778" s="12">
        <f>Raw_Data!N778</f>
        <v/>
      </c>
      <c r="O778">
        <f>Raw_Data!O778</f>
        <v/>
      </c>
      <c r="P778">
        <f>Raw_Data!P778</f>
        <v/>
      </c>
      <c r="Q778">
        <f>YEAR(B778)</f>
        <v/>
      </c>
      <c r="R778">
        <f>TEXT(B778,"mmm")</f>
        <v/>
      </c>
      <c r="S778" s="15">
        <f>IFERROR(N778/L778,0)</f>
        <v/>
      </c>
    </row>
    <row r="779">
      <c r="A779">
        <f>Raw_Data!A779</f>
        <v/>
      </c>
      <c r="B779" s="11">
        <f>Raw_Data!B779</f>
        <v/>
      </c>
      <c r="C779">
        <f>Raw_Data!C779</f>
        <v/>
      </c>
      <c r="D779">
        <f>Raw_Data!D779</f>
        <v/>
      </c>
      <c r="E779">
        <f>Raw_Data!E779</f>
        <v/>
      </c>
      <c r="F779">
        <f>Raw_Data!F779</f>
        <v/>
      </c>
      <c r="G779">
        <f>Raw_Data!G779</f>
        <v/>
      </c>
      <c r="H779">
        <f>Raw_Data!H779</f>
        <v/>
      </c>
      <c r="I779">
        <f>Raw_Data!I779</f>
        <v/>
      </c>
      <c r="J779" s="12">
        <f>Raw_Data!J779</f>
        <v/>
      </c>
      <c r="K779" s="13">
        <f>Raw_Data!K779</f>
        <v/>
      </c>
      <c r="L779" s="12">
        <f>Raw_Data!L779</f>
        <v/>
      </c>
      <c r="M779" s="12">
        <f>Raw_Data!M779</f>
        <v/>
      </c>
      <c r="N779" s="12">
        <f>Raw_Data!N779</f>
        <v/>
      </c>
      <c r="O779">
        <f>Raw_Data!O779</f>
        <v/>
      </c>
      <c r="P779">
        <f>Raw_Data!P779</f>
        <v/>
      </c>
      <c r="Q779">
        <f>YEAR(B779)</f>
        <v/>
      </c>
      <c r="R779">
        <f>TEXT(B779,"mmm")</f>
        <v/>
      </c>
      <c r="S779" s="15">
        <f>IFERROR(N779/L779,0)</f>
        <v/>
      </c>
    </row>
    <row r="780">
      <c r="A780">
        <f>Raw_Data!A780</f>
        <v/>
      </c>
      <c r="B780" s="11">
        <f>Raw_Data!B780</f>
        <v/>
      </c>
      <c r="C780">
        <f>Raw_Data!C780</f>
        <v/>
      </c>
      <c r="D780">
        <f>Raw_Data!D780</f>
        <v/>
      </c>
      <c r="E780">
        <f>Raw_Data!E780</f>
        <v/>
      </c>
      <c r="F780">
        <f>Raw_Data!F780</f>
        <v/>
      </c>
      <c r="G780">
        <f>Raw_Data!G780</f>
        <v/>
      </c>
      <c r="H780">
        <f>Raw_Data!H780</f>
        <v/>
      </c>
      <c r="I780">
        <f>Raw_Data!I780</f>
        <v/>
      </c>
      <c r="J780" s="12">
        <f>Raw_Data!J780</f>
        <v/>
      </c>
      <c r="K780" s="13">
        <f>Raw_Data!K780</f>
        <v/>
      </c>
      <c r="L780" s="12">
        <f>Raw_Data!L780</f>
        <v/>
      </c>
      <c r="M780" s="12">
        <f>Raw_Data!M780</f>
        <v/>
      </c>
      <c r="N780" s="12">
        <f>Raw_Data!N780</f>
        <v/>
      </c>
      <c r="O780">
        <f>Raw_Data!O780</f>
        <v/>
      </c>
      <c r="P780">
        <f>Raw_Data!P780</f>
        <v/>
      </c>
      <c r="Q780">
        <f>YEAR(B780)</f>
        <v/>
      </c>
      <c r="R780">
        <f>TEXT(B780,"mmm")</f>
        <v/>
      </c>
      <c r="S780" s="15">
        <f>IFERROR(N780/L780,0)</f>
        <v/>
      </c>
    </row>
    <row r="781">
      <c r="A781">
        <f>Raw_Data!A781</f>
        <v/>
      </c>
      <c r="B781" s="11">
        <f>Raw_Data!B781</f>
        <v/>
      </c>
      <c r="C781">
        <f>Raw_Data!C781</f>
        <v/>
      </c>
      <c r="D781">
        <f>Raw_Data!D781</f>
        <v/>
      </c>
      <c r="E781">
        <f>Raw_Data!E781</f>
        <v/>
      </c>
      <c r="F781">
        <f>Raw_Data!F781</f>
        <v/>
      </c>
      <c r="G781">
        <f>Raw_Data!G781</f>
        <v/>
      </c>
      <c r="H781">
        <f>Raw_Data!H781</f>
        <v/>
      </c>
      <c r="I781">
        <f>Raw_Data!I781</f>
        <v/>
      </c>
      <c r="J781" s="12">
        <f>Raw_Data!J781</f>
        <v/>
      </c>
      <c r="K781" s="13">
        <f>Raw_Data!K781</f>
        <v/>
      </c>
      <c r="L781" s="12">
        <f>Raw_Data!L781</f>
        <v/>
      </c>
      <c r="M781" s="12">
        <f>Raw_Data!M781</f>
        <v/>
      </c>
      <c r="N781" s="12">
        <f>Raw_Data!N781</f>
        <v/>
      </c>
      <c r="O781">
        <f>Raw_Data!O781</f>
        <v/>
      </c>
      <c r="P781">
        <f>Raw_Data!P781</f>
        <v/>
      </c>
      <c r="Q781">
        <f>YEAR(B781)</f>
        <v/>
      </c>
      <c r="R781">
        <f>TEXT(B781,"mmm")</f>
        <v/>
      </c>
      <c r="S781" s="15">
        <f>IFERROR(N781/L781,0)</f>
        <v/>
      </c>
    </row>
    <row r="782">
      <c r="A782">
        <f>Raw_Data!A782</f>
        <v/>
      </c>
      <c r="B782" s="11">
        <f>Raw_Data!B782</f>
        <v/>
      </c>
      <c r="C782">
        <f>Raw_Data!C782</f>
        <v/>
      </c>
      <c r="D782">
        <f>Raw_Data!D782</f>
        <v/>
      </c>
      <c r="E782">
        <f>Raw_Data!E782</f>
        <v/>
      </c>
      <c r="F782">
        <f>Raw_Data!F782</f>
        <v/>
      </c>
      <c r="G782">
        <f>Raw_Data!G782</f>
        <v/>
      </c>
      <c r="H782">
        <f>Raw_Data!H782</f>
        <v/>
      </c>
      <c r="I782">
        <f>Raw_Data!I782</f>
        <v/>
      </c>
      <c r="J782" s="12">
        <f>Raw_Data!J782</f>
        <v/>
      </c>
      <c r="K782" s="13">
        <f>Raw_Data!K782</f>
        <v/>
      </c>
      <c r="L782" s="12">
        <f>Raw_Data!L782</f>
        <v/>
      </c>
      <c r="M782" s="12">
        <f>Raw_Data!M782</f>
        <v/>
      </c>
      <c r="N782" s="12">
        <f>Raw_Data!N782</f>
        <v/>
      </c>
      <c r="O782">
        <f>Raw_Data!O782</f>
        <v/>
      </c>
      <c r="P782">
        <f>Raw_Data!P782</f>
        <v/>
      </c>
      <c r="Q782">
        <f>YEAR(B782)</f>
        <v/>
      </c>
      <c r="R782">
        <f>TEXT(B782,"mmm")</f>
        <v/>
      </c>
      <c r="S782" s="15">
        <f>IFERROR(N782/L782,0)</f>
        <v/>
      </c>
    </row>
    <row r="783">
      <c r="A783">
        <f>Raw_Data!A783</f>
        <v/>
      </c>
      <c r="B783" s="11">
        <f>Raw_Data!B783</f>
        <v/>
      </c>
      <c r="C783">
        <f>Raw_Data!C783</f>
        <v/>
      </c>
      <c r="D783">
        <f>Raw_Data!D783</f>
        <v/>
      </c>
      <c r="E783">
        <f>Raw_Data!E783</f>
        <v/>
      </c>
      <c r="F783">
        <f>Raw_Data!F783</f>
        <v/>
      </c>
      <c r="G783">
        <f>Raw_Data!G783</f>
        <v/>
      </c>
      <c r="H783">
        <f>Raw_Data!H783</f>
        <v/>
      </c>
      <c r="I783">
        <f>Raw_Data!I783</f>
        <v/>
      </c>
      <c r="J783" s="12">
        <f>Raw_Data!J783</f>
        <v/>
      </c>
      <c r="K783" s="13">
        <f>Raw_Data!K783</f>
        <v/>
      </c>
      <c r="L783" s="12">
        <f>Raw_Data!L783</f>
        <v/>
      </c>
      <c r="M783" s="12">
        <f>Raw_Data!M783</f>
        <v/>
      </c>
      <c r="N783" s="12">
        <f>Raw_Data!N783</f>
        <v/>
      </c>
      <c r="O783">
        <f>Raw_Data!O783</f>
        <v/>
      </c>
      <c r="P783">
        <f>Raw_Data!P783</f>
        <v/>
      </c>
      <c r="Q783">
        <f>YEAR(B783)</f>
        <v/>
      </c>
      <c r="R783">
        <f>TEXT(B783,"mmm")</f>
        <v/>
      </c>
      <c r="S783" s="15">
        <f>IFERROR(N783/L783,0)</f>
        <v/>
      </c>
    </row>
    <row r="784">
      <c r="A784">
        <f>Raw_Data!A784</f>
        <v/>
      </c>
      <c r="B784" s="11">
        <f>Raw_Data!B784</f>
        <v/>
      </c>
      <c r="C784">
        <f>Raw_Data!C784</f>
        <v/>
      </c>
      <c r="D784">
        <f>Raw_Data!D784</f>
        <v/>
      </c>
      <c r="E784">
        <f>Raw_Data!E784</f>
        <v/>
      </c>
      <c r="F784">
        <f>Raw_Data!F784</f>
        <v/>
      </c>
      <c r="G784">
        <f>Raw_Data!G784</f>
        <v/>
      </c>
      <c r="H784">
        <f>Raw_Data!H784</f>
        <v/>
      </c>
      <c r="I784">
        <f>Raw_Data!I784</f>
        <v/>
      </c>
      <c r="J784" s="12">
        <f>Raw_Data!J784</f>
        <v/>
      </c>
      <c r="K784" s="13">
        <f>Raw_Data!K784</f>
        <v/>
      </c>
      <c r="L784" s="12">
        <f>Raw_Data!L784</f>
        <v/>
      </c>
      <c r="M784" s="12">
        <f>Raw_Data!M784</f>
        <v/>
      </c>
      <c r="N784" s="12">
        <f>Raw_Data!N784</f>
        <v/>
      </c>
      <c r="O784">
        <f>Raw_Data!O784</f>
        <v/>
      </c>
      <c r="P784">
        <f>Raw_Data!P784</f>
        <v/>
      </c>
      <c r="Q784">
        <f>YEAR(B784)</f>
        <v/>
      </c>
      <c r="R784">
        <f>TEXT(B784,"mmm")</f>
        <v/>
      </c>
      <c r="S784" s="15">
        <f>IFERROR(N784/L784,0)</f>
        <v/>
      </c>
    </row>
    <row r="785">
      <c r="A785">
        <f>Raw_Data!A785</f>
        <v/>
      </c>
      <c r="B785" s="11">
        <f>Raw_Data!B785</f>
        <v/>
      </c>
      <c r="C785">
        <f>Raw_Data!C785</f>
        <v/>
      </c>
      <c r="D785">
        <f>Raw_Data!D785</f>
        <v/>
      </c>
      <c r="E785">
        <f>Raw_Data!E785</f>
        <v/>
      </c>
      <c r="F785">
        <f>Raw_Data!F785</f>
        <v/>
      </c>
      <c r="G785">
        <f>Raw_Data!G785</f>
        <v/>
      </c>
      <c r="H785">
        <f>Raw_Data!H785</f>
        <v/>
      </c>
      <c r="I785">
        <f>Raw_Data!I785</f>
        <v/>
      </c>
      <c r="J785" s="12">
        <f>Raw_Data!J785</f>
        <v/>
      </c>
      <c r="K785" s="13">
        <f>Raw_Data!K785</f>
        <v/>
      </c>
      <c r="L785" s="12">
        <f>Raw_Data!L785</f>
        <v/>
      </c>
      <c r="M785" s="12">
        <f>Raw_Data!M785</f>
        <v/>
      </c>
      <c r="N785" s="12">
        <f>Raw_Data!N785</f>
        <v/>
      </c>
      <c r="O785">
        <f>Raw_Data!O785</f>
        <v/>
      </c>
      <c r="P785">
        <f>Raw_Data!P785</f>
        <v/>
      </c>
      <c r="Q785">
        <f>YEAR(B785)</f>
        <v/>
      </c>
      <c r="R785">
        <f>TEXT(B785,"mmm")</f>
        <v/>
      </c>
      <c r="S785" s="15">
        <f>IFERROR(N785/L785,0)</f>
        <v/>
      </c>
    </row>
    <row r="786">
      <c r="A786">
        <f>Raw_Data!A786</f>
        <v/>
      </c>
      <c r="B786" s="11">
        <f>Raw_Data!B786</f>
        <v/>
      </c>
      <c r="C786">
        <f>Raw_Data!C786</f>
        <v/>
      </c>
      <c r="D786">
        <f>Raw_Data!D786</f>
        <v/>
      </c>
      <c r="E786">
        <f>Raw_Data!E786</f>
        <v/>
      </c>
      <c r="F786">
        <f>Raw_Data!F786</f>
        <v/>
      </c>
      <c r="G786">
        <f>Raw_Data!G786</f>
        <v/>
      </c>
      <c r="H786">
        <f>Raw_Data!H786</f>
        <v/>
      </c>
      <c r="I786">
        <f>Raw_Data!I786</f>
        <v/>
      </c>
      <c r="J786" s="12">
        <f>Raw_Data!J786</f>
        <v/>
      </c>
      <c r="K786" s="13">
        <f>Raw_Data!K786</f>
        <v/>
      </c>
      <c r="L786" s="12">
        <f>Raw_Data!L786</f>
        <v/>
      </c>
      <c r="M786" s="12">
        <f>Raw_Data!M786</f>
        <v/>
      </c>
      <c r="N786" s="12">
        <f>Raw_Data!N786</f>
        <v/>
      </c>
      <c r="O786">
        <f>Raw_Data!O786</f>
        <v/>
      </c>
      <c r="P786">
        <f>Raw_Data!P786</f>
        <v/>
      </c>
      <c r="Q786">
        <f>YEAR(B786)</f>
        <v/>
      </c>
      <c r="R786">
        <f>TEXT(B786,"mmm")</f>
        <v/>
      </c>
      <c r="S786" s="15">
        <f>IFERROR(N786/L786,0)</f>
        <v/>
      </c>
    </row>
    <row r="787">
      <c r="A787">
        <f>Raw_Data!A787</f>
        <v/>
      </c>
      <c r="B787" s="11">
        <f>Raw_Data!B787</f>
        <v/>
      </c>
      <c r="C787">
        <f>Raw_Data!C787</f>
        <v/>
      </c>
      <c r="D787">
        <f>Raw_Data!D787</f>
        <v/>
      </c>
      <c r="E787">
        <f>Raw_Data!E787</f>
        <v/>
      </c>
      <c r="F787">
        <f>Raw_Data!F787</f>
        <v/>
      </c>
      <c r="G787">
        <f>Raw_Data!G787</f>
        <v/>
      </c>
      <c r="H787">
        <f>Raw_Data!H787</f>
        <v/>
      </c>
      <c r="I787">
        <f>Raw_Data!I787</f>
        <v/>
      </c>
      <c r="J787" s="12">
        <f>Raw_Data!J787</f>
        <v/>
      </c>
      <c r="K787" s="13">
        <f>Raw_Data!K787</f>
        <v/>
      </c>
      <c r="L787" s="12">
        <f>Raw_Data!L787</f>
        <v/>
      </c>
      <c r="M787" s="12">
        <f>Raw_Data!M787</f>
        <v/>
      </c>
      <c r="N787" s="12">
        <f>Raw_Data!N787</f>
        <v/>
      </c>
      <c r="O787">
        <f>Raw_Data!O787</f>
        <v/>
      </c>
      <c r="P787">
        <f>Raw_Data!P787</f>
        <v/>
      </c>
      <c r="Q787">
        <f>YEAR(B787)</f>
        <v/>
      </c>
      <c r="R787">
        <f>TEXT(B787,"mmm")</f>
        <v/>
      </c>
      <c r="S787" s="15">
        <f>IFERROR(N787/L787,0)</f>
        <v/>
      </c>
    </row>
    <row r="788">
      <c r="A788">
        <f>Raw_Data!A788</f>
        <v/>
      </c>
      <c r="B788" s="11">
        <f>Raw_Data!B788</f>
        <v/>
      </c>
      <c r="C788">
        <f>Raw_Data!C788</f>
        <v/>
      </c>
      <c r="D788">
        <f>Raw_Data!D788</f>
        <v/>
      </c>
      <c r="E788">
        <f>Raw_Data!E788</f>
        <v/>
      </c>
      <c r="F788">
        <f>Raw_Data!F788</f>
        <v/>
      </c>
      <c r="G788">
        <f>Raw_Data!G788</f>
        <v/>
      </c>
      <c r="H788">
        <f>Raw_Data!H788</f>
        <v/>
      </c>
      <c r="I788">
        <f>Raw_Data!I788</f>
        <v/>
      </c>
      <c r="J788" s="12">
        <f>Raw_Data!J788</f>
        <v/>
      </c>
      <c r="K788" s="13">
        <f>Raw_Data!K788</f>
        <v/>
      </c>
      <c r="L788" s="12">
        <f>Raw_Data!L788</f>
        <v/>
      </c>
      <c r="M788" s="12">
        <f>Raw_Data!M788</f>
        <v/>
      </c>
      <c r="N788" s="12">
        <f>Raw_Data!N788</f>
        <v/>
      </c>
      <c r="O788">
        <f>Raw_Data!O788</f>
        <v/>
      </c>
      <c r="P788">
        <f>Raw_Data!P788</f>
        <v/>
      </c>
      <c r="Q788">
        <f>YEAR(B788)</f>
        <v/>
      </c>
      <c r="R788">
        <f>TEXT(B788,"mmm")</f>
        <v/>
      </c>
      <c r="S788" s="15">
        <f>IFERROR(N788/L788,0)</f>
        <v/>
      </c>
    </row>
    <row r="789">
      <c r="A789">
        <f>Raw_Data!A789</f>
        <v/>
      </c>
      <c r="B789" s="11">
        <f>Raw_Data!B789</f>
        <v/>
      </c>
      <c r="C789">
        <f>Raw_Data!C789</f>
        <v/>
      </c>
      <c r="D789">
        <f>Raw_Data!D789</f>
        <v/>
      </c>
      <c r="E789">
        <f>Raw_Data!E789</f>
        <v/>
      </c>
      <c r="F789">
        <f>Raw_Data!F789</f>
        <v/>
      </c>
      <c r="G789">
        <f>Raw_Data!G789</f>
        <v/>
      </c>
      <c r="H789">
        <f>Raw_Data!H789</f>
        <v/>
      </c>
      <c r="I789">
        <f>Raw_Data!I789</f>
        <v/>
      </c>
      <c r="J789" s="12">
        <f>Raw_Data!J789</f>
        <v/>
      </c>
      <c r="K789" s="13">
        <f>Raw_Data!K789</f>
        <v/>
      </c>
      <c r="L789" s="12">
        <f>Raw_Data!L789</f>
        <v/>
      </c>
      <c r="M789" s="12">
        <f>Raw_Data!M789</f>
        <v/>
      </c>
      <c r="N789" s="12">
        <f>Raw_Data!N789</f>
        <v/>
      </c>
      <c r="O789">
        <f>Raw_Data!O789</f>
        <v/>
      </c>
      <c r="P789">
        <f>Raw_Data!P789</f>
        <v/>
      </c>
      <c r="Q789">
        <f>YEAR(B789)</f>
        <v/>
      </c>
      <c r="R789">
        <f>TEXT(B789,"mmm")</f>
        <v/>
      </c>
      <c r="S789" s="15">
        <f>IFERROR(N789/L789,0)</f>
        <v/>
      </c>
    </row>
    <row r="790">
      <c r="A790">
        <f>Raw_Data!A790</f>
        <v/>
      </c>
      <c r="B790" s="11">
        <f>Raw_Data!B790</f>
        <v/>
      </c>
      <c r="C790">
        <f>Raw_Data!C790</f>
        <v/>
      </c>
      <c r="D790">
        <f>Raw_Data!D790</f>
        <v/>
      </c>
      <c r="E790">
        <f>Raw_Data!E790</f>
        <v/>
      </c>
      <c r="F790">
        <f>Raw_Data!F790</f>
        <v/>
      </c>
      <c r="G790">
        <f>Raw_Data!G790</f>
        <v/>
      </c>
      <c r="H790">
        <f>Raw_Data!H790</f>
        <v/>
      </c>
      <c r="I790">
        <f>Raw_Data!I790</f>
        <v/>
      </c>
      <c r="J790" s="12">
        <f>Raw_Data!J790</f>
        <v/>
      </c>
      <c r="K790" s="13">
        <f>Raw_Data!K790</f>
        <v/>
      </c>
      <c r="L790" s="12">
        <f>Raw_Data!L790</f>
        <v/>
      </c>
      <c r="M790" s="12">
        <f>Raw_Data!M790</f>
        <v/>
      </c>
      <c r="N790" s="12">
        <f>Raw_Data!N790</f>
        <v/>
      </c>
      <c r="O790">
        <f>Raw_Data!O790</f>
        <v/>
      </c>
      <c r="P790">
        <f>Raw_Data!P790</f>
        <v/>
      </c>
      <c r="Q790">
        <f>YEAR(B790)</f>
        <v/>
      </c>
      <c r="R790">
        <f>TEXT(B790,"mmm")</f>
        <v/>
      </c>
      <c r="S790" s="15">
        <f>IFERROR(N790/L790,0)</f>
        <v/>
      </c>
    </row>
    <row r="791">
      <c r="A791">
        <f>Raw_Data!A791</f>
        <v/>
      </c>
      <c r="B791" s="11">
        <f>Raw_Data!B791</f>
        <v/>
      </c>
      <c r="C791">
        <f>Raw_Data!C791</f>
        <v/>
      </c>
      <c r="D791">
        <f>Raw_Data!D791</f>
        <v/>
      </c>
      <c r="E791">
        <f>Raw_Data!E791</f>
        <v/>
      </c>
      <c r="F791">
        <f>Raw_Data!F791</f>
        <v/>
      </c>
      <c r="G791">
        <f>Raw_Data!G791</f>
        <v/>
      </c>
      <c r="H791">
        <f>Raw_Data!H791</f>
        <v/>
      </c>
      <c r="I791">
        <f>Raw_Data!I791</f>
        <v/>
      </c>
      <c r="J791" s="12">
        <f>Raw_Data!J791</f>
        <v/>
      </c>
      <c r="K791" s="13">
        <f>Raw_Data!K791</f>
        <v/>
      </c>
      <c r="L791" s="12">
        <f>Raw_Data!L791</f>
        <v/>
      </c>
      <c r="M791" s="12">
        <f>Raw_Data!M791</f>
        <v/>
      </c>
      <c r="N791" s="12">
        <f>Raw_Data!N791</f>
        <v/>
      </c>
      <c r="O791">
        <f>Raw_Data!O791</f>
        <v/>
      </c>
      <c r="P791">
        <f>Raw_Data!P791</f>
        <v/>
      </c>
      <c r="Q791">
        <f>YEAR(B791)</f>
        <v/>
      </c>
      <c r="R791">
        <f>TEXT(B791,"mmm")</f>
        <v/>
      </c>
      <c r="S791" s="15">
        <f>IFERROR(N791/L791,0)</f>
        <v/>
      </c>
    </row>
    <row r="792">
      <c r="A792">
        <f>Raw_Data!A792</f>
        <v/>
      </c>
      <c r="B792" s="11">
        <f>Raw_Data!B792</f>
        <v/>
      </c>
      <c r="C792">
        <f>Raw_Data!C792</f>
        <v/>
      </c>
      <c r="D792">
        <f>Raw_Data!D792</f>
        <v/>
      </c>
      <c r="E792">
        <f>Raw_Data!E792</f>
        <v/>
      </c>
      <c r="F792">
        <f>Raw_Data!F792</f>
        <v/>
      </c>
      <c r="G792">
        <f>Raw_Data!G792</f>
        <v/>
      </c>
      <c r="H792">
        <f>Raw_Data!H792</f>
        <v/>
      </c>
      <c r="I792">
        <f>Raw_Data!I792</f>
        <v/>
      </c>
      <c r="J792" s="12">
        <f>Raw_Data!J792</f>
        <v/>
      </c>
      <c r="K792" s="13">
        <f>Raw_Data!K792</f>
        <v/>
      </c>
      <c r="L792" s="12">
        <f>Raw_Data!L792</f>
        <v/>
      </c>
      <c r="M792" s="12">
        <f>Raw_Data!M792</f>
        <v/>
      </c>
      <c r="N792" s="12">
        <f>Raw_Data!N792</f>
        <v/>
      </c>
      <c r="O792">
        <f>Raw_Data!O792</f>
        <v/>
      </c>
      <c r="P792">
        <f>Raw_Data!P792</f>
        <v/>
      </c>
      <c r="Q792">
        <f>YEAR(B792)</f>
        <v/>
      </c>
      <c r="R792">
        <f>TEXT(B792,"mmm")</f>
        <v/>
      </c>
      <c r="S792" s="15">
        <f>IFERROR(N792/L792,0)</f>
        <v/>
      </c>
    </row>
    <row r="793">
      <c r="A793">
        <f>Raw_Data!A793</f>
        <v/>
      </c>
      <c r="B793" s="11">
        <f>Raw_Data!B793</f>
        <v/>
      </c>
      <c r="C793">
        <f>Raw_Data!C793</f>
        <v/>
      </c>
      <c r="D793">
        <f>Raw_Data!D793</f>
        <v/>
      </c>
      <c r="E793">
        <f>Raw_Data!E793</f>
        <v/>
      </c>
      <c r="F793">
        <f>Raw_Data!F793</f>
        <v/>
      </c>
      <c r="G793">
        <f>Raw_Data!G793</f>
        <v/>
      </c>
      <c r="H793">
        <f>Raw_Data!H793</f>
        <v/>
      </c>
      <c r="I793">
        <f>Raw_Data!I793</f>
        <v/>
      </c>
      <c r="J793" s="12">
        <f>Raw_Data!J793</f>
        <v/>
      </c>
      <c r="K793" s="13">
        <f>Raw_Data!K793</f>
        <v/>
      </c>
      <c r="L793" s="12">
        <f>Raw_Data!L793</f>
        <v/>
      </c>
      <c r="M793" s="12">
        <f>Raw_Data!M793</f>
        <v/>
      </c>
      <c r="N793" s="12">
        <f>Raw_Data!N793</f>
        <v/>
      </c>
      <c r="O793">
        <f>Raw_Data!O793</f>
        <v/>
      </c>
      <c r="P793">
        <f>Raw_Data!P793</f>
        <v/>
      </c>
      <c r="Q793">
        <f>YEAR(B793)</f>
        <v/>
      </c>
      <c r="R793">
        <f>TEXT(B793,"mmm")</f>
        <v/>
      </c>
      <c r="S793" s="15">
        <f>IFERROR(N793/L793,0)</f>
        <v/>
      </c>
    </row>
    <row r="794">
      <c r="A794">
        <f>Raw_Data!A794</f>
        <v/>
      </c>
      <c r="B794" s="11">
        <f>Raw_Data!B794</f>
        <v/>
      </c>
      <c r="C794">
        <f>Raw_Data!C794</f>
        <v/>
      </c>
      <c r="D794">
        <f>Raw_Data!D794</f>
        <v/>
      </c>
      <c r="E794">
        <f>Raw_Data!E794</f>
        <v/>
      </c>
      <c r="F794">
        <f>Raw_Data!F794</f>
        <v/>
      </c>
      <c r="G794">
        <f>Raw_Data!G794</f>
        <v/>
      </c>
      <c r="H794">
        <f>Raw_Data!H794</f>
        <v/>
      </c>
      <c r="I794">
        <f>Raw_Data!I794</f>
        <v/>
      </c>
      <c r="J794" s="12">
        <f>Raw_Data!J794</f>
        <v/>
      </c>
      <c r="K794" s="13">
        <f>Raw_Data!K794</f>
        <v/>
      </c>
      <c r="L794" s="12">
        <f>Raw_Data!L794</f>
        <v/>
      </c>
      <c r="M794" s="12">
        <f>Raw_Data!M794</f>
        <v/>
      </c>
      <c r="N794" s="12">
        <f>Raw_Data!N794</f>
        <v/>
      </c>
      <c r="O794">
        <f>Raw_Data!O794</f>
        <v/>
      </c>
      <c r="P794">
        <f>Raw_Data!P794</f>
        <v/>
      </c>
      <c r="Q794">
        <f>YEAR(B794)</f>
        <v/>
      </c>
      <c r="R794">
        <f>TEXT(B794,"mmm")</f>
        <v/>
      </c>
      <c r="S794" s="15">
        <f>IFERROR(N794/L794,0)</f>
        <v/>
      </c>
    </row>
    <row r="795">
      <c r="A795">
        <f>Raw_Data!A795</f>
        <v/>
      </c>
      <c r="B795" s="11">
        <f>Raw_Data!B795</f>
        <v/>
      </c>
      <c r="C795">
        <f>Raw_Data!C795</f>
        <v/>
      </c>
      <c r="D795">
        <f>Raw_Data!D795</f>
        <v/>
      </c>
      <c r="E795">
        <f>Raw_Data!E795</f>
        <v/>
      </c>
      <c r="F795">
        <f>Raw_Data!F795</f>
        <v/>
      </c>
      <c r="G795">
        <f>Raw_Data!G795</f>
        <v/>
      </c>
      <c r="H795">
        <f>Raw_Data!H795</f>
        <v/>
      </c>
      <c r="I795">
        <f>Raw_Data!I795</f>
        <v/>
      </c>
      <c r="J795" s="12">
        <f>Raw_Data!J795</f>
        <v/>
      </c>
      <c r="K795" s="13">
        <f>Raw_Data!K795</f>
        <v/>
      </c>
      <c r="L795" s="12">
        <f>Raw_Data!L795</f>
        <v/>
      </c>
      <c r="M795" s="12">
        <f>Raw_Data!M795</f>
        <v/>
      </c>
      <c r="N795" s="12">
        <f>Raw_Data!N795</f>
        <v/>
      </c>
      <c r="O795">
        <f>Raw_Data!O795</f>
        <v/>
      </c>
      <c r="P795">
        <f>Raw_Data!P795</f>
        <v/>
      </c>
      <c r="Q795">
        <f>YEAR(B795)</f>
        <v/>
      </c>
      <c r="R795">
        <f>TEXT(B795,"mmm")</f>
        <v/>
      </c>
      <c r="S795" s="15">
        <f>IFERROR(N795/L795,0)</f>
        <v/>
      </c>
    </row>
    <row r="796">
      <c r="A796">
        <f>Raw_Data!A796</f>
        <v/>
      </c>
      <c r="B796" s="11">
        <f>Raw_Data!B796</f>
        <v/>
      </c>
      <c r="C796">
        <f>Raw_Data!C796</f>
        <v/>
      </c>
      <c r="D796">
        <f>Raw_Data!D796</f>
        <v/>
      </c>
      <c r="E796">
        <f>Raw_Data!E796</f>
        <v/>
      </c>
      <c r="F796">
        <f>Raw_Data!F796</f>
        <v/>
      </c>
      <c r="G796">
        <f>Raw_Data!G796</f>
        <v/>
      </c>
      <c r="H796">
        <f>Raw_Data!H796</f>
        <v/>
      </c>
      <c r="I796">
        <f>Raw_Data!I796</f>
        <v/>
      </c>
      <c r="J796" s="12">
        <f>Raw_Data!J796</f>
        <v/>
      </c>
      <c r="K796" s="13">
        <f>Raw_Data!K796</f>
        <v/>
      </c>
      <c r="L796" s="12">
        <f>Raw_Data!L796</f>
        <v/>
      </c>
      <c r="M796" s="12">
        <f>Raw_Data!M796</f>
        <v/>
      </c>
      <c r="N796" s="12">
        <f>Raw_Data!N796</f>
        <v/>
      </c>
      <c r="O796">
        <f>Raw_Data!O796</f>
        <v/>
      </c>
      <c r="P796">
        <f>Raw_Data!P796</f>
        <v/>
      </c>
      <c r="Q796">
        <f>YEAR(B796)</f>
        <v/>
      </c>
      <c r="R796">
        <f>TEXT(B796,"mmm")</f>
        <v/>
      </c>
      <c r="S796" s="15">
        <f>IFERROR(N796/L796,0)</f>
        <v/>
      </c>
    </row>
    <row r="797">
      <c r="A797">
        <f>Raw_Data!A797</f>
        <v/>
      </c>
      <c r="B797" s="11">
        <f>Raw_Data!B797</f>
        <v/>
      </c>
      <c r="C797">
        <f>Raw_Data!C797</f>
        <v/>
      </c>
      <c r="D797">
        <f>Raw_Data!D797</f>
        <v/>
      </c>
      <c r="E797">
        <f>Raw_Data!E797</f>
        <v/>
      </c>
      <c r="F797">
        <f>Raw_Data!F797</f>
        <v/>
      </c>
      <c r="G797">
        <f>Raw_Data!G797</f>
        <v/>
      </c>
      <c r="H797">
        <f>Raw_Data!H797</f>
        <v/>
      </c>
      <c r="I797">
        <f>Raw_Data!I797</f>
        <v/>
      </c>
      <c r="J797" s="12">
        <f>Raw_Data!J797</f>
        <v/>
      </c>
      <c r="K797" s="13">
        <f>Raw_Data!K797</f>
        <v/>
      </c>
      <c r="L797" s="12">
        <f>Raw_Data!L797</f>
        <v/>
      </c>
      <c r="M797" s="12">
        <f>Raw_Data!M797</f>
        <v/>
      </c>
      <c r="N797" s="12">
        <f>Raw_Data!N797</f>
        <v/>
      </c>
      <c r="O797">
        <f>Raw_Data!O797</f>
        <v/>
      </c>
      <c r="P797">
        <f>Raw_Data!P797</f>
        <v/>
      </c>
      <c r="Q797">
        <f>YEAR(B797)</f>
        <v/>
      </c>
      <c r="R797">
        <f>TEXT(B797,"mmm")</f>
        <v/>
      </c>
      <c r="S797" s="15">
        <f>IFERROR(N797/L797,0)</f>
        <v/>
      </c>
    </row>
    <row r="798">
      <c r="A798">
        <f>Raw_Data!A798</f>
        <v/>
      </c>
      <c r="B798" s="11">
        <f>Raw_Data!B798</f>
        <v/>
      </c>
      <c r="C798">
        <f>Raw_Data!C798</f>
        <v/>
      </c>
      <c r="D798">
        <f>Raw_Data!D798</f>
        <v/>
      </c>
      <c r="E798">
        <f>Raw_Data!E798</f>
        <v/>
      </c>
      <c r="F798">
        <f>Raw_Data!F798</f>
        <v/>
      </c>
      <c r="G798">
        <f>Raw_Data!G798</f>
        <v/>
      </c>
      <c r="H798">
        <f>Raw_Data!H798</f>
        <v/>
      </c>
      <c r="I798">
        <f>Raw_Data!I798</f>
        <v/>
      </c>
      <c r="J798" s="12">
        <f>Raw_Data!J798</f>
        <v/>
      </c>
      <c r="K798" s="13">
        <f>Raw_Data!K798</f>
        <v/>
      </c>
      <c r="L798" s="12">
        <f>Raw_Data!L798</f>
        <v/>
      </c>
      <c r="M798" s="12">
        <f>Raw_Data!M798</f>
        <v/>
      </c>
      <c r="N798" s="12">
        <f>Raw_Data!N798</f>
        <v/>
      </c>
      <c r="O798">
        <f>Raw_Data!O798</f>
        <v/>
      </c>
      <c r="P798">
        <f>Raw_Data!P798</f>
        <v/>
      </c>
      <c r="Q798">
        <f>YEAR(B798)</f>
        <v/>
      </c>
      <c r="R798">
        <f>TEXT(B798,"mmm")</f>
        <v/>
      </c>
      <c r="S798" s="15">
        <f>IFERROR(N798/L798,0)</f>
        <v/>
      </c>
    </row>
    <row r="799">
      <c r="A799">
        <f>Raw_Data!A799</f>
        <v/>
      </c>
      <c r="B799" s="11">
        <f>Raw_Data!B799</f>
        <v/>
      </c>
      <c r="C799">
        <f>Raw_Data!C799</f>
        <v/>
      </c>
      <c r="D799">
        <f>Raw_Data!D799</f>
        <v/>
      </c>
      <c r="E799">
        <f>Raw_Data!E799</f>
        <v/>
      </c>
      <c r="F799">
        <f>Raw_Data!F799</f>
        <v/>
      </c>
      <c r="G799">
        <f>Raw_Data!G799</f>
        <v/>
      </c>
      <c r="H799">
        <f>Raw_Data!H799</f>
        <v/>
      </c>
      <c r="I799">
        <f>Raw_Data!I799</f>
        <v/>
      </c>
      <c r="J799" s="12">
        <f>Raw_Data!J799</f>
        <v/>
      </c>
      <c r="K799" s="13">
        <f>Raw_Data!K799</f>
        <v/>
      </c>
      <c r="L799" s="12">
        <f>Raw_Data!L799</f>
        <v/>
      </c>
      <c r="M799" s="12">
        <f>Raw_Data!M799</f>
        <v/>
      </c>
      <c r="N799" s="12">
        <f>Raw_Data!N799</f>
        <v/>
      </c>
      <c r="O799">
        <f>Raw_Data!O799</f>
        <v/>
      </c>
      <c r="P799">
        <f>Raw_Data!P799</f>
        <v/>
      </c>
      <c r="Q799">
        <f>YEAR(B799)</f>
        <v/>
      </c>
      <c r="R799">
        <f>TEXT(B799,"mmm")</f>
        <v/>
      </c>
      <c r="S799" s="15">
        <f>IFERROR(N799/L799,0)</f>
        <v/>
      </c>
    </row>
    <row r="800">
      <c r="A800">
        <f>Raw_Data!A800</f>
        <v/>
      </c>
      <c r="B800" s="11">
        <f>Raw_Data!B800</f>
        <v/>
      </c>
      <c r="C800">
        <f>Raw_Data!C800</f>
        <v/>
      </c>
      <c r="D800">
        <f>Raw_Data!D800</f>
        <v/>
      </c>
      <c r="E800">
        <f>Raw_Data!E800</f>
        <v/>
      </c>
      <c r="F800">
        <f>Raw_Data!F800</f>
        <v/>
      </c>
      <c r="G800">
        <f>Raw_Data!G800</f>
        <v/>
      </c>
      <c r="H800">
        <f>Raw_Data!H800</f>
        <v/>
      </c>
      <c r="I800">
        <f>Raw_Data!I800</f>
        <v/>
      </c>
      <c r="J800" s="12">
        <f>Raw_Data!J800</f>
        <v/>
      </c>
      <c r="K800" s="13">
        <f>Raw_Data!K800</f>
        <v/>
      </c>
      <c r="L800" s="12">
        <f>Raw_Data!L800</f>
        <v/>
      </c>
      <c r="M800" s="12">
        <f>Raw_Data!M800</f>
        <v/>
      </c>
      <c r="N800" s="12">
        <f>Raw_Data!N800</f>
        <v/>
      </c>
      <c r="O800">
        <f>Raw_Data!O800</f>
        <v/>
      </c>
      <c r="P800">
        <f>Raw_Data!P800</f>
        <v/>
      </c>
      <c r="Q800">
        <f>YEAR(B800)</f>
        <v/>
      </c>
      <c r="R800">
        <f>TEXT(B800,"mmm")</f>
        <v/>
      </c>
      <c r="S800" s="15">
        <f>IFERROR(N800/L800,0)</f>
        <v/>
      </c>
    </row>
    <row r="801">
      <c r="A801">
        <f>Raw_Data!A801</f>
        <v/>
      </c>
      <c r="B801" s="11">
        <f>Raw_Data!B801</f>
        <v/>
      </c>
      <c r="C801">
        <f>Raw_Data!C801</f>
        <v/>
      </c>
      <c r="D801">
        <f>Raw_Data!D801</f>
        <v/>
      </c>
      <c r="E801">
        <f>Raw_Data!E801</f>
        <v/>
      </c>
      <c r="F801">
        <f>Raw_Data!F801</f>
        <v/>
      </c>
      <c r="G801">
        <f>Raw_Data!G801</f>
        <v/>
      </c>
      <c r="H801">
        <f>Raw_Data!H801</f>
        <v/>
      </c>
      <c r="I801">
        <f>Raw_Data!I801</f>
        <v/>
      </c>
      <c r="J801" s="12">
        <f>Raw_Data!J801</f>
        <v/>
      </c>
      <c r="K801" s="13">
        <f>Raw_Data!K801</f>
        <v/>
      </c>
      <c r="L801" s="12">
        <f>Raw_Data!L801</f>
        <v/>
      </c>
      <c r="M801" s="12">
        <f>Raw_Data!M801</f>
        <v/>
      </c>
      <c r="N801" s="12">
        <f>Raw_Data!N801</f>
        <v/>
      </c>
      <c r="O801">
        <f>Raw_Data!O801</f>
        <v/>
      </c>
      <c r="P801">
        <f>Raw_Data!P801</f>
        <v/>
      </c>
      <c r="Q801">
        <f>YEAR(B801)</f>
        <v/>
      </c>
      <c r="R801">
        <f>TEXT(B801,"mmm")</f>
        <v/>
      </c>
      <c r="S801" s="15">
        <f>IFERROR(N801/L801,0)</f>
        <v/>
      </c>
    </row>
    <row r="802">
      <c r="A802">
        <f>Raw_Data!A802</f>
        <v/>
      </c>
      <c r="B802" s="11">
        <f>Raw_Data!B802</f>
        <v/>
      </c>
      <c r="C802">
        <f>Raw_Data!C802</f>
        <v/>
      </c>
      <c r="D802">
        <f>Raw_Data!D802</f>
        <v/>
      </c>
      <c r="E802">
        <f>Raw_Data!E802</f>
        <v/>
      </c>
      <c r="F802">
        <f>Raw_Data!F802</f>
        <v/>
      </c>
      <c r="G802">
        <f>Raw_Data!G802</f>
        <v/>
      </c>
      <c r="H802">
        <f>Raw_Data!H802</f>
        <v/>
      </c>
      <c r="I802">
        <f>Raw_Data!I802</f>
        <v/>
      </c>
      <c r="J802" s="12">
        <f>Raw_Data!J802</f>
        <v/>
      </c>
      <c r="K802" s="13">
        <f>Raw_Data!K802</f>
        <v/>
      </c>
      <c r="L802" s="12">
        <f>Raw_Data!L802</f>
        <v/>
      </c>
      <c r="M802" s="12">
        <f>Raw_Data!M802</f>
        <v/>
      </c>
      <c r="N802" s="12">
        <f>Raw_Data!N802</f>
        <v/>
      </c>
      <c r="O802">
        <f>Raw_Data!O802</f>
        <v/>
      </c>
      <c r="P802">
        <f>Raw_Data!P802</f>
        <v/>
      </c>
      <c r="Q802">
        <f>YEAR(B802)</f>
        <v/>
      </c>
      <c r="R802">
        <f>TEXT(B802,"mmm")</f>
        <v/>
      </c>
      <c r="S802" s="15">
        <f>IFERROR(N802/L802,0)</f>
        <v/>
      </c>
    </row>
    <row r="803">
      <c r="A803">
        <f>Raw_Data!A803</f>
        <v/>
      </c>
      <c r="B803" s="11">
        <f>Raw_Data!B803</f>
        <v/>
      </c>
      <c r="C803">
        <f>Raw_Data!C803</f>
        <v/>
      </c>
      <c r="D803">
        <f>Raw_Data!D803</f>
        <v/>
      </c>
      <c r="E803">
        <f>Raw_Data!E803</f>
        <v/>
      </c>
      <c r="F803">
        <f>Raw_Data!F803</f>
        <v/>
      </c>
      <c r="G803">
        <f>Raw_Data!G803</f>
        <v/>
      </c>
      <c r="H803">
        <f>Raw_Data!H803</f>
        <v/>
      </c>
      <c r="I803">
        <f>Raw_Data!I803</f>
        <v/>
      </c>
      <c r="J803" s="12">
        <f>Raw_Data!J803</f>
        <v/>
      </c>
      <c r="K803" s="13">
        <f>Raw_Data!K803</f>
        <v/>
      </c>
      <c r="L803" s="12">
        <f>Raw_Data!L803</f>
        <v/>
      </c>
      <c r="M803" s="12">
        <f>Raw_Data!M803</f>
        <v/>
      </c>
      <c r="N803" s="12">
        <f>Raw_Data!N803</f>
        <v/>
      </c>
      <c r="O803">
        <f>Raw_Data!O803</f>
        <v/>
      </c>
      <c r="P803">
        <f>Raw_Data!P803</f>
        <v/>
      </c>
      <c r="Q803">
        <f>YEAR(B803)</f>
        <v/>
      </c>
      <c r="R803">
        <f>TEXT(B803,"mmm")</f>
        <v/>
      </c>
      <c r="S803" s="15">
        <f>IFERROR(N803/L803,0)</f>
        <v/>
      </c>
    </row>
    <row r="804">
      <c r="A804">
        <f>Raw_Data!A804</f>
        <v/>
      </c>
      <c r="B804" s="11">
        <f>Raw_Data!B804</f>
        <v/>
      </c>
      <c r="C804">
        <f>Raw_Data!C804</f>
        <v/>
      </c>
      <c r="D804">
        <f>Raw_Data!D804</f>
        <v/>
      </c>
      <c r="E804">
        <f>Raw_Data!E804</f>
        <v/>
      </c>
      <c r="F804">
        <f>Raw_Data!F804</f>
        <v/>
      </c>
      <c r="G804">
        <f>Raw_Data!G804</f>
        <v/>
      </c>
      <c r="H804">
        <f>Raw_Data!H804</f>
        <v/>
      </c>
      <c r="I804">
        <f>Raw_Data!I804</f>
        <v/>
      </c>
      <c r="J804" s="12">
        <f>Raw_Data!J804</f>
        <v/>
      </c>
      <c r="K804" s="13">
        <f>Raw_Data!K804</f>
        <v/>
      </c>
      <c r="L804" s="12">
        <f>Raw_Data!L804</f>
        <v/>
      </c>
      <c r="M804" s="12">
        <f>Raw_Data!M804</f>
        <v/>
      </c>
      <c r="N804" s="12">
        <f>Raw_Data!N804</f>
        <v/>
      </c>
      <c r="O804">
        <f>Raw_Data!O804</f>
        <v/>
      </c>
      <c r="P804">
        <f>Raw_Data!P804</f>
        <v/>
      </c>
      <c r="Q804">
        <f>YEAR(B804)</f>
        <v/>
      </c>
      <c r="R804">
        <f>TEXT(B804,"mmm")</f>
        <v/>
      </c>
      <c r="S804" s="15">
        <f>IFERROR(N804/L804,0)</f>
        <v/>
      </c>
    </row>
    <row r="805">
      <c r="A805">
        <f>Raw_Data!A805</f>
        <v/>
      </c>
      <c r="B805" s="11">
        <f>Raw_Data!B805</f>
        <v/>
      </c>
      <c r="C805">
        <f>Raw_Data!C805</f>
        <v/>
      </c>
      <c r="D805">
        <f>Raw_Data!D805</f>
        <v/>
      </c>
      <c r="E805">
        <f>Raw_Data!E805</f>
        <v/>
      </c>
      <c r="F805">
        <f>Raw_Data!F805</f>
        <v/>
      </c>
      <c r="G805">
        <f>Raw_Data!G805</f>
        <v/>
      </c>
      <c r="H805">
        <f>Raw_Data!H805</f>
        <v/>
      </c>
      <c r="I805">
        <f>Raw_Data!I805</f>
        <v/>
      </c>
      <c r="J805" s="12">
        <f>Raw_Data!J805</f>
        <v/>
      </c>
      <c r="K805" s="13">
        <f>Raw_Data!K805</f>
        <v/>
      </c>
      <c r="L805" s="12">
        <f>Raw_Data!L805</f>
        <v/>
      </c>
      <c r="M805" s="12">
        <f>Raw_Data!M805</f>
        <v/>
      </c>
      <c r="N805" s="12">
        <f>Raw_Data!N805</f>
        <v/>
      </c>
      <c r="O805">
        <f>Raw_Data!O805</f>
        <v/>
      </c>
      <c r="P805">
        <f>Raw_Data!P805</f>
        <v/>
      </c>
      <c r="Q805">
        <f>YEAR(B805)</f>
        <v/>
      </c>
      <c r="R805">
        <f>TEXT(B805,"mmm")</f>
        <v/>
      </c>
      <c r="S805" s="15">
        <f>IFERROR(N805/L805,0)</f>
        <v/>
      </c>
    </row>
    <row r="806">
      <c r="A806">
        <f>Raw_Data!A806</f>
        <v/>
      </c>
      <c r="B806" s="11">
        <f>Raw_Data!B806</f>
        <v/>
      </c>
      <c r="C806">
        <f>Raw_Data!C806</f>
        <v/>
      </c>
      <c r="D806">
        <f>Raw_Data!D806</f>
        <v/>
      </c>
      <c r="E806">
        <f>Raw_Data!E806</f>
        <v/>
      </c>
      <c r="F806">
        <f>Raw_Data!F806</f>
        <v/>
      </c>
      <c r="G806">
        <f>Raw_Data!G806</f>
        <v/>
      </c>
      <c r="H806">
        <f>Raw_Data!H806</f>
        <v/>
      </c>
      <c r="I806">
        <f>Raw_Data!I806</f>
        <v/>
      </c>
      <c r="J806" s="12">
        <f>Raw_Data!J806</f>
        <v/>
      </c>
      <c r="K806" s="13">
        <f>Raw_Data!K806</f>
        <v/>
      </c>
      <c r="L806" s="12">
        <f>Raw_Data!L806</f>
        <v/>
      </c>
      <c r="M806" s="12">
        <f>Raw_Data!M806</f>
        <v/>
      </c>
      <c r="N806" s="12">
        <f>Raw_Data!N806</f>
        <v/>
      </c>
      <c r="O806">
        <f>Raw_Data!O806</f>
        <v/>
      </c>
      <c r="P806">
        <f>Raw_Data!P806</f>
        <v/>
      </c>
      <c r="Q806">
        <f>YEAR(B806)</f>
        <v/>
      </c>
      <c r="R806">
        <f>TEXT(B806,"mmm")</f>
        <v/>
      </c>
      <c r="S806" s="15">
        <f>IFERROR(N806/L806,0)</f>
        <v/>
      </c>
    </row>
    <row r="807">
      <c r="A807">
        <f>Raw_Data!A807</f>
        <v/>
      </c>
      <c r="B807" s="11">
        <f>Raw_Data!B807</f>
        <v/>
      </c>
      <c r="C807">
        <f>Raw_Data!C807</f>
        <v/>
      </c>
      <c r="D807">
        <f>Raw_Data!D807</f>
        <v/>
      </c>
      <c r="E807">
        <f>Raw_Data!E807</f>
        <v/>
      </c>
      <c r="F807">
        <f>Raw_Data!F807</f>
        <v/>
      </c>
      <c r="G807">
        <f>Raw_Data!G807</f>
        <v/>
      </c>
      <c r="H807">
        <f>Raw_Data!H807</f>
        <v/>
      </c>
      <c r="I807">
        <f>Raw_Data!I807</f>
        <v/>
      </c>
      <c r="J807" s="12">
        <f>Raw_Data!J807</f>
        <v/>
      </c>
      <c r="K807" s="13">
        <f>Raw_Data!K807</f>
        <v/>
      </c>
      <c r="L807" s="12">
        <f>Raw_Data!L807</f>
        <v/>
      </c>
      <c r="M807" s="12">
        <f>Raw_Data!M807</f>
        <v/>
      </c>
      <c r="N807" s="12">
        <f>Raw_Data!N807</f>
        <v/>
      </c>
      <c r="O807">
        <f>Raw_Data!O807</f>
        <v/>
      </c>
      <c r="P807">
        <f>Raw_Data!P807</f>
        <v/>
      </c>
      <c r="Q807">
        <f>YEAR(B807)</f>
        <v/>
      </c>
      <c r="R807">
        <f>TEXT(B807,"mmm")</f>
        <v/>
      </c>
      <c r="S807" s="15">
        <f>IFERROR(N807/L807,0)</f>
        <v/>
      </c>
    </row>
    <row r="808">
      <c r="A808">
        <f>Raw_Data!A808</f>
        <v/>
      </c>
      <c r="B808" s="11">
        <f>Raw_Data!B808</f>
        <v/>
      </c>
      <c r="C808">
        <f>Raw_Data!C808</f>
        <v/>
      </c>
      <c r="D808">
        <f>Raw_Data!D808</f>
        <v/>
      </c>
      <c r="E808">
        <f>Raw_Data!E808</f>
        <v/>
      </c>
      <c r="F808">
        <f>Raw_Data!F808</f>
        <v/>
      </c>
      <c r="G808">
        <f>Raw_Data!G808</f>
        <v/>
      </c>
      <c r="H808">
        <f>Raw_Data!H808</f>
        <v/>
      </c>
      <c r="I808">
        <f>Raw_Data!I808</f>
        <v/>
      </c>
      <c r="J808" s="12">
        <f>Raw_Data!J808</f>
        <v/>
      </c>
      <c r="K808" s="13">
        <f>Raw_Data!K808</f>
        <v/>
      </c>
      <c r="L808" s="12">
        <f>Raw_Data!L808</f>
        <v/>
      </c>
      <c r="M808" s="12">
        <f>Raw_Data!M808</f>
        <v/>
      </c>
      <c r="N808" s="12">
        <f>Raw_Data!N808</f>
        <v/>
      </c>
      <c r="O808">
        <f>Raw_Data!O808</f>
        <v/>
      </c>
      <c r="P808">
        <f>Raw_Data!P808</f>
        <v/>
      </c>
      <c r="Q808">
        <f>YEAR(B808)</f>
        <v/>
      </c>
      <c r="R808">
        <f>TEXT(B808,"mmm")</f>
        <v/>
      </c>
      <c r="S808" s="15">
        <f>IFERROR(N808/L808,0)</f>
        <v/>
      </c>
    </row>
    <row r="809">
      <c r="A809">
        <f>Raw_Data!A809</f>
        <v/>
      </c>
      <c r="B809" s="11">
        <f>Raw_Data!B809</f>
        <v/>
      </c>
      <c r="C809">
        <f>Raw_Data!C809</f>
        <v/>
      </c>
      <c r="D809">
        <f>Raw_Data!D809</f>
        <v/>
      </c>
      <c r="E809">
        <f>Raw_Data!E809</f>
        <v/>
      </c>
      <c r="F809">
        <f>Raw_Data!F809</f>
        <v/>
      </c>
      <c r="G809">
        <f>Raw_Data!G809</f>
        <v/>
      </c>
      <c r="H809">
        <f>Raw_Data!H809</f>
        <v/>
      </c>
      <c r="I809">
        <f>Raw_Data!I809</f>
        <v/>
      </c>
      <c r="J809" s="12">
        <f>Raw_Data!J809</f>
        <v/>
      </c>
      <c r="K809" s="13">
        <f>Raw_Data!K809</f>
        <v/>
      </c>
      <c r="L809" s="12">
        <f>Raw_Data!L809</f>
        <v/>
      </c>
      <c r="M809" s="12">
        <f>Raw_Data!M809</f>
        <v/>
      </c>
      <c r="N809" s="12">
        <f>Raw_Data!N809</f>
        <v/>
      </c>
      <c r="O809">
        <f>Raw_Data!O809</f>
        <v/>
      </c>
      <c r="P809">
        <f>Raw_Data!P809</f>
        <v/>
      </c>
      <c r="Q809">
        <f>YEAR(B809)</f>
        <v/>
      </c>
      <c r="R809">
        <f>TEXT(B809,"mmm")</f>
        <v/>
      </c>
      <c r="S809" s="15">
        <f>IFERROR(N809/L809,0)</f>
        <v/>
      </c>
    </row>
    <row r="810">
      <c r="A810">
        <f>Raw_Data!A810</f>
        <v/>
      </c>
      <c r="B810" s="11">
        <f>Raw_Data!B810</f>
        <v/>
      </c>
      <c r="C810">
        <f>Raw_Data!C810</f>
        <v/>
      </c>
      <c r="D810">
        <f>Raw_Data!D810</f>
        <v/>
      </c>
      <c r="E810">
        <f>Raw_Data!E810</f>
        <v/>
      </c>
      <c r="F810">
        <f>Raw_Data!F810</f>
        <v/>
      </c>
      <c r="G810">
        <f>Raw_Data!G810</f>
        <v/>
      </c>
      <c r="H810">
        <f>Raw_Data!H810</f>
        <v/>
      </c>
      <c r="I810">
        <f>Raw_Data!I810</f>
        <v/>
      </c>
      <c r="J810" s="12">
        <f>Raw_Data!J810</f>
        <v/>
      </c>
      <c r="K810" s="13">
        <f>Raw_Data!K810</f>
        <v/>
      </c>
      <c r="L810" s="12">
        <f>Raw_Data!L810</f>
        <v/>
      </c>
      <c r="M810" s="12">
        <f>Raw_Data!M810</f>
        <v/>
      </c>
      <c r="N810" s="12">
        <f>Raw_Data!N810</f>
        <v/>
      </c>
      <c r="O810">
        <f>Raw_Data!O810</f>
        <v/>
      </c>
      <c r="P810">
        <f>Raw_Data!P810</f>
        <v/>
      </c>
      <c r="Q810">
        <f>YEAR(B810)</f>
        <v/>
      </c>
      <c r="R810">
        <f>TEXT(B810,"mmm")</f>
        <v/>
      </c>
      <c r="S810" s="15">
        <f>IFERROR(N810/L810,0)</f>
        <v/>
      </c>
    </row>
    <row r="811">
      <c r="A811">
        <f>Raw_Data!A811</f>
        <v/>
      </c>
      <c r="B811" s="11">
        <f>Raw_Data!B811</f>
        <v/>
      </c>
      <c r="C811">
        <f>Raw_Data!C811</f>
        <v/>
      </c>
      <c r="D811">
        <f>Raw_Data!D811</f>
        <v/>
      </c>
      <c r="E811">
        <f>Raw_Data!E811</f>
        <v/>
      </c>
      <c r="F811">
        <f>Raw_Data!F811</f>
        <v/>
      </c>
      <c r="G811">
        <f>Raw_Data!G811</f>
        <v/>
      </c>
      <c r="H811">
        <f>Raw_Data!H811</f>
        <v/>
      </c>
      <c r="I811">
        <f>Raw_Data!I811</f>
        <v/>
      </c>
      <c r="J811" s="12">
        <f>Raw_Data!J811</f>
        <v/>
      </c>
      <c r="K811" s="13">
        <f>Raw_Data!K811</f>
        <v/>
      </c>
      <c r="L811" s="12">
        <f>Raw_Data!L811</f>
        <v/>
      </c>
      <c r="M811" s="12">
        <f>Raw_Data!M811</f>
        <v/>
      </c>
      <c r="N811" s="12">
        <f>Raw_Data!N811</f>
        <v/>
      </c>
      <c r="O811">
        <f>Raw_Data!O811</f>
        <v/>
      </c>
      <c r="P811">
        <f>Raw_Data!P811</f>
        <v/>
      </c>
      <c r="Q811">
        <f>YEAR(B811)</f>
        <v/>
      </c>
      <c r="R811">
        <f>TEXT(B811,"mmm")</f>
        <v/>
      </c>
      <c r="S811" s="15">
        <f>IFERROR(N811/L811,0)</f>
        <v/>
      </c>
    </row>
    <row r="812">
      <c r="A812">
        <f>Raw_Data!A812</f>
        <v/>
      </c>
      <c r="B812" s="11">
        <f>Raw_Data!B812</f>
        <v/>
      </c>
      <c r="C812">
        <f>Raw_Data!C812</f>
        <v/>
      </c>
      <c r="D812">
        <f>Raw_Data!D812</f>
        <v/>
      </c>
      <c r="E812">
        <f>Raw_Data!E812</f>
        <v/>
      </c>
      <c r="F812">
        <f>Raw_Data!F812</f>
        <v/>
      </c>
      <c r="G812">
        <f>Raw_Data!G812</f>
        <v/>
      </c>
      <c r="H812">
        <f>Raw_Data!H812</f>
        <v/>
      </c>
      <c r="I812">
        <f>Raw_Data!I812</f>
        <v/>
      </c>
      <c r="J812" s="12">
        <f>Raw_Data!J812</f>
        <v/>
      </c>
      <c r="K812" s="13">
        <f>Raw_Data!K812</f>
        <v/>
      </c>
      <c r="L812" s="12">
        <f>Raw_Data!L812</f>
        <v/>
      </c>
      <c r="M812" s="12">
        <f>Raw_Data!M812</f>
        <v/>
      </c>
      <c r="N812" s="12">
        <f>Raw_Data!N812</f>
        <v/>
      </c>
      <c r="O812">
        <f>Raw_Data!O812</f>
        <v/>
      </c>
      <c r="P812">
        <f>Raw_Data!P812</f>
        <v/>
      </c>
      <c r="Q812">
        <f>YEAR(B812)</f>
        <v/>
      </c>
      <c r="R812">
        <f>TEXT(B812,"mmm")</f>
        <v/>
      </c>
      <c r="S812" s="15">
        <f>IFERROR(N812/L812,0)</f>
        <v/>
      </c>
    </row>
    <row r="813">
      <c r="A813">
        <f>Raw_Data!A813</f>
        <v/>
      </c>
      <c r="B813" s="11">
        <f>Raw_Data!B813</f>
        <v/>
      </c>
      <c r="C813">
        <f>Raw_Data!C813</f>
        <v/>
      </c>
      <c r="D813">
        <f>Raw_Data!D813</f>
        <v/>
      </c>
      <c r="E813">
        <f>Raw_Data!E813</f>
        <v/>
      </c>
      <c r="F813">
        <f>Raw_Data!F813</f>
        <v/>
      </c>
      <c r="G813">
        <f>Raw_Data!G813</f>
        <v/>
      </c>
      <c r="H813">
        <f>Raw_Data!H813</f>
        <v/>
      </c>
      <c r="I813">
        <f>Raw_Data!I813</f>
        <v/>
      </c>
      <c r="J813" s="12">
        <f>Raw_Data!J813</f>
        <v/>
      </c>
      <c r="K813" s="13">
        <f>Raw_Data!K813</f>
        <v/>
      </c>
      <c r="L813" s="12">
        <f>Raw_Data!L813</f>
        <v/>
      </c>
      <c r="M813" s="12">
        <f>Raw_Data!M813</f>
        <v/>
      </c>
      <c r="N813" s="12">
        <f>Raw_Data!N813</f>
        <v/>
      </c>
      <c r="O813">
        <f>Raw_Data!O813</f>
        <v/>
      </c>
      <c r="P813">
        <f>Raw_Data!P813</f>
        <v/>
      </c>
      <c r="Q813">
        <f>YEAR(B813)</f>
        <v/>
      </c>
      <c r="R813">
        <f>TEXT(B813,"mmm")</f>
        <v/>
      </c>
      <c r="S813" s="15">
        <f>IFERROR(N813/L813,0)</f>
        <v/>
      </c>
    </row>
    <row r="814">
      <c r="A814">
        <f>Raw_Data!A814</f>
        <v/>
      </c>
      <c r="B814" s="11">
        <f>Raw_Data!B814</f>
        <v/>
      </c>
      <c r="C814">
        <f>Raw_Data!C814</f>
        <v/>
      </c>
      <c r="D814">
        <f>Raw_Data!D814</f>
        <v/>
      </c>
      <c r="E814">
        <f>Raw_Data!E814</f>
        <v/>
      </c>
      <c r="F814">
        <f>Raw_Data!F814</f>
        <v/>
      </c>
      <c r="G814">
        <f>Raw_Data!G814</f>
        <v/>
      </c>
      <c r="H814">
        <f>Raw_Data!H814</f>
        <v/>
      </c>
      <c r="I814">
        <f>Raw_Data!I814</f>
        <v/>
      </c>
      <c r="J814" s="12">
        <f>Raw_Data!J814</f>
        <v/>
      </c>
      <c r="K814" s="13">
        <f>Raw_Data!K814</f>
        <v/>
      </c>
      <c r="L814" s="12">
        <f>Raw_Data!L814</f>
        <v/>
      </c>
      <c r="M814" s="12">
        <f>Raw_Data!M814</f>
        <v/>
      </c>
      <c r="N814" s="12">
        <f>Raw_Data!N814</f>
        <v/>
      </c>
      <c r="O814">
        <f>Raw_Data!O814</f>
        <v/>
      </c>
      <c r="P814">
        <f>Raw_Data!P814</f>
        <v/>
      </c>
      <c r="Q814">
        <f>YEAR(B814)</f>
        <v/>
      </c>
      <c r="R814">
        <f>TEXT(B814,"mmm")</f>
        <v/>
      </c>
      <c r="S814" s="15">
        <f>IFERROR(N814/L814,0)</f>
        <v/>
      </c>
    </row>
    <row r="815">
      <c r="A815">
        <f>Raw_Data!A815</f>
        <v/>
      </c>
      <c r="B815" s="11">
        <f>Raw_Data!B815</f>
        <v/>
      </c>
      <c r="C815">
        <f>Raw_Data!C815</f>
        <v/>
      </c>
      <c r="D815">
        <f>Raw_Data!D815</f>
        <v/>
      </c>
      <c r="E815">
        <f>Raw_Data!E815</f>
        <v/>
      </c>
      <c r="F815">
        <f>Raw_Data!F815</f>
        <v/>
      </c>
      <c r="G815">
        <f>Raw_Data!G815</f>
        <v/>
      </c>
      <c r="H815">
        <f>Raw_Data!H815</f>
        <v/>
      </c>
      <c r="I815">
        <f>Raw_Data!I815</f>
        <v/>
      </c>
      <c r="J815" s="12">
        <f>Raw_Data!J815</f>
        <v/>
      </c>
      <c r="K815" s="13">
        <f>Raw_Data!K815</f>
        <v/>
      </c>
      <c r="L815" s="12">
        <f>Raw_Data!L815</f>
        <v/>
      </c>
      <c r="M815" s="12">
        <f>Raw_Data!M815</f>
        <v/>
      </c>
      <c r="N815" s="12">
        <f>Raw_Data!N815</f>
        <v/>
      </c>
      <c r="O815">
        <f>Raw_Data!O815</f>
        <v/>
      </c>
      <c r="P815">
        <f>Raw_Data!P815</f>
        <v/>
      </c>
      <c r="Q815">
        <f>YEAR(B815)</f>
        <v/>
      </c>
      <c r="R815">
        <f>TEXT(B815,"mmm")</f>
        <v/>
      </c>
      <c r="S815" s="15">
        <f>IFERROR(N815/L815,0)</f>
        <v/>
      </c>
    </row>
    <row r="816">
      <c r="A816">
        <f>Raw_Data!A816</f>
        <v/>
      </c>
      <c r="B816" s="11">
        <f>Raw_Data!B816</f>
        <v/>
      </c>
      <c r="C816">
        <f>Raw_Data!C816</f>
        <v/>
      </c>
      <c r="D816">
        <f>Raw_Data!D816</f>
        <v/>
      </c>
      <c r="E816">
        <f>Raw_Data!E816</f>
        <v/>
      </c>
      <c r="F816">
        <f>Raw_Data!F816</f>
        <v/>
      </c>
      <c r="G816">
        <f>Raw_Data!G816</f>
        <v/>
      </c>
      <c r="H816">
        <f>Raw_Data!H816</f>
        <v/>
      </c>
      <c r="I816">
        <f>Raw_Data!I816</f>
        <v/>
      </c>
      <c r="J816" s="12">
        <f>Raw_Data!J816</f>
        <v/>
      </c>
      <c r="K816" s="13">
        <f>Raw_Data!K816</f>
        <v/>
      </c>
      <c r="L816" s="12">
        <f>Raw_Data!L816</f>
        <v/>
      </c>
      <c r="M816" s="12">
        <f>Raw_Data!M816</f>
        <v/>
      </c>
      <c r="N816" s="12">
        <f>Raw_Data!N816</f>
        <v/>
      </c>
      <c r="O816">
        <f>Raw_Data!O816</f>
        <v/>
      </c>
      <c r="P816">
        <f>Raw_Data!P816</f>
        <v/>
      </c>
      <c r="Q816">
        <f>YEAR(B816)</f>
        <v/>
      </c>
      <c r="R816">
        <f>TEXT(B816,"mmm")</f>
        <v/>
      </c>
      <c r="S816" s="15">
        <f>IFERROR(N816/L816,0)</f>
        <v/>
      </c>
    </row>
    <row r="817">
      <c r="A817">
        <f>Raw_Data!A817</f>
        <v/>
      </c>
      <c r="B817" s="11">
        <f>Raw_Data!B817</f>
        <v/>
      </c>
      <c r="C817">
        <f>Raw_Data!C817</f>
        <v/>
      </c>
      <c r="D817">
        <f>Raw_Data!D817</f>
        <v/>
      </c>
      <c r="E817">
        <f>Raw_Data!E817</f>
        <v/>
      </c>
      <c r="F817">
        <f>Raw_Data!F817</f>
        <v/>
      </c>
      <c r="G817">
        <f>Raw_Data!G817</f>
        <v/>
      </c>
      <c r="H817">
        <f>Raw_Data!H817</f>
        <v/>
      </c>
      <c r="I817">
        <f>Raw_Data!I817</f>
        <v/>
      </c>
      <c r="J817" s="12">
        <f>Raw_Data!J817</f>
        <v/>
      </c>
      <c r="K817" s="13">
        <f>Raw_Data!K817</f>
        <v/>
      </c>
      <c r="L817" s="12">
        <f>Raw_Data!L817</f>
        <v/>
      </c>
      <c r="M817" s="12">
        <f>Raw_Data!M817</f>
        <v/>
      </c>
      <c r="N817" s="12">
        <f>Raw_Data!N817</f>
        <v/>
      </c>
      <c r="O817">
        <f>Raw_Data!O817</f>
        <v/>
      </c>
      <c r="P817">
        <f>Raw_Data!P817</f>
        <v/>
      </c>
      <c r="Q817">
        <f>YEAR(B817)</f>
        <v/>
      </c>
      <c r="R817">
        <f>TEXT(B817,"mmm")</f>
        <v/>
      </c>
      <c r="S817" s="15">
        <f>IFERROR(N817/L817,0)</f>
        <v/>
      </c>
    </row>
    <row r="818">
      <c r="A818">
        <f>Raw_Data!A818</f>
        <v/>
      </c>
      <c r="B818" s="11">
        <f>Raw_Data!B818</f>
        <v/>
      </c>
      <c r="C818">
        <f>Raw_Data!C818</f>
        <v/>
      </c>
      <c r="D818">
        <f>Raw_Data!D818</f>
        <v/>
      </c>
      <c r="E818">
        <f>Raw_Data!E818</f>
        <v/>
      </c>
      <c r="F818">
        <f>Raw_Data!F818</f>
        <v/>
      </c>
      <c r="G818">
        <f>Raw_Data!G818</f>
        <v/>
      </c>
      <c r="H818">
        <f>Raw_Data!H818</f>
        <v/>
      </c>
      <c r="I818">
        <f>Raw_Data!I818</f>
        <v/>
      </c>
      <c r="J818" s="12">
        <f>Raw_Data!J818</f>
        <v/>
      </c>
      <c r="K818" s="13">
        <f>Raw_Data!K818</f>
        <v/>
      </c>
      <c r="L818" s="12">
        <f>Raw_Data!L818</f>
        <v/>
      </c>
      <c r="M818" s="12">
        <f>Raw_Data!M818</f>
        <v/>
      </c>
      <c r="N818" s="12">
        <f>Raw_Data!N818</f>
        <v/>
      </c>
      <c r="O818">
        <f>Raw_Data!O818</f>
        <v/>
      </c>
      <c r="P818">
        <f>Raw_Data!P818</f>
        <v/>
      </c>
      <c r="Q818">
        <f>YEAR(B818)</f>
        <v/>
      </c>
      <c r="R818">
        <f>TEXT(B818,"mmm")</f>
        <v/>
      </c>
      <c r="S818" s="15">
        <f>IFERROR(N818/L818,0)</f>
        <v/>
      </c>
    </row>
    <row r="819">
      <c r="A819">
        <f>Raw_Data!A819</f>
        <v/>
      </c>
      <c r="B819" s="11">
        <f>Raw_Data!B819</f>
        <v/>
      </c>
      <c r="C819">
        <f>Raw_Data!C819</f>
        <v/>
      </c>
      <c r="D819">
        <f>Raw_Data!D819</f>
        <v/>
      </c>
      <c r="E819">
        <f>Raw_Data!E819</f>
        <v/>
      </c>
      <c r="F819">
        <f>Raw_Data!F819</f>
        <v/>
      </c>
      <c r="G819">
        <f>Raw_Data!G819</f>
        <v/>
      </c>
      <c r="H819">
        <f>Raw_Data!H819</f>
        <v/>
      </c>
      <c r="I819">
        <f>Raw_Data!I819</f>
        <v/>
      </c>
      <c r="J819" s="12">
        <f>Raw_Data!J819</f>
        <v/>
      </c>
      <c r="K819" s="13">
        <f>Raw_Data!K819</f>
        <v/>
      </c>
      <c r="L819" s="12">
        <f>Raw_Data!L819</f>
        <v/>
      </c>
      <c r="M819" s="12">
        <f>Raw_Data!M819</f>
        <v/>
      </c>
      <c r="N819" s="12">
        <f>Raw_Data!N819</f>
        <v/>
      </c>
      <c r="O819">
        <f>Raw_Data!O819</f>
        <v/>
      </c>
      <c r="P819">
        <f>Raw_Data!P819</f>
        <v/>
      </c>
      <c r="Q819">
        <f>YEAR(B819)</f>
        <v/>
      </c>
      <c r="R819">
        <f>TEXT(B819,"mmm")</f>
        <v/>
      </c>
      <c r="S819" s="15">
        <f>IFERROR(N819/L819,0)</f>
        <v/>
      </c>
    </row>
    <row r="820">
      <c r="A820">
        <f>Raw_Data!A820</f>
        <v/>
      </c>
      <c r="B820" s="11">
        <f>Raw_Data!B820</f>
        <v/>
      </c>
      <c r="C820">
        <f>Raw_Data!C820</f>
        <v/>
      </c>
      <c r="D820">
        <f>Raw_Data!D820</f>
        <v/>
      </c>
      <c r="E820">
        <f>Raw_Data!E820</f>
        <v/>
      </c>
      <c r="F820">
        <f>Raw_Data!F820</f>
        <v/>
      </c>
      <c r="G820">
        <f>Raw_Data!G820</f>
        <v/>
      </c>
      <c r="H820">
        <f>Raw_Data!H820</f>
        <v/>
      </c>
      <c r="I820">
        <f>Raw_Data!I820</f>
        <v/>
      </c>
      <c r="J820" s="12">
        <f>Raw_Data!J820</f>
        <v/>
      </c>
      <c r="K820" s="13">
        <f>Raw_Data!K820</f>
        <v/>
      </c>
      <c r="L820" s="12">
        <f>Raw_Data!L820</f>
        <v/>
      </c>
      <c r="M820" s="12">
        <f>Raw_Data!M820</f>
        <v/>
      </c>
      <c r="N820" s="12">
        <f>Raw_Data!N820</f>
        <v/>
      </c>
      <c r="O820">
        <f>Raw_Data!O820</f>
        <v/>
      </c>
      <c r="P820">
        <f>Raw_Data!P820</f>
        <v/>
      </c>
      <c r="Q820">
        <f>YEAR(B820)</f>
        <v/>
      </c>
      <c r="R820">
        <f>TEXT(B820,"mmm")</f>
        <v/>
      </c>
      <c r="S820" s="15">
        <f>IFERROR(N820/L820,0)</f>
        <v/>
      </c>
    </row>
    <row r="821">
      <c r="A821">
        <f>Raw_Data!A821</f>
        <v/>
      </c>
      <c r="B821" s="11">
        <f>Raw_Data!B821</f>
        <v/>
      </c>
      <c r="C821">
        <f>Raw_Data!C821</f>
        <v/>
      </c>
      <c r="D821">
        <f>Raw_Data!D821</f>
        <v/>
      </c>
      <c r="E821">
        <f>Raw_Data!E821</f>
        <v/>
      </c>
      <c r="F821">
        <f>Raw_Data!F821</f>
        <v/>
      </c>
      <c r="G821">
        <f>Raw_Data!G821</f>
        <v/>
      </c>
      <c r="H821">
        <f>Raw_Data!H821</f>
        <v/>
      </c>
      <c r="I821">
        <f>Raw_Data!I821</f>
        <v/>
      </c>
      <c r="J821" s="12">
        <f>Raw_Data!J821</f>
        <v/>
      </c>
      <c r="K821" s="13">
        <f>Raw_Data!K821</f>
        <v/>
      </c>
      <c r="L821" s="12">
        <f>Raw_Data!L821</f>
        <v/>
      </c>
      <c r="M821" s="12">
        <f>Raw_Data!M821</f>
        <v/>
      </c>
      <c r="N821" s="12">
        <f>Raw_Data!N821</f>
        <v/>
      </c>
      <c r="O821">
        <f>Raw_Data!O821</f>
        <v/>
      </c>
      <c r="P821">
        <f>Raw_Data!P821</f>
        <v/>
      </c>
      <c r="Q821">
        <f>YEAR(B821)</f>
        <v/>
      </c>
      <c r="R821">
        <f>TEXT(B821,"mmm")</f>
        <v/>
      </c>
      <c r="S821" s="15">
        <f>IFERROR(N821/L821,0)</f>
        <v/>
      </c>
    </row>
    <row r="822">
      <c r="A822">
        <f>Raw_Data!A822</f>
        <v/>
      </c>
      <c r="B822" s="11">
        <f>Raw_Data!B822</f>
        <v/>
      </c>
      <c r="C822">
        <f>Raw_Data!C822</f>
        <v/>
      </c>
      <c r="D822">
        <f>Raw_Data!D822</f>
        <v/>
      </c>
      <c r="E822">
        <f>Raw_Data!E822</f>
        <v/>
      </c>
      <c r="F822">
        <f>Raw_Data!F822</f>
        <v/>
      </c>
      <c r="G822">
        <f>Raw_Data!G822</f>
        <v/>
      </c>
      <c r="H822">
        <f>Raw_Data!H822</f>
        <v/>
      </c>
      <c r="I822">
        <f>Raw_Data!I822</f>
        <v/>
      </c>
      <c r="J822" s="12">
        <f>Raw_Data!J822</f>
        <v/>
      </c>
      <c r="K822" s="13">
        <f>Raw_Data!K822</f>
        <v/>
      </c>
      <c r="L822" s="12">
        <f>Raw_Data!L822</f>
        <v/>
      </c>
      <c r="M822" s="12">
        <f>Raw_Data!M822</f>
        <v/>
      </c>
      <c r="N822" s="12">
        <f>Raw_Data!N822</f>
        <v/>
      </c>
      <c r="O822">
        <f>Raw_Data!O822</f>
        <v/>
      </c>
      <c r="P822">
        <f>Raw_Data!P822</f>
        <v/>
      </c>
      <c r="Q822">
        <f>YEAR(B822)</f>
        <v/>
      </c>
      <c r="R822">
        <f>TEXT(B822,"mmm")</f>
        <v/>
      </c>
      <c r="S822" s="15">
        <f>IFERROR(N822/L822,0)</f>
        <v/>
      </c>
    </row>
    <row r="823">
      <c r="A823">
        <f>Raw_Data!A823</f>
        <v/>
      </c>
      <c r="B823" s="11">
        <f>Raw_Data!B823</f>
        <v/>
      </c>
      <c r="C823">
        <f>Raw_Data!C823</f>
        <v/>
      </c>
      <c r="D823">
        <f>Raw_Data!D823</f>
        <v/>
      </c>
      <c r="E823">
        <f>Raw_Data!E823</f>
        <v/>
      </c>
      <c r="F823">
        <f>Raw_Data!F823</f>
        <v/>
      </c>
      <c r="G823">
        <f>Raw_Data!G823</f>
        <v/>
      </c>
      <c r="H823">
        <f>Raw_Data!H823</f>
        <v/>
      </c>
      <c r="I823">
        <f>Raw_Data!I823</f>
        <v/>
      </c>
      <c r="J823" s="12">
        <f>Raw_Data!J823</f>
        <v/>
      </c>
      <c r="K823" s="13">
        <f>Raw_Data!K823</f>
        <v/>
      </c>
      <c r="L823" s="12">
        <f>Raw_Data!L823</f>
        <v/>
      </c>
      <c r="M823" s="12">
        <f>Raw_Data!M823</f>
        <v/>
      </c>
      <c r="N823" s="12">
        <f>Raw_Data!N823</f>
        <v/>
      </c>
      <c r="O823">
        <f>Raw_Data!O823</f>
        <v/>
      </c>
      <c r="P823">
        <f>Raw_Data!P823</f>
        <v/>
      </c>
      <c r="Q823">
        <f>YEAR(B823)</f>
        <v/>
      </c>
      <c r="R823">
        <f>TEXT(B823,"mmm")</f>
        <v/>
      </c>
      <c r="S823" s="15">
        <f>IFERROR(N823/L823,0)</f>
        <v/>
      </c>
    </row>
    <row r="824">
      <c r="A824">
        <f>Raw_Data!A824</f>
        <v/>
      </c>
      <c r="B824" s="11">
        <f>Raw_Data!B824</f>
        <v/>
      </c>
      <c r="C824">
        <f>Raw_Data!C824</f>
        <v/>
      </c>
      <c r="D824">
        <f>Raw_Data!D824</f>
        <v/>
      </c>
      <c r="E824">
        <f>Raw_Data!E824</f>
        <v/>
      </c>
      <c r="F824">
        <f>Raw_Data!F824</f>
        <v/>
      </c>
      <c r="G824">
        <f>Raw_Data!G824</f>
        <v/>
      </c>
      <c r="H824">
        <f>Raw_Data!H824</f>
        <v/>
      </c>
      <c r="I824">
        <f>Raw_Data!I824</f>
        <v/>
      </c>
      <c r="J824" s="12">
        <f>Raw_Data!J824</f>
        <v/>
      </c>
      <c r="K824" s="13">
        <f>Raw_Data!K824</f>
        <v/>
      </c>
      <c r="L824" s="12">
        <f>Raw_Data!L824</f>
        <v/>
      </c>
      <c r="M824" s="12">
        <f>Raw_Data!M824</f>
        <v/>
      </c>
      <c r="N824" s="12">
        <f>Raw_Data!N824</f>
        <v/>
      </c>
      <c r="O824">
        <f>Raw_Data!O824</f>
        <v/>
      </c>
      <c r="P824">
        <f>Raw_Data!P824</f>
        <v/>
      </c>
      <c r="Q824">
        <f>YEAR(B824)</f>
        <v/>
      </c>
      <c r="R824">
        <f>TEXT(B824,"mmm")</f>
        <v/>
      </c>
      <c r="S824" s="15">
        <f>IFERROR(N824/L824,0)</f>
        <v/>
      </c>
    </row>
    <row r="825">
      <c r="A825">
        <f>Raw_Data!A825</f>
        <v/>
      </c>
      <c r="B825" s="11">
        <f>Raw_Data!B825</f>
        <v/>
      </c>
      <c r="C825">
        <f>Raw_Data!C825</f>
        <v/>
      </c>
      <c r="D825">
        <f>Raw_Data!D825</f>
        <v/>
      </c>
      <c r="E825">
        <f>Raw_Data!E825</f>
        <v/>
      </c>
      <c r="F825">
        <f>Raw_Data!F825</f>
        <v/>
      </c>
      <c r="G825">
        <f>Raw_Data!G825</f>
        <v/>
      </c>
      <c r="H825">
        <f>Raw_Data!H825</f>
        <v/>
      </c>
      <c r="I825">
        <f>Raw_Data!I825</f>
        <v/>
      </c>
      <c r="J825" s="12">
        <f>Raw_Data!J825</f>
        <v/>
      </c>
      <c r="K825" s="13">
        <f>Raw_Data!K825</f>
        <v/>
      </c>
      <c r="L825" s="12">
        <f>Raw_Data!L825</f>
        <v/>
      </c>
      <c r="M825" s="12">
        <f>Raw_Data!M825</f>
        <v/>
      </c>
      <c r="N825" s="12">
        <f>Raw_Data!N825</f>
        <v/>
      </c>
      <c r="O825">
        <f>Raw_Data!O825</f>
        <v/>
      </c>
      <c r="P825">
        <f>Raw_Data!P825</f>
        <v/>
      </c>
      <c r="Q825">
        <f>YEAR(B825)</f>
        <v/>
      </c>
      <c r="R825">
        <f>TEXT(B825,"mmm")</f>
        <v/>
      </c>
      <c r="S825" s="15">
        <f>IFERROR(N825/L825,0)</f>
        <v/>
      </c>
    </row>
    <row r="826">
      <c r="A826">
        <f>Raw_Data!A826</f>
        <v/>
      </c>
      <c r="B826" s="11">
        <f>Raw_Data!B826</f>
        <v/>
      </c>
      <c r="C826">
        <f>Raw_Data!C826</f>
        <v/>
      </c>
      <c r="D826">
        <f>Raw_Data!D826</f>
        <v/>
      </c>
      <c r="E826">
        <f>Raw_Data!E826</f>
        <v/>
      </c>
      <c r="F826">
        <f>Raw_Data!F826</f>
        <v/>
      </c>
      <c r="G826">
        <f>Raw_Data!G826</f>
        <v/>
      </c>
      <c r="H826">
        <f>Raw_Data!H826</f>
        <v/>
      </c>
      <c r="I826">
        <f>Raw_Data!I826</f>
        <v/>
      </c>
      <c r="J826" s="12">
        <f>Raw_Data!J826</f>
        <v/>
      </c>
      <c r="K826" s="13">
        <f>Raw_Data!K826</f>
        <v/>
      </c>
      <c r="L826" s="12">
        <f>Raw_Data!L826</f>
        <v/>
      </c>
      <c r="M826" s="12">
        <f>Raw_Data!M826</f>
        <v/>
      </c>
      <c r="N826" s="12">
        <f>Raw_Data!N826</f>
        <v/>
      </c>
      <c r="O826">
        <f>Raw_Data!O826</f>
        <v/>
      </c>
      <c r="P826">
        <f>Raw_Data!P826</f>
        <v/>
      </c>
      <c r="Q826">
        <f>YEAR(B826)</f>
        <v/>
      </c>
      <c r="R826">
        <f>TEXT(B826,"mmm")</f>
        <v/>
      </c>
      <c r="S826" s="15">
        <f>IFERROR(N826/L826,0)</f>
        <v/>
      </c>
    </row>
    <row r="827">
      <c r="A827">
        <f>Raw_Data!A827</f>
        <v/>
      </c>
      <c r="B827" s="11">
        <f>Raw_Data!B827</f>
        <v/>
      </c>
      <c r="C827">
        <f>Raw_Data!C827</f>
        <v/>
      </c>
      <c r="D827">
        <f>Raw_Data!D827</f>
        <v/>
      </c>
      <c r="E827">
        <f>Raw_Data!E827</f>
        <v/>
      </c>
      <c r="F827">
        <f>Raw_Data!F827</f>
        <v/>
      </c>
      <c r="G827">
        <f>Raw_Data!G827</f>
        <v/>
      </c>
      <c r="H827">
        <f>Raw_Data!H827</f>
        <v/>
      </c>
      <c r="I827">
        <f>Raw_Data!I827</f>
        <v/>
      </c>
      <c r="J827" s="12">
        <f>Raw_Data!J827</f>
        <v/>
      </c>
      <c r="K827" s="13">
        <f>Raw_Data!K827</f>
        <v/>
      </c>
      <c r="L827" s="12">
        <f>Raw_Data!L827</f>
        <v/>
      </c>
      <c r="M827" s="12">
        <f>Raw_Data!M827</f>
        <v/>
      </c>
      <c r="N827" s="12">
        <f>Raw_Data!N827</f>
        <v/>
      </c>
      <c r="O827">
        <f>Raw_Data!O827</f>
        <v/>
      </c>
      <c r="P827">
        <f>Raw_Data!P827</f>
        <v/>
      </c>
      <c r="Q827">
        <f>YEAR(B827)</f>
        <v/>
      </c>
      <c r="R827">
        <f>TEXT(B827,"mmm")</f>
        <v/>
      </c>
      <c r="S827" s="15">
        <f>IFERROR(N827/L827,0)</f>
        <v/>
      </c>
    </row>
    <row r="828">
      <c r="A828">
        <f>Raw_Data!A828</f>
        <v/>
      </c>
      <c r="B828" s="11">
        <f>Raw_Data!B828</f>
        <v/>
      </c>
      <c r="C828">
        <f>Raw_Data!C828</f>
        <v/>
      </c>
      <c r="D828">
        <f>Raw_Data!D828</f>
        <v/>
      </c>
      <c r="E828">
        <f>Raw_Data!E828</f>
        <v/>
      </c>
      <c r="F828">
        <f>Raw_Data!F828</f>
        <v/>
      </c>
      <c r="G828">
        <f>Raw_Data!G828</f>
        <v/>
      </c>
      <c r="H828">
        <f>Raw_Data!H828</f>
        <v/>
      </c>
      <c r="I828">
        <f>Raw_Data!I828</f>
        <v/>
      </c>
      <c r="J828" s="12">
        <f>Raw_Data!J828</f>
        <v/>
      </c>
      <c r="K828" s="13">
        <f>Raw_Data!K828</f>
        <v/>
      </c>
      <c r="L828" s="12">
        <f>Raw_Data!L828</f>
        <v/>
      </c>
      <c r="M828" s="12">
        <f>Raw_Data!M828</f>
        <v/>
      </c>
      <c r="N828" s="12">
        <f>Raw_Data!N828</f>
        <v/>
      </c>
      <c r="O828">
        <f>Raw_Data!O828</f>
        <v/>
      </c>
      <c r="P828">
        <f>Raw_Data!P828</f>
        <v/>
      </c>
      <c r="Q828">
        <f>YEAR(B828)</f>
        <v/>
      </c>
      <c r="R828">
        <f>TEXT(B828,"mmm")</f>
        <v/>
      </c>
      <c r="S828" s="15">
        <f>IFERROR(N828/L828,0)</f>
        <v/>
      </c>
    </row>
    <row r="829">
      <c r="A829">
        <f>Raw_Data!A829</f>
        <v/>
      </c>
      <c r="B829" s="11">
        <f>Raw_Data!B829</f>
        <v/>
      </c>
      <c r="C829">
        <f>Raw_Data!C829</f>
        <v/>
      </c>
      <c r="D829">
        <f>Raw_Data!D829</f>
        <v/>
      </c>
      <c r="E829">
        <f>Raw_Data!E829</f>
        <v/>
      </c>
      <c r="F829">
        <f>Raw_Data!F829</f>
        <v/>
      </c>
      <c r="G829">
        <f>Raw_Data!G829</f>
        <v/>
      </c>
      <c r="H829">
        <f>Raw_Data!H829</f>
        <v/>
      </c>
      <c r="I829">
        <f>Raw_Data!I829</f>
        <v/>
      </c>
      <c r="J829" s="12">
        <f>Raw_Data!J829</f>
        <v/>
      </c>
      <c r="K829" s="13">
        <f>Raw_Data!K829</f>
        <v/>
      </c>
      <c r="L829" s="12">
        <f>Raw_Data!L829</f>
        <v/>
      </c>
      <c r="M829" s="12">
        <f>Raw_Data!M829</f>
        <v/>
      </c>
      <c r="N829" s="12">
        <f>Raw_Data!N829</f>
        <v/>
      </c>
      <c r="O829">
        <f>Raw_Data!O829</f>
        <v/>
      </c>
      <c r="P829">
        <f>Raw_Data!P829</f>
        <v/>
      </c>
      <c r="Q829">
        <f>YEAR(B829)</f>
        <v/>
      </c>
      <c r="R829">
        <f>TEXT(B829,"mmm")</f>
        <v/>
      </c>
      <c r="S829" s="15">
        <f>IFERROR(N829/L829,0)</f>
        <v/>
      </c>
    </row>
    <row r="830">
      <c r="A830">
        <f>Raw_Data!A830</f>
        <v/>
      </c>
      <c r="B830" s="11">
        <f>Raw_Data!B830</f>
        <v/>
      </c>
      <c r="C830">
        <f>Raw_Data!C830</f>
        <v/>
      </c>
      <c r="D830">
        <f>Raw_Data!D830</f>
        <v/>
      </c>
      <c r="E830">
        <f>Raw_Data!E830</f>
        <v/>
      </c>
      <c r="F830">
        <f>Raw_Data!F830</f>
        <v/>
      </c>
      <c r="G830">
        <f>Raw_Data!G830</f>
        <v/>
      </c>
      <c r="H830">
        <f>Raw_Data!H830</f>
        <v/>
      </c>
      <c r="I830">
        <f>Raw_Data!I830</f>
        <v/>
      </c>
      <c r="J830" s="12">
        <f>Raw_Data!J830</f>
        <v/>
      </c>
      <c r="K830" s="13">
        <f>Raw_Data!K830</f>
        <v/>
      </c>
      <c r="L830" s="12">
        <f>Raw_Data!L830</f>
        <v/>
      </c>
      <c r="M830" s="12">
        <f>Raw_Data!M830</f>
        <v/>
      </c>
      <c r="N830" s="12">
        <f>Raw_Data!N830</f>
        <v/>
      </c>
      <c r="O830">
        <f>Raw_Data!O830</f>
        <v/>
      </c>
      <c r="P830">
        <f>Raw_Data!P830</f>
        <v/>
      </c>
      <c r="Q830">
        <f>YEAR(B830)</f>
        <v/>
      </c>
      <c r="R830">
        <f>TEXT(B830,"mmm")</f>
        <v/>
      </c>
      <c r="S830" s="15">
        <f>IFERROR(N830/L830,0)</f>
        <v/>
      </c>
    </row>
    <row r="831">
      <c r="A831">
        <f>Raw_Data!A831</f>
        <v/>
      </c>
      <c r="B831" s="11">
        <f>Raw_Data!B831</f>
        <v/>
      </c>
      <c r="C831">
        <f>Raw_Data!C831</f>
        <v/>
      </c>
      <c r="D831">
        <f>Raw_Data!D831</f>
        <v/>
      </c>
      <c r="E831">
        <f>Raw_Data!E831</f>
        <v/>
      </c>
      <c r="F831">
        <f>Raw_Data!F831</f>
        <v/>
      </c>
      <c r="G831">
        <f>Raw_Data!G831</f>
        <v/>
      </c>
      <c r="H831">
        <f>Raw_Data!H831</f>
        <v/>
      </c>
      <c r="I831">
        <f>Raw_Data!I831</f>
        <v/>
      </c>
      <c r="J831" s="12">
        <f>Raw_Data!J831</f>
        <v/>
      </c>
      <c r="K831" s="13">
        <f>Raw_Data!K831</f>
        <v/>
      </c>
      <c r="L831" s="12">
        <f>Raw_Data!L831</f>
        <v/>
      </c>
      <c r="M831" s="12">
        <f>Raw_Data!M831</f>
        <v/>
      </c>
      <c r="N831" s="12">
        <f>Raw_Data!N831</f>
        <v/>
      </c>
      <c r="O831">
        <f>Raw_Data!O831</f>
        <v/>
      </c>
      <c r="P831">
        <f>Raw_Data!P831</f>
        <v/>
      </c>
      <c r="Q831">
        <f>YEAR(B831)</f>
        <v/>
      </c>
      <c r="R831">
        <f>TEXT(B831,"mmm")</f>
        <v/>
      </c>
      <c r="S831" s="15">
        <f>IFERROR(N831/L831,0)</f>
        <v/>
      </c>
    </row>
    <row r="832">
      <c r="A832">
        <f>Raw_Data!A832</f>
        <v/>
      </c>
      <c r="B832" s="11">
        <f>Raw_Data!B832</f>
        <v/>
      </c>
      <c r="C832">
        <f>Raw_Data!C832</f>
        <v/>
      </c>
      <c r="D832">
        <f>Raw_Data!D832</f>
        <v/>
      </c>
      <c r="E832">
        <f>Raw_Data!E832</f>
        <v/>
      </c>
      <c r="F832">
        <f>Raw_Data!F832</f>
        <v/>
      </c>
      <c r="G832">
        <f>Raw_Data!G832</f>
        <v/>
      </c>
      <c r="H832">
        <f>Raw_Data!H832</f>
        <v/>
      </c>
      <c r="I832">
        <f>Raw_Data!I832</f>
        <v/>
      </c>
      <c r="J832" s="12">
        <f>Raw_Data!J832</f>
        <v/>
      </c>
      <c r="K832" s="13">
        <f>Raw_Data!K832</f>
        <v/>
      </c>
      <c r="L832" s="12">
        <f>Raw_Data!L832</f>
        <v/>
      </c>
      <c r="M832" s="12">
        <f>Raw_Data!M832</f>
        <v/>
      </c>
      <c r="N832" s="12">
        <f>Raw_Data!N832</f>
        <v/>
      </c>
      <c r="O832">
        <f>Raw_Data!O832</f>
        <v/>
      </c>
      <c r="P832">
        <f>Raw_Data!P832</f>
        <v/>
      </c>
      <c r="Q832">
        <f>YEAR(B832)</f>
        <v/>
      </c>
      <c r="R832">
        <f>TEXT(B832,"mmm")</f>
        <v/>
      </c>
      <c r="S832" s="15">
        <f>IFERROR(N832/L832,0)</f>
        <v/>
      </c>
    </row>
    <row r="833">
      <c r="A833">
        <f>Raw_Data!A833</f>
        <v/>
      </c>
      <c r="B833" s="11">
        <f>Raw_Data!B833</f>
        <v/>
      </c>
      <c r="C833">
        <f>Raw_Data!C833</f>
        <v/>
      </c>
      <c r="D833">
        <f>Raw_Data!D833</f>
        <v/>
      </c>
      <c r="E833">
        <f>Raw_Data!E833</f>
        <v/>
      </c>
      <c r="F833">
        <f>Raw_Data!F833</f>
        <v/>
      </c>
      <c r="G833">
        <f>Raw_Data!G833</f>
        <v/>
      </c>
      <c r="H833">
        <f>Raw_Data!H833</f>
        <v/>
      </c>
      <c r="I833">
        <f>Raw_Data!I833</f>
        <v/>
      </c>
      <c r="J833" s="12">
        <f>Raw_Data!J833</f>
        <v/>
      </c>
      <c r="K833" s="13">
        <f>Raw_Data!K833</f>
        <v/>
      </c>
      <c r="L833" s="12">
        <f>Raw_Data!L833</f>
        <v/>
      </c>
      <c r="M833" s="12">
        <f>Raw_Data!M833</f>
        <v/>
      </c>
      <c r="N833" s="12">
        <f>Raw_Data!N833</f>
        <v/>
      </c>
      <c r="O833">
        <f>Raw_Data!O833</f>
        <v/>
      </c>
      <c r="P833">
        <f>Raw_Data!P833</f>
        <v/>
      </c>
      <c r="Q833">
        <f>YEAR(B833)</f>
        <v/>
      </c>
      <c r="R833">
        <f>TEXT(B833,"mmm")</f>
        <v/>
      </c>
      <c r="S833" s="15">
        <f>IFERROR(N833/L833,0)</f>
        <v/>
      </c>
    </row>
    <row r="834">
      <c r="A834">
        <f>Raw_Data!A834</f>
        <v/>
      </c>
      <c r="B834" s="11">
        <f>Raw_Data!B834</f>
        <v/>
      </c>
      <c r="C834">
        <f>Raw_Data!C834</f>
        <v/>
      </c>
      <c r="D834">
        <f>Raw_Data!D834</f>
        <v/>
      </c>
      <c r="E834">
        <f>Raw_Data!E834</f>
        <v/>
      </c>
      <c r="F834">
        <f>Raw_Data!F834</f>
        <v/>
      </c>
      <c r="G834">
        <f>Raw_Data!G834</f>
        <v/>
      </c>
      <c r="H834">
        <f>Raw_Data!H834</f>
        <v/>
      </c>
      <c r="I834">
        <f>Raw_Data!I834</f>
        <v/>
      </c>
      <c r="J834" s="12">
        <f>Raw_Data!J834</f>
        <v/>
      </c>
      <c r="K834" s="13">
        <f>Raw_Data!K834</f>
        <v/>
      </c>
      <c r="L834" s="12">
        <f>Raw_Data!L834</f>
        <v/>
      </c>
      <c r="M834" s="12">
        <f>Raw_Data!M834</f>
        <v/>
      </c>
      <c r="N834" s="12">
        <f>Raw_Data!N834</f>
        <v/>
      </c>
      <c r="O834">
        <f>Raw_Data!O834</f>
        <v/>
      </c>
      <c r="P834">
        <f>Raw_Data!P834</f>
        <v/>
      </c>
      <c r="Q834">
        <f>YEAR(B834)</f>
        <v/>
      </c>
      <c r="R834">
        <f>TEXT(B834,"mmm")</f>
        <v/>
      </c>
      <c r="S834" s="15">
        <f>IFERROR(N834/L834,0)</f>
        <v/>
      </c>
    </row>
    <row r="835">
      <c r="A835">
        <f>Raw_Data!A835</f>
        <v/>
      </c>
      <c r="B835" s="11">
        <f>Raw_Data!B835</f>
        <v/>
      </c>
      <c r="C835">
        <f>Raw_Data!C835</f>
        <v/>
      </c>
      <c r="D835">
        <f>Raw_Data!D835</f>
        <v/>
      </c>
      <c r="E835">
        <f>Raw_Data!E835</f>
        <v/>
      </c>
      <c r="F835">
        <f>Raw_Data!F835</f>
        <v/>
      </c>
      <c r="G835">
        <f>Raw_Data!G835</f>
        <v/>
      </c>
      <c r="H835">
        <f>Raw_Data!H835</f>
        <v/>
      </c>
      <c r="I835">
        <f>Raw_Data!I835</f>
        <v/>
      </c>
      <c r="J835" s="12">
        <f>Raw_Data!J835</f>
        <v/>
      </c>
      <c r="K835" s="13">
        <f>Raw_Data!K835</f>
        <v/>
      </c>
      <c r="L835" s="12">
        <f>Raw_Data!L835</f>
        <v/>
      </c>
      <c r="M835" s="12">
        <f>Raw_Data!M835</f>
        <v/>
      </c>
      <c r="N835" s="12">
        <f>Raw_Data!N835</f>
        <v/>
      </c>
      <c r="O835">
        <f>Raw_Data!O835</f>
        <v/>
      </c>
      <c r="P835">
        <f>Raw_Data!P835</f>
        <v/>
      </c>
      <c r="Q835">
        <f>YEAR(B835)</f>
        <v/>
      </c>
      <c r="R835">
        <f>TEXT(B835,"mmm")</f>
        <v/>
      </c>
      <c r="S835" s="15">
        <f>IFERROR(N835/L835,0)</f>
        <v/>
      </c>
    </row>
    <row r="836">
      <c r="A836">
        <f>Raw_Data!A836</f>
        <v/>
      </c>
      <c r="B836" s="11">
        <f>Raw_Data!B836</f>
        <v/>
      </c>
      <c r="C836">
        <f>Raw_Data!C836</f>
        <v/>
      </c>
      <c r="D836">
        <f>Raw_Data!D836</f>
        <v/>
      </c>
      <c r="E836">
        <f>Raw_Data!E836</f>
        <v/>
      </c>
      <c r="F836">
        <f>Raw_Data!F836</f>
        <v/>
      </c>
      <c r="G836">
        <f>Raw_Data!G836</f>
        <v/>
      </c>
      <c r="H836">
        <f>Raw_Data!H836</f>
        <v/>
      </c>
      <c r="I836">
        <f>Raw_Data!I836</f>
        <v/>
      </c>
      <c r="J836" s="12">
        <f>Raw_Data!J836</f>
        <v/>
      </c>
      <c r="K836" s="13">
        <f>Raw_Data!K836</f>
        <v/>
      </c>
      <c r="L836" s="12">
        <f>Raw_Data!L836</f>
        <v/>
      </c>
      <c r="M836" s="12">
        <f>Raw_Data!M836</f>
        <v/>
      </c>
      <c r="N836" s="12">
        <f>Raw_Data!N836</f>
        <v/>
      </c>
      <c r="O836">
        <f>Raw_Data!O836</f>
        <v/>
      </c>
      <c r="P836">
        <f>Raw_Data!P836</f>
        <v/>
      </c>
      <c r="Q836">
        <f>YEAR(B836)</f>
        <v/>
      </c>
      <c r="R836">
        <f>TEXT(B836,"mmm")</f>
        <v/>
      </c>
      <c r="S836" s="15">
        <f>IFERROR(N836/L836,0)</f>
        <v/>
      </c>
    </row>
    <row r="837">
      <c r="A837">
        <f>Raw_Data!A837</f>
        <v/>
      </c>
      <c r="B837" s="11">
        <f>Raw_Data!B837</f>
        <v/>
      </c>
      <c r="C837">
        <f>Raw_Data!C837</f>
        <v/>
      </c>
      <c r="D837">
        <f>Raw_Data!D837</f>
        <v/>
      </c>
      <c r="E837">
        <f>Raw_Data!E837</f>
        <v/>
      </c>
      <c r="F837">
        <f>Raw_Data!F837</f>
        <v/>
      </c>
      <c r="G837">
        <f>Raw_Data!G837</f>
        <v/>
      </c>
      <c r="H837">
        <f>Raw_Data!H837</f>
        <v/>
      </c>
      <c r="I837">
        <f>Raw_Data!I837</f>
        <v/>
      </c>
      <c r="J837" s="12">
        <f>Raw_Data!J837</f>
        <v/>
      </c>
      <c r="K837" s="13">
        <f>Raw_Data!K837</f>
        <v/>
      </c>
      <c r="L837" s="12">
        <f>Raw_Data!L837</f>
        <v/>
      </c>
      <c r="M837" s="12">
        <f>Raw_Data!M837</f>
        <v/>
      </c>
      <c r="N837" s="12">
        <f>Raw_Data!N837</f>
        <v/>
      </c>
      <c r="O837">
        <f>Raw_Data!O837</f>
        <v/>
      </c>
      <c r="P837">
        <f>Raw_Data!P837</f>
        <v/>
      </c>
      <c r="Q837">
        <f>YEAR(B837)</f>
        <v/>
      </c>
      <c r="R837">
        <f>TEXT(B837,"mmm")</f>
        <v/>
      </c>
      <c r="S837" s="15">
        <f>IFERROR(N837/L837,0)</f>
        <v/>
      </c>
    </row>
    <row r="838">
      <c r="A838">
        <f>Raw_Data!A838</f>
        <v/>
      </c>
      <c r="B838" s="11">
        <f>Raw_Data!B838</f>
        <v/>
      </c>
      <c r="C838">
        <f>Raw_Data!C838</f>
        <v/>
      </c>
      <c r="D838">
        <f>Raw_Data!D838</f>
        <v/>
      </c>
      <c r="E838">
        <f>Raw_Data!E838</f>
        <v/>
      </c>
      <c r="F838">
        <f>Raw_Data!F838</f>
        <v/>
      </c>
      <c r="G838">
        <f>Raw_Data!G838</f>
        <v/>
      </c>
      <c r="H838">
        <f>Raw_Data!H838</f>
        <v/>
      </c>
      <c r="I838">
        <f>Raw_Data!I838</f>
        <v/>
      </c>
      <c r="J838" s="12">
        <f>Raw_Data!J838</f>
        <v/>
      </c>
      <c r="K838" s="13">
        <f>Raw_Data!K838</f>
        <v/>
      </c>
      <c r="L838" s="12">
        <f>Raw_Data!L838</f>
        <v/>
      </c>
      <c r="M838" s="12">
        <f>Raw_Data!M838</f>
        <v/>
      </c>
      <c r="N838" s="12">
        <f>Raw_Data!N838</f>
        <v/>
      </c>
      <c r="O838">
        <f>Raw_Data!O838</f>
        <v/>
      </c>
      <c r="P838">
        <f>Raw_Data!P838</f>
        <v/>
      </c>
      <c r="Q838">
        <f>YEAR(B838)</f>
        <v/>
      </c>
      <c r="R838">
        <f>TEXT(B838,"mmm")</f>
        <v/>
      </c>
      <c r="S838" s="15">
        <f>IFERROR(N838/L838,0)</f>
        <v/>
      </c>
    </row>
    <row r="839">
      <c r="A839">
        <f>Raw_Data!A839</f>
        <v/>
      </c>
      <c r="B839" s="11">
        <f>Raw_Data!B839</f>
        <v/>
      </c>
      <c r="C839">
        <f>Raw_Data!C839</f>
        <v/>
      </c>
      <c r="D839">
        <f>Raw_Data!D839</f>
        <v/>
      </c>
      <c r="E839">
        <f>Raw_Data!E839</f>
        <v/>
      </c>
      <c r="F839">
        <f>Raw_Data!F839</f>
        <v/>
      </c>
      <c r="G839">
        <f>Raw_Data!G839</f>
        <v/>
      </c>
      <c r="H839">
        <f>Raw_Data!H839</f>
        <v/>
      </c>
      <c r="I839">
        <f>Raw_Data!I839</f>
        <v/>
      </c>
      <c r="J839" s="12">
        <f>Raw_Data!J839</f>
        <v/>
      </c>
      <c r="K839" s="13">
        <f>Raw_Data!K839</f>
        <v/>
      </c>
      <c r="L839" s="12">
        <f>Raw_Data!L839</f>
        <v/>
      </c>
      <c r="M839" s="12">
        <f>Raw_Data!M839</f>
        <v/>
      </c>
      <c r="N839" s="12">
        <f>Raw_Data!N839</f>
        <v/>
      </c>
      <c r="O839">
        <f>Raw_Data!O839</f>
        <v/>
      </c>
      <c r="P839">
        <f>Raw_Data!P839</f>
        <v/>
      </c>
      <c r="Q839">
        <f>YEAR(B839)</f>
        <v/>
      </c>
      <c r="R839">
        <f>TEXT(B839,"mmm")</f>
        <v/>
      </c>
      <c r="S839" s="15">
        <f>IFERROR(N839/L839,0)</f>
        <v/>
      </c>
    </row>
    <row r="840">
      <c r="A840">
        <f>Raw_Data!A840</f>
        <v/>
      </c>
      <c r="B840" s="11">
        <f>Raw_Data!B840</f>
        <v/>
      </c>
      <c r="C840">
        <f>Raw_Data!C840</f>
        <v/>
      </c>
      <c r="D840">
        <f>Raw_Data!D840</f>
        <v/>
      </c>
      <c r="E840">
        <f>Raw_Data!E840</f>
        <v/>
      </c>
      <c r="F840">
        <f>Raw_Data!F840</f>
        <v/>
      </c>
      <c r="G840">
        <f>Raw_Data!G840</f>
        <v/>
      </c>
      <c r="H840">
        <f>Raw_Data!H840</f>
        <v/>
      </c>
      <c r="I840">
        <f>Raw_Data!I840</f>
        <v/>
      </c>
      <c r="J840" s="12">
        <f>Raw_Data!J840</f>
        <v/>
      </c>
      <c r="K840" s="13">
        <f>Raw_Data!K840</f>
        <v/>
      </c>
      <c r="L840" s="12">
        <f>Raw_Data!L840</f>
        <v/>
      </c>
      <c r="M840" s="12">
        <f>Raw_Data!M840</f>
        <v/>
      </c>
      <c r="N840" s="12">
        <f>Raw_Data!N840</f>
        <v/>
      </c>
      <c r="O840">
        <f>Raw_Data!O840</f>
        <v/>
      </c>
      <c r="P840">
        <f>Raw_Data!P840</f>
        <v/>
      </c>
      <c r="Q840">
        <f>YEAR(B840)</f>
        <v/>
      </c>
      <c r="R840">
        <f>TEXT(B840,"mmm")</f>
        <v/>
      </c>
      <c r="S840" s="15">
        <f>IFERROR(N840/L840,0)</f>
        <v/>
      </c>
    </row>
    <row r="841">
      <c r="A841">
        <f>Raw_Data!A841</f>
        <v/>
      </c>
      <c r="B841" s="11">
        <f>Raw_Data!B841</f>
        <v/>
      </c>
      <c r="C841">
        <f>Raw_Data!C841</f>
        <v/>
      </c>
      <c r="D841">
        <f>Raw_Data!D841</f>
        <v/>
      </c>
      <c r="E841">
        <f>Raw_Data!E841</f>
        <v/>
      </c>
      <c r="F841">
        <f>Raw_Data!F841</f>
        <v/>
      </c>
      <c r="G841">
        <f>Raw_Data!G841</f>
        <v/>
      </c>
      <c r="H841">
        <f>Raw_Data!H841</f>
        <v/>
      </c>
      <c r="I841">
        <f>Raw_Data!I841</f>
        <v/>
      </c>
      <c r="J841" s="12">
        <f>Raw_Data!J841</f>
        <v/>
      </c>
      <c r="K841" s="13">
        <f>Raw_Data!K841</f>
        <v/>
      </c>
      <c r="L841" s="12">
        <f>Raw_Data!L841</f>
        <v/>
      </c>
      <c r="M841" s="12">
        <f>Raw_Data!M841</f>
        <v/>
      </c>
      <c r="N841" s="12">
        <f>Raw_Data!N841</f>
        <v/>
      </c>
      <c r="O841">
        <f>Raw_Data!O841</f>
        <v/>
      </c>
      <c r="P841">
        <f>Raw_Data!P841</f>
        <v/>
      </c>
      <c r="Q841">
        <f>YEAR(B841)</f>
        <v/>
      </c>
      <c r="R841">
        <f>TEXT(B841,"mmm")</f>
        <v/>
      </c>
      <c r="S841" s="15">
        <f>IFERROR(N841/L841,0)</f>
        <v/>
      </c>
    </row>
    <row r="842">
      <c r="A842">
        <f>Raw_Data!A842</f>
        <v/>
      </c>
      <c r="B842" s="11">
        <f>Raw_Data!B842</f>
        <v/>
      </c>
      <c r="C842">
        <f>Raw_Data!C842</f>
        <v/>
      </c>
      <c r="D842">
        <f>Raw_Data!D842</f>
        <v/>
      </c>
      <c r="E842">
        <f>Raw_Data!E842</f>
        <v/>
      </c>
      <c r="F842">
        <f>Raw_Data!F842</f>
        <v/>
      </c>
      <c r="G842">
        <f>Raw_Data!G842</f>
        <v/>
      </c>
      <c r="H842">
        <f>Raw_Data!H842</f>
        <v/>
      </c>
      <c r="I842">
        <f>Raw_Data!I842</f>
        <v/>
      </c>
      <c r="J842" s="12">
        <f>Raw_Data!J842</f>
        <v/>
      </c>
      <c r="K842" s="13">
        <f>Raw_Data!K842</f>
        <v/>
      </c>
      <c r="L842" s="12">
        <f>Raw_Data!L842</f>
        <v/>
      </c>
      <c r="M842" s="12">
        <f>Raw_Data!M842</f>
        <v/>
      </c>
      <c r="N842" s="12">
        <f>Raw_Data!N842</f>
        <v/>
      </c>
      <c r="O842">
        <f>Raw_Data!O842</f>
        <v/>
      </c>
      <c r="P842">
        <f>Raw_Data!P842</f>
        <v/>
      </c>
      <c r="Q842">
        <f>YEAR(B842)</f>
        <v/>
      </c>
      <c r="R842">
        <f>TEXT(B842,"mmm")</f>
        <v/>
      </c>
      <c r="S842" s="15">
        <f>IFERROR(N842/L842,0)</f>
        <v/>
      </c>
    </row>
    <row r="843">
      <c r="A843">
        <f>Raw_Data!A843</f>
        <v/>
      </c>
      <c r="B843" s="11">
        <f>Raw_Data!B843</f>
        <v/>
      </c>
      <c r="C843">
        <f>Raw_Data!C843</f>
        <v/>
      </c>
      <c r="D843">
        <f>Raw_Data!D843</f>
        <v/>
      </c>
      <c r="E843">
        <f>Raw_Data!E843</f>
        <v/>
      </c>
      <c r="F843">
        <f>Raw_Data!F843</f>
        <v/>
      </c>
      <c r="G843">
        <f>Raw_Data!G843</f>
        <v/>
      </c>
      <c r="H843">
        <f>Raw_Data!H843</f>
        <v/>
      </c>
      <c r="I843">
        <f>Raw_Data!I843</f>
        <v/>
      </c>
      <c r="J843" s="12">
        <f>Raw_Data!J843</f>
        <v/>
      </c>
      <c r="K843" s="13">
        <f>Raw_Data!K843</f>
        <v/>
      </c>
      <c r="L843" s="12">
        <f>Raw_Data!L843</f>
        <v/>
      </c>
      <c r="M843" s="12">
        <f>Raw_Data!M843</f>
        <v/>
      </c>
      <c r="N843" s="12">
        <f>Raw_Data!N843</f>
        <v/>
      </c>
      <c r="O843">
        <f>Raw_Data!O843</f>
        <v/>
      </c>
      <c r="P843">
        <f>Raw_Data!P843</f>
        <v/>
      </c>
      <c r="Q843">
        <f>YEAR(B843)</f>
        <v/>
      </c>
      <c r="R843">
        <f>TEXT(B843,"mmm")</f>
        <v/>
      </c>
      <c r="S843" s="15">
        <f>IFERROR(N843/L843,0)</f>
        <v/>
      </c>
    </row>
    <row r="844">
      <c r="A844">
        <f>Raw_Data!A844</f>
        <v/>
      </c>
      <c r="B844" s="11">
        <f>Raw_Data!B844</f>
        <v/>
      </c>
      <c r="C844">
        <f>Raw_Data!C844</f>
        <v/>
      </c>
      <c r="D844">
        <f>Raw_Data!D844</f>
        <v/>
      </c>
      <c r="E844">
        <f>Raw_Data!E844</f>
        <v/>
      </c>
      <c r="F844">
        <f>Raw_Data!F844</f>
        <v/>
      </c>
      <c r="G844">
        <f>Raw_Data!G844</f>
        <v/>
      </c>
      <c r="H844">
        <f>Raw_Data!H844</f>
        <v/>
      </c>
      <c r="I844">
        <f>Raw_Data!I844</f>
        <v/>
      </c>
      <c r="J844" s="12">
        <f>Raw_Data!J844</f>
        <v/>
      </c>
      <c r="K844" s="13">
        <f>Raw_Data!K844</f>
        <v/>
      </c>
      <c r="L844" s="12">
        <f>Raw_Data!L844</f>
        <v/>
      </c>
      <c r="M844" s="12">
        <f>Raw_Data!M844</f>
        <v/>
      </c>
      <c r="N844" s="12">
        <f>Raw_Data!N844</f>
        <v/>
      </c>
      <c r="O844">
        <f>Raw_Data!O844</f>
        <v/>
      </c>
      <c r="P844">
        <f>Raw_Data!P844</f>
        <v/>
      </c>
      <c r="Q844">
        <f>YEAR(B844)</f>
        <v/>
      </c>
      <c r="R844">
        <f>TEXT(B844,"mmm")</f>
        <v/>
      </c>
      <c r="S844" s="15">
        <f>IFERROR(N844/L844,0)</f>
        <v/>
      </c>
    </row>
    <row r="845">
      <c r="A845">
        <f>Raw_Data!A845</f>
        <v/>
      </c>
      <c r="B845" s="11">
        <f>Raw_Data!B845</f>
        <v/>
      </c>
      <c r="C845">
        <f>Raw_Data!C845</f>
        <v/>
      </c>
      <c r="D845">
        <f>Raw_Data!D845</f>
        <v/>
      </c>
      <c r="E845">
        <f>Raw_Data!E845</f>
        <v/>
      </c>
      <c r="F845">
        <f>Raw_Data!F845</f>
        <v/>
      </c>
      <c r="G845">
        <f>Raw_Data!G845</f>
        <v/>
      </c>
      <c r="H845">
        <f>Raw_Data!H845</f>
        <v/>
      </c>
      <c r="I845">
        <f>Raw_Data!I845</f>
        <v/>
      </c>
      <c r="J845" s="12">
        <f>Raw_Data!J845</f>
        <v/>
      </c>
      <c r="K845" s="13">
        <f>Raw_Data!K845</f>
        <v/>
      </c>
      <c r="L845" s="12">
        <f>Raw_Data!L845</f>
        <v/>
      </c>
      <c r="M845" s="12">
        <f>Raw_Data!M845</f>
        <v/>
      </c>
      <c r="N845" s="12">
        <f>Raw_Data!N845</f>
        <v/>
      </c>
      <c r="O845">
        <f>Raw_Data!O845</f>
        <v/>
      </c>
      <c r="P845">
        <f>Raw_Data!P845</f>
        <v/>
      </c>
      <c r="Q845">
        <f>YEAR(B845)</f>
        <v/>
      </c>
      <c r="R845">
        <f>TEXT(B845,"mmm")</f>
        <v/>
      </c>
      <c r="S845" s="15">
        <f>IFERROR(N845/L845,0)</f>
        <v/>
      </c>
    </row>
    <row r="846">
      <c r="A846">
        <f>Raw_Data!A846</f>
        <v/>
      </c>
      <c r="B846" s="11">
        <f>Raw_Data!B846</f>
        <v/>
      </c>
      <c r="C846">
        <f>Raw_Data!C846</f>
        <v/>
      </c>
      <c r="D846">
        <f>Raw_Data!D846</f>
        <v/>
      </c>
      <c r="E846">
        <f>Raw_Data!E846</f>
        <v/>
      </c>
      <c r="F846">
        <f>Raw_Data!F846</f>
        <v/>
      </c>
      <c r="G846">
        <f>Raw_Data!G846</f>
        <v/>
      </c>
      <c r="H846">
        <f>Raw_Data!H846</f>
        <v/>
      </c>
      <c r="I846">
        <f>Raw_Data!I846</f>
        <v/>
      </c>
      <c r="J846" s="12">
        <f>Raw_Data!J846</f>
        <v/>
      </c>
      <c r="K846" s="13">
        <f>Raw_Data!K846</f>
        <v/>
      </c>
      <c r="L846" s="12">
        <f>Raw_Data!L846</f>
        <v/>
      </c>
      <c r="M846" s="12">
        <f>Raw_Data!M846</f>
        <v/>
      </c>
      <c r="N846" s="12">
        <f>Raw_Data!N846</f>
        <v/>
      </c>
      <c r="O846">
        <f>Raw_Data!O846</f>
        <v/>
      </c>
      <c r="P846">
        <f>Raw_Data!P846</f>
        <v/>
      </c>
      <c r="Q846">
        <f>YEAR(B846)</f>
        <v/>
      </c>
      <c r="R846">
        <f>TEXT(B846,"mmm")</f>
        <v/>
      </c>
      <c r="S846" s="15">
        <f>IFERROR(N846/L846,0)</f>
        <v/>
      </c>
    </row>
    <row r="847">
      <c r="A847">
        <f>Raw_Data!A847</f>
        <v/>
      </c>
      <c r="B847" s="11">
        <f>Raw_Data!B847</f>
        <v/>
      </c>
      <c r="C847">
        <f>Raw_Data!C847</f>
        <v/>
      </c>
      <c r="D847">
        <f>Raw_Data!D847</f>
        <v/>
      </c>
      <c r="E847">
        <f>Raw_Data!E847</f>
        <v/>
      </c>
      <c r="F847">
        <f>Raw_Data!F847</f>
        <v/>
      </c>
      <c r="G847">
        <f>Raw_Data!G847</f>
        <v/>
      </c>
      <c r="H847">
        <f>Raw_Data!H847</f>
        <v/>
      </c>
      <c r="I847">
        <f>Raw_Data!I847</f>
        <v/>
      </c>
      <c r="J847" s="12">
        <f>Raw_Data!J847</f>
        <v/>
      </c>
      <c r="K847" s="13">
        <f>Raw_Data!K847</f>
        <v/>
      </c>
      <c r="L847" s="12">
        <f>Raw_Data!L847</f>
        <v/>
      </c>
      <c r="M847" s="12">
        <f>Raw_Data!M847</f>
        <v/>
      </c>
      <c r="N847" s="12">
        <f>Raw_Data!N847</f>
        <v/>
      </c>
      <c r="O847">
        <f>Raw_Data!O847</f>
        <v/>
      </c>
      <c r="P847">
        <f>Raw_Data!P847</f>
        <v/>
      </c>
      <c r="Q847">
        <f>YEAR(B847)</f>
        <v/>
      </c>
      <c r="R847">
        <f>TEXT(B847,"mmm")</f>
        <v/>
      </c>
      <c r="S847" s="15">
        <f>IFERROR(N847/L847,0)</f>
        <v/>
      </c>
    </row>
    <row r="848">
      <c r="A848">
        <f>Raw_Data!A848</f>
        <v/>
      </c>
      <c r="B848" s="11">
        <f>Raw_Data!B848</f>
        <v/>
      </c>
      <c r="C848">
        <f>Raw_Data!C848</f>
        <v/>
      </c>
      <c r="D848">
        <f>Raw_Data!D848</f>
        <v/>
      </c>
      <c r="E848">
        <f>Raw_Data!E848</f>
        <v/>
      </c>
      <c r="F848">
        <f>Raw_Data!F848</f>
        <v/>
      </c>
      <c r="G848">
        <f>Raw_Data!G848</f>
        <v/>
      </c>
      <c r="H848">
        <f>Raw_Data!H848</f>
        <v/>
      </c>
      <c r="I848">
        <f>Raw_Data!I848</f>
        <v/>
      </c>
      <c r="J848" s="12">
        <f>Raw_Data!J848</f>
        <v/>
      </c>
      <c r="K848" s="13">
        <f>Raw_Data!K848</f>
        <v/>
      </c>
      <c r="L848" s="12">
        <f>Raw_Data!L848</f>
        <v/>
      </c>
      <c r="M848" s="12">
        <f>Raw_Data!M848</f>
        <v/>
      </c>
      <c r="N848" s="12">
        <f>Raw_Data!N848</f>
        <v/>
      </c>
      <c r="O848">
        <f>Raw_Data!O848</f>
        <v/>
      </c>
      <c r="P848">
        <f>Raw_Data!P848</f>
        <v/>
      </c>
      <c r="Q848">
        <f>YEAR(B848)</f>
        <v/>
      </c>
      <c r="R848">
        <f>TEXT(B848,"mmm")</f>
        <v/>
      </c>
      <c r="S848" s="15">
        <f>IFERROR(N848/L848,0)</f>
        <v/>
      </c>
    </row>
    <row r="849">
      <c r="A849">
        <f>Raw_Data!A849</f>
        <v/>
      </c>
      <c r="B849" s="11">
        <f>Raw_Data!B849</f>
        <v/>
      </c>
      <c r="C849">
        <f>Raw_Data!C849</f>
        <v/>
      </c>
      <c r="D849">
        <f>Raw_Data!D849</f>
        <v/>
      </c>
      <c r="E849">
        <f>Raw_Data!E849</f>
        <v/>
      </c>
      <c r="F849">
        <f>Raw_Data!F849</f>
        <v/>
      </c>
      <c r="G849">
        <f>Raw_Data!G849</f>
        <v/>
      </c>
      <c r="H849">
        <f>Raw_Data!H849</f>
        <v/>
      </c>
      <c r="I849">
        <f>Raw_Data!I849</f>
        <v/>
      </c>
      <c r="J849" s="12">
        <f>Raw_Data!J849</f>
        <v/>
      </c>
      <c r="K849" s="13">
        <f>Raw_Data!K849</f>
        <v/>
      </c>
      <c r="L849" s="12">
        <f>Raw_Data!L849</f>
        <v/>
      </c>
      <c r="M849" s="12">
        <f>Raw_Data!M849</f>
        <v/>
      </c>
      <c r="N849" s="12">
        <f>Raw_Data!N849</f>
        <v/>
      </c>
      <c r="O849">
        <f>Raw_Data!O849</f>
        <v/>
      </c>
      <c r="P849">
        <f>Raw_Data!P849</f>
        <v/>
      </c>
      <c r="Q849">
        <f>YEAR(B849)</f>
        <v/>
      </c>
      <c r="R849">
        <f>TEXT(B849,"mmm")</f>
        <v/>
      </c>
      <c r="S849" s="15">
        <f>IFERROR(N849/L849,0)</f>
        <v/>
      </c>
    </row>
    <row r="850">
      <c r="A850">
        <f>Raw_Data!A850</f>
        <v/>
      </c>
      <c r="B850" s="11">
        <f>Raw_Data!B850</f>
        <v/>
      </c>
      <c r="C850">
        <f>Raw_Data!C850</f>
        <v/>
      </c>
      <c r="D850">
        <f>Raw_Data!D850</f>
        <v/>
      </c>
      <c r="E850">
        <f>Raw_Data!E850</f>
        <v/>
      </c>
      <c r="F850">
        <f>Raw_Data!F850</f>
        <v/>
      </c>
      <c r="G850">
        <f>Raw_Data!G850</f>
        <v/>
      </c>
      <c r="H850">
        <f>Raw_Data!H850</f>
        <v/>
      </c>
      <c r="I850">
        <f>Raw_Data!I850</f>
        <v/>
      </c>
      <c r="J850" s="12">
        <f>Raw_Data!J850</f>
        <v/>
      </c>
      <c r="K850" s="13">
        <f>Raw_Data!K850</f>
        <v/>
      </c>
      <c r="L850" s="12">
        <f>Raw_Data!L850</f>
        <v/>
      </c>
      <c r="M850" s="12">
        <f>Raw_Data!M850</f>
        <v/>
      </c>
      <c r="N850" s="12">
        <f>Raw_Data!N850</f>
        <v/>
      </c>
      <c r="O850">
        <f>Raw_Data!O850</f>
        <v/>
      </c>
      <c r="P850">
        <f>Raw_Data!P850</f>
        <v/>
      </c>
      <c r="Q850">
        <f>YEAR(B850)</f>
        <v/>
      </c>
      <c r="R850">
        <f>TEXT(B850,"mmm")</f>
        <v/>
      </c>
      <c r="S850" s="15">
        <f>IFERROR(N850/L850,0)</f>
        <v/>
      </c>
    </row>
    <row r="851">
      <c r="A851">
        <f>Raw_Data!A851</f>
        <v/>
      </c>
      <c r="B851" s="11">
        <f>Raw_Data!B851</f>
        <v/>
      </c>
      <c r="C851">
        <f>Raw_Data!C851</f>
        <v/>
      </c>
      <c r="D851">
        <f>Raw_Data!D851</f>
        <v/>
      </c>
      <c r="E851">
        <f>Raw_Data!E851</f>
        <v/>
      </c>
      <c r="F851">
        <f>Raw_Data!F851</f>
        <v/>
      </c>
      <c r="G851">
        <f>Raw_Data!G851</f>
        <v/>
      </c>
      <c r="H851">
        <f>Raw_Data!H851</f>
        <v/>
      </c>
      <c r="I851">
        <f>Raw_Data!I851</f>
        <v/>
      </c>
      <c r="J851" s="12">
        <f>Raw_Data!J851</f>
        <v/>
      </c>
      <c r="K851" s="13">
        <f>Raw_Data!K851</f>
        <v/>
      </c>
      <c r="L851" s="12">
        <f>Raw_Data!L851</f>
        <v/>
      </c>
      <c r="M851" s="12">
        <f>Raw_Data!M851</f>
        <v/>
      </c>
      <c r="N851" s="12">
        <f>Raw_Data!N851</f>
        <v/>
      </c>
      <c r="O851">
        <f>Raw_Data!O851</f>
        <v/>
      </c>
      <c r="P851">
        <f>Raw_Data!P851</f>
        <v/>
      </c>
      <c r="Q851">
        <f>YEAR(B851)</f>
        <v/>
      </c>
      <c r="R851">
        <f>TEXT(B851,"mmm")</f>
        <v/>
      </c>
      <c r="S851" s="15">
        <f>IFERROR(N851/L851,0)</f>
        <v/>
      </c>
    </row>
    <row r="852">
      <c r="A852">
        <f>Raw_Data!A852</f>
        <v/>
      </c>
      <c r="B852" s="11">
        <f>Raw_Data!B852</f>
        <v/>
      </c>
      <c r="C852">
        <f>Raw_Data!C852</f>
        <v/>
      </c>
      <c r="D852">
        <f>Raw_Data!D852</f>
        <v/>
      </c>
      <c r="E852">
        <f>Raw_Data!E852</f>
        <v/>
      </c>
      <c r="F852">
        <f>Raw_Data!F852</f>
        <v/>
      </c>
      <c r="G852">
        <f>Raw_Data!G852</f>
        <v/>
      </c>
      <c r="H852">
        <f>Raw_Data!H852</f>
        <v/>
      </c>
      <c r="I852">
        <f>Raw_Data!I852</f>
        <v/>
      </c>
      <c r="J852" s="12">
        <f>Raw_Data!J852</f>
        <v/>
      </c>
      <c r="K852" s="13">
        <f>Raw_Data!K852</f>
        <v/>
      </c>
      <c r="L852" s="12">
        <f>Raw_Data!L852</f>
        <v/>
      </c>
      <c r="M852" s="12">
        <f>Raw_Data!M852</f>
        <v/>
      </c>
      <c r="N852" s="12">
        <f>Raw_Data!N852</f>
        <v/>
      </c>
      <c r="O852">
        <f>Raw_Data!O852</f>
        <v/>
      </c>
      <c r="P852">
        <f>Raw_Data!P852</f>
        <v/>
      </c>
      <c r="Q852">
        <f>YEAR(B852)</f>
        <v/>
      </c>
      <c r="R852">
        <f>TEXT(B852,"mmm")</f>
        <v/>
      </c>
      <c r="S852" s="15">
        <f>IFERROR(N852/L852,0)</f>
        <v/>
      </c>
    </row>
    <row r="853">
      <c r="A853">
        <f>Raw_Data!A853</f>
        <v/>
      </c>
      <c r="B853" s="11">
        <f>Raw_Data!B853</f>
        <v/>
      </c>
      <c r="C853">
        <f>Raw_Data!C853</f>
        <v/>
      </c>
      <c r="D853">
        <f>Raw_Data!D853</f>
        <v/>
      </c>
      <c r="E853">
        <f>Raw_Data!E853</f>
        <v/>
      </c>
      <c r="F853">
        <f>Raw_Data!F853</f>
        <v/>
      </c>
      <c r="G853">
        <f>Raw_Data!G853</f>
        <v/>
      </c>
      <c r="H853">
        <f>Raw_Data!H853</f>
        <v/>
      </c>
      <c r="I853">
        <f>Raw_Data!I853</f>
        <v/>
      </c>
      <c r="J853" s="12">
        <f>Raw_Data!J853</f>
        <v/>
      </c>
      <c r="K853" s="13">
        <f>Raw_Data!K853</f>
        <v/>
      </c>
      <c r="L853" s="12">
        <f>Raw_Data!L853</f>
        <v/>
      </c>
      <c r="M853" s="12">
        <f>Raw_Data!M853</f>
        <v/>
      </c>
      <c r="N853" s="12">
        <f>Raw_Data!N853</f>
        <v/>
      </c>
      <c r="O853">
        <f>Raw_Data!O853</f>
        <v/>
      </c>
      <c r="P853">
        <f>Raw_Data!P853</f>
        <v/>
      </c>
      <c r="Q853">
        <f>YEAR(B853)</f>
        <v/>
      </c>
      <c r="R853">
        <f>TEXT(B853,"mmm")</f>
        <v/>
      </c>
      <c r="S853" s="15">
        <f>IFERROR(N853/L853,0)</f>
        <v/>
      </c>
    </row>
    <row r="854">
      <c r="A854">
        <f>Raw_Data!A854</f>
        <v/>
      </c>
      <c r="B854" s="11">
        <f>Raw_Data!B854</f>
        <v/>
      </c>
      <c r="C854">
        <f>Raw_Data!C854</f>
        <v/>
      </c>
      <c r="D854">
        <f>Raw_Data!D854</f>
        <v/>
      </c>
      <c r="E854">
        <f>Raw_Data!E854</f>
        <v/>
      </c>
      <c r="F854">
        <f>Raw_Data!F854</f>
        <v/>
      </c>
      <c r="G854">
        <f>Raw_Data!G854</f>
        <v/>
      </c>
      <c r="H854">
        <f>Raw_Data!H854</f>
        <v/>
      </c>
      <c r="I854">
        <f>Raw_Data!I854</f>
        <v/>
      </c>
      <c r="J854" s="12">
        <f>Raw_Data!J854</f>
        <v/>
      </c>
      <c r="K854" s="13">
        <f>Raw_Data!K854</f>
        <v/>
      </c>
      <c r="L854" s="12">
        <f>Raw_Data!L854</f>
        <v/>
      </c>
      <c r="M854" s="12">
        <f>Raw_Data!M854</f>
        <v/>
      </c>
      <c r="N854" s="12">
        <f>Raw_Data!N854</f>
        <v/>
      </c>
      <c r="O854">
        <f>Raw_Data!O854</f>
        <v/>
      </c>
      <c r="P854">
        <f>Raw_Data!P854</f>
        <v/>
      </c>
      <c r="Q854">
        <f>YEAR(B854)</f>
        <v/>
      </c>
      <c r="R854">
        <f>TEXT(B854,"mmm")</f>
        <v/>
      </c>
      <c r="S854" s="15">
        <f>IFERROR(N854/L854,0)</f>
        <v/>
      </c>
    </row>
    <row r="855">
      <c r="A855">
        <f>Raw_Data!A855</f>
        <v/>
      </c>
      <c r="B855" s="11">
        <f>Raw_Data!B855</f>
        <v/>
      </c>
      <c r="C855">
        <f>Raw_Data!C855</f>
        <v/>
      </c>
      <c r="D855">
        <f>Raw_Data!D855</f>
        <v/>
      </c>
      <c r="E855">
        <f>Raw_Data!E855</f>
        <v/>
      </c>
      <c r="F855">
        <f>Raw_Data!F855</f>
        <v/>
      </c>
      <c r="G855">
        <f>Raw_Data!G855</f>
        <v/>
      </c>
      <c r="H855">
        <f>Raw_Data!H855</f>
        <v/>
      </c>
      <c r="I855">
        <f>Raw_Data!I855</f>
        <v/>
      </c>
      <c r="J855" s="12">
        <f>Raw_Data!J855</f>
        <v/>
      </c>
      <c r="K855" s="13">
        <f>Raw_Data!K855</f>
        <v/>
      </c>
      <c r="L855" s="12">
        <f>Raw_Data!L855</f>
        <v/>
      </c>
      <c r="M855" s="12">
        <f>Raw_Data!M855</f>
        <v/>
      </c>
      <c r="N855" s="12">
        <f>Raw_Data!N855</f>
        <v/>
      </c>
      <c r="O855">
        <f>Raw_Data!O855</f>
        <v/>
      </c>
      <c r="P855">
        <f>Raw_Data!P855</f>
        <v/>
      </c>
      <c r="Q855">
        <f>YEAR(B855)</f>
        <v/>
      </c>
      <c r="R855">
        <f>TEXT(B855,"mmm")</f>
        <v/>
      </c>
      <c r="S855" s="15">
        <f>IFERROR(N855/L855,0)</f>
        <v/>
      </c>
    </row>
    <row r="856">
      <c r="A856">
        <f>Raw_Data!A856</f>
        <v/>
      </c>
      <c r="B856" s="11">
        <f>Raw_Data!B856</f>
        <v/>
      </c>
      <c r="C856">
        <f>Raw_Data!C856</f>
        <v/>
      </c>
      <c r="D856">
        <f>Raw_Data!D856</f>
        <v/>
      </c>
      <c r="E856">
        <f>Raw_Data!E856</f>
        <v/>
      </c>
      <c r="F856">
        <f>Raw_Data!F856</f>
        <v/>
      </c>
      <c r="G856">
        <f>Raw_Data!G856</f>
        <v/>
      </c>
      <c r="H856">
        <f>Raw_Data!H856</f>
        <v/>
      </c>
      <c r="I856">
        <f>Raw_Data!I856</f>
        <v/>
      </c>
      <c r="J856" s="12">
        <f>Raw_Data!J856</f>
        <v/>
      </c>
      <c r="K856" s="13">
        <f>Raw_Data!K856</f>
        <v/>
      </c>
      <c r="L856" s="12">
        <f>Raw_Data!L856</f>
        <v/>
      </c>
      <c r="M856" s="12">
        <f>Raw_Data!M856</f>
        <v/>
      </c>
      <c r="N856" s="12">
        <f>Raw_Data!N856</f>
        <v/>
      </c>
      <c r="O856">
        <f>Raw_Data!O856</f>
        <v/>
      </c>
      <c r="P856">
        <f>Raw_Data!P856</f>
        <v/>
      </c>
      <c r="Q856">
        <f>YEAR(B856)</f>
        <v/>
      </c>
      <c r="R856">
        <f>TEXT(B856,"mmm")</f>
        <v/>
      </c>
      <c r="S856" s="15">
        <f>IFERROR(N856/L856,0)</f>
        <v/>
      </c>
    </row>
    <row r="857">
      <c r="A857">
        <f>Raw_Data!A857</f>
        <v/>
      </c>
      <c r="B857" s="11">
        <f>Raw_Data!B857</f>
        <v/>
      </c>
      <c r="C857">
        <f>Raw_Data!C857</f>
        <v/>
      </c>
      <c r="D857">
        <f>Raw_Data!D857</f>
        <v/>
      </c>
      <c r="E857">
        <f>Raw_Data!E857</f>
        <v/>
      </c>
      <c r="F857">
        <f>Raw_Data!F857</f>
        <v/>
      </c>
      <c r="G857">
        <f>Raw_Data!G857</f>
        <v/>
      </c>
      <c r="H857">
        <f>Raw_Data!H857</f>
        <v/>
      </c>
      <c r="I857">
        <f>Raw_Data!I857</f>
        <v/>
      </c>
      <c r="J857" s="12">
        <f>Raw_Data!J857</f>
        <v/>
      </c>
      <c r="K857" s="13">
        <f>Raw_Data!K857</f>
        <v/>
      </c>
      <c r="L857" s="12">
        <f>Raw_Data!L857</f>
        <v/>
      </c>
      <c r="M857" s="12">
        <f>Raw_Data!M857</f>
        <v/>
      </c>
      <c r="N857" s="12">
        <f>Raw_Data!N857</f>
        <v/>
      </c>
      <c r="O857">
        <f>Raw_Data!O857</f>
        <v/>
      </c>
      <c r="P857">
        <f>Raw_Data!P857</f>
        <v/>
      </c>
      <c r="Q857">
        <f>YEAR(B857)</f>
        <v/>
      </c>
      <c r="R857">
        <f>TEXT(B857,"mmm")</f>
        <v/>
      </c>
      <c r="S857" s="15">
        <f>IFERROR(N857/L857,0)</f>
        <v/>
      </c>
    </row>
    <row r="858">
      <c r="A858">
        <f>Raw_Data!A858</f>
        <v/>
      </c>
      <c r="B858" s="11">
        <f>Raw_Data!B858</f>
        <v/>
      </c>
      <c r="C858">
        <f>Raw_Data!C858</f>
        <v/>
      </c>
      <c r="D858">
        <f>Raw_Data!D858</f>
        <v/>
      </c>
      <c r="E858">
        <f>Raw_Data!E858</f>
        <v/>
      </c>
      <c r="F858">
        <f>Raw_Data!F858</f>
        <v/>
      </c>
      <c r="G858">
        <f>Raw_Data!G858</f>
        <v/>
      </c>
      <c r="H858">
        <f>Raw_Data!H858</f>
        <v/>
      </c>
      <c r="I858">
        <f>Raw_Data!I858</f>
        <v/>
      </c>
      <c r="J858" s="12">
        <f>Raw_Data!J858</f>
        <v/>
      </c>
      <c r="K858" s="13">
        <f>Raw_Data!K858</f>
        <v/>
      </c>
      <c r="L858" s="12">
        <f>Raw_Data!L858</f>
        <v/>
      </c>
      <c r="M858" s="12">
        <f>Raw_Data!M858</f>
        <v/>
      </c>
      <c r="N858" s="12">
        <f>Raw_Data!N858</f>
        <v/>
      </c>
      <c r="O858">
        <f>Raw_Data!O858</f>
        <v/>
      </c>
      <c r="P858">
        <f>Raw_Data!P858</f>
        <v/>
      </c>
      <c r="Q858">
        <f>YEAR(B858)</f>
        <v/>
      </c>
      <c r="R858">
        <f>TEXT(B858,"mmm")</f>
        <v/>
      </c>
      <c r="S858" s="15">
        <f>IFERROR(N858/L858,0)</f>
        <v/>
      </c>
    </row>
    <row r="859">
      <c r="A859">
        <f>Raw_Data!A859</f>
        <v/>
      </c>
      <c r="B859" s="11">
        <f>Raw_Data!B859</f>
        <v/>
      </c>
      <c r="C859">
        <f>Raw_Data!C859</f>
        <v/>
      </c>
      <c r="D859">
        <f>Raw_Data!D859</f>
        <v/>
      </c>
      <c r="E859">
        <f>Raw_Data!E859</f>
        <v/>
      </c>
      <c r="F859">
        <f>Raw_Data!F859</f>
        <v/>
      </c>
      <c r="G859">
        <f>Raw_Data!G859</f>
        <v/>
      </c>
      <c r="H859">
        <f>Raw_Data!H859</f>
        <v/>
      </c>
      <c r="I859">
        <f>Raw_Data!I859</f>
        <v/>
      </c>
      <c r="J859" s="12">
        <f>Raw_Data!J859</f>
        <v/>
      </c>
      <c r="K859" s="13">
        <f>Raw_Data!K859</f>
        <v/>
      </c>
      <c r="L859" s="12">
        <f>Raw_Data!L859</f>
        <v/>
      </c>
      <c r="M859" s="12">
        <f>Raw_Data!M859</f>
        <v/>
      </c>
      <c r="N859" s="12">
        <f>Raw_Data!N859</f>
        <v/>
      </c>
      <c r="O859">
        <f>Raw_Data!O859</f>
        <v/>
      </c>
      <c r="P859">
        <f>Raw_Data!P859</f>
        <v/>
      </c>
      <c r="Q859">
        <f>YEAR(B859)</f>
        <v/>
      </c>
      <c r="R859">
        <f>TEXT(B859,"mmm")</f>
        <v/>
      </c>
      <c r="S859" s="15">
        <f>IFERROR(N859/L859,0)</f>
        <v/>
      </c>
    </row>
    <row r="860">
      <c r="A860">
        <f>Raw_Data!A860</f>
        <v/>
      </c>
      <c r="B860" s="11">
        <f>Raw_Data!B860</f>
        <v/>
      </c>
      <c r="C860">
        <f>Raw_Data!C860</f>
        <v/>
      </c>
      <c r="D860">
        <f>Raw_Data!D860</f>
        <v/>
      </c>
      <c r="E860">
        <f>Raw_Data!E860</f>
        <v/>
      </c>
      <c r="F860">
        <f>Raw_Data!F860</f>
        <v/>
      </c>
      <c r="G860">
        <f>Raw_Data!G860</f>
        <v/>
      </c>
      <c r="H860">
        <f>Raw_Data!H860</f>
        <v/>
      </c>
      <c r="I860">
        <f>Raw_Data!I860</f>
        <v/>
      </c>
      <c r="J860" s="12">
        <f>Raw_Data!J860</f>
        <v/>
      </c>
      <c r="K860" s="13">
        <f>Raw_Data!K860</f>
        <v/>
      </c>
      <c r="L860" s="12">
        <f>Raw_Data!L860</f>
        <v/>
      </c>
      <c r="M860" s="12">
        <f>Raw_Data!M860</f>
        <v/>
      </c>
      <c r="N860" s="12">
        <f>Raw_Data!N860</f>
        <v/>
      </c>
      <c r="O860">
        <f>Raw_Data!O860</f>
        <v/>
      </c>
      <c r="P860">
        <f>Raw_Data!P860</f>
        <v/>
      </c>
      <c r="Q860">
        <f>YEAR(B860)</f>
        <v/>
      </c>
      <c r="R860">
        <f>TEXT(B860,"mmm")</f>
        <v/>
      </c>
      <c r="S860" s="15">
        <f>IFERROR(N860/L860,0)</f>
        <v/>
      </c>
    </row>
    <row r="861">
      <c r="A861">
        <f>Raw_Data!A861</f>
        <v/>
      </c>
      <c r="B861" s="11">
        <f>Raw_Data!B861</f>
        <v/>
      </c>
      <c r="C861">
        <f>Raw_Data!C861</f>
        <v/>
      </c>
      <c r="D861">
        <f>Raw_Data!D861</f>
        <v/>
      </c>
      <c r="E861">
        <f>Raw_Data!E861</f>
        <v/>
      </c>
      <c r="F861">
        <f>Raw_Data!F861</f>
        <v/>
      </c>
      <c r="G861">
        <f>Raw_Data!G861</f>
        <v/>
      </c>
      <c r="H861">
        <f>Raw_Data!H861</f>
        <v/>
      </c>
      <c r="I861">
        <f>Raw_Data!I861</f>
        <v/>
      </c>
      <c r="J861" s="12">
        <f>Raw_Data!J861</f>
        <v/>
      </c>
      <c r="K861" s="13">
        <f>Raw_Data!K861</f>
        <v/>
      </c>
      <c r="L861" s="12">
        <f>Raw_Data!L861</f>
        <v/>
      </c>
      <c r="M861" s="12">
        <f>Raw_Data!M861</f>
        <v/>
      </c>
      <c r="N861" s="12">
        <f>Raw_Data!N861</f>
        <v/>
      </c>
      <c r="O861">
        <f>Raw_Data!O861</f>
        <v/>
      </c>
      <c r="P861">
        <f>Raw_Data!P861</f>
        <v/>
      </c>
      <c r="Q861">
        <f>YEAR(B861)</f>
        <v/>
      </c>
      <c r="R861">
        <f>TEXT(B861,"mmm")</f>
        <v/>
      </c>
      <c r="S861" s="15">
        <f>IFERROR(N861/L861,0)</f>
        <v/>
      </c>
    </row>
    <row r="862">
      <c r="A862">
        <f>Raw_Data!A862</f>
        <v/>
      </c>
      <c r="B862" s="11">
        <f>Raw_Data!B862</f>
        <v/>
      </c>
      <c r="C862">
        <f>Raw_Data!C862</f>
        <v/>
      </c>
      <c r="D862">
        <f>Raw_Data!D862</f>
        <v/>
      </c>
      <c r="E862">
        <f>Raw_Data!E862</f>
        <v/>
      </c>
      <c r="F862">
        <f>Raw_Data!F862</f>
        <v/>
      </c>
      <c r="G862">
        <f>Raw_Data!G862</f>
        <v/>
      </c>
      <c r="H862">
        <f>Raw_Data!H862</f>
        <v/>
      </c>
      <c r="I862">
        <f>Raw_Data!I862</f>
        <v/>
      </c>
      <c r="J862" s="12">
        <f>Raw_Data!J862</f>
        <v/>
      </c>
      <c r="K862" s="13">
        <f>Raw_Data!K862</f>
        <v/>
      </c>
      <c r="L862" s="12">
        <f>Raw_Data!L862</f>
        <v/>
      </c>
      <c r="M862" s="12">
        <f>Raw_Data!M862</f>
        <v/>
      </c>
      <c r="N862" s="12">
        <f>Raw_Data!N862</f>
        <v/>
      </c>
      <c r="O862">
        <f>Raw_Data!O862</f>
        <v/>
      </c>
      <c r="P862">
        <f>Raw_Data!P862</f>
        <v/>
      </c>
      <c r="Q862">
        <f>YEAR(B862)</f>
        <v/>
      </c>
      <c r="R862">
        <f>TEXT(B862,"mmm")</f>
        <v/>
      </c>
      <c r="S862" s="15">
        <f>IFERROR(N862/L862,0)</f>
        <v/>
      </c>
    </row>
    <row r="863">
      <c r="A863">
        <f>Raw_Data!A863</f>
        <v/>
      </c>
      <c r="B863" s="11">
        <f>Raw_Data!B863</f>
        <v/>
      </c>
      <c r="C863">
        <f>Raw_Data!C863</f>
        <v/>
      </c>
      <c r="D863">
        <f>Raw_Data!D863</f>
        <v/>
      </c>
      <c r="E863">
        <f>Raw_Data!E863</f>
        <v/>
      </c>
      <c r="F863">
        <f>Raw_Data!F863</f>
        <v/>
      </c>
      <c r="G863">
        <f>Raw_Data!G863</f>
        <v/>
      </c>
      <c r="H863">
        <f>Raw_Data!H863</f>
        <v/>
      </c>
      <c r="I863">
        <f>Raw_Data!I863</f>
        <v/>
      </c>
      <c r="J863" s="12">
        <f>Raw_Data!J863</f>
        <v/>
      </c>
      <c r="K863" s="13">
        <f>Raw_Data!K863</f>
        <v/>
      </c>
      <c r="L863" s="12">
        <f>Raw_Data!L863</f>
        <v/>
      </c>
      <c r="M863" s="12">
        <f>Raw_Data!M863</f>
        <v/>
      </c>
      <c r="N863" s="12">
        <f>Raw_Data!N863</f>
        <v/>
      </c>
      <c r="O863">
        <f>Raw_Data!O863</f>
        <v/>
      </c>
      <c r="P863">
        <f>Raw_Data!P863</f>
        <v/>
      </c>
      <c r="Q863">
        <f>YEAR(B863)</f>
        <v/>
      </c>
      <c r="R863">
        <f>TEXT(B863,"mmm")</f>
        <v/>
      </c>
      <c r="S863" s="15">
        <f>IFERROR(N863/L863,0)</f>
        <v/>
      </c>
    </row>
    <row r="864">
      <c r="A864">
        <f>Raw_Data!A864</f>
        <v/>
      </c>
      <c r="B864" s="11">
        <f>Raw_Data!B864</f>
        <v/>
      </c>
      <c r="C864">
        <f>Raw_Data!C864</f>
        <v/>
      </c>
      <c r="D864">
        <f>Raw_Data!D864</f>
        <v/>
      </c>
      <c r="E864">
        <f>Raw_Data!E864</f>
        <v/>
      </c>
      <c r="F864">
        <f>Raw_Data!F864</f>
        <v/>
      </c>
      <c r="G864">
        <f>Raw_Data!G864</f>
        <v/>
      </c>
      <c r="H864">
        <f>Raw_Data!H864</f>
        <v/>
      </c>
      <c r="I864">
        <f>Raw_Data!I864</f>
        <v/>
      </c>
      <c r="J864" s="12">
        <f>Raw_Data!J864</f>
        <v/>
      </c>
      <c r="K864" s="13">
        <f>Raw_Data!K864</f>
        <v/>
      </c>
      <c r="L864" s="12">
        <f>Raw_Data!L864</f>
        <v/>
      </c>
      <c r="M864" s="12">
        <f>Raw_Data!M864</f>
        <v/>
      </c>
      <c r="N864" s="12">
        <f>Raw_Data!N864</f>
        <v/>
      </c>
      <c r="O864">
        <f>Raw_Data!O864</f>
        <v/>
      </c>
      <c r="P864">
        <f>Raw_Data!P864</f>
        <v/>
      </c>
      <c r="Q864">
        <f>YEAR(B864)</f>
        <v/>
      </c>
      <c r="R864">
        <f>TEXT(B864,"mmm")</f>
        <v/>
      </c>
      <c r="S864" s="15">
        <f>IFERROR(N864/L864,0)</f>
        <v/>
      </c>
    </row>
    <row r="865">
      <c r="A865">
        <f>Raw_Data!A865</f>
        <v/>
      </c>
      <c r="B865" s="11">
        <f>Raw_Data!B865</f>
        <v/>
      </c>
      <c r="C865">
        <f>Raw_Data!C865</f>
        <v/>
      </c>
      <c r="D865">
        <f>Raw_Data!D865</f>
        <v/>
      </c>
      <c r="E865">
        <f>Raw_Data!E865</f>
        <v/>
      </c>
      <c r="F865">
        <f>Raw_Data!F865</f>
        <v/>
      </c>
      <c r="G865">
        <f>Raw_Data!G865</f>
        <v/>
      </c>
      <c r="H865">
        <f>Raw_Data!H865</f>
        <v/>
      </c>
      <c r="I865">
        <f>Raw_Data!I865</f>
        <v/>
      </c>
      <c r="J865" s="12">
        <f>Raw_Data!J865</f>
        <v/>
      </c>
      <c r="K865" s="13">
        <f>Raw_Data!K865</f>
        <v/>
      </c>
      <c r="L865" s="12">
        <f>Raw_Data!L865</f>
        <v/>
      </c>
      <c r="M865" s="12">
        <f>Raw_Data!M865</f>
        <v/>
      </c>
      <c r="N865" s="12">
        <f>Raw_Data!N865</f>
        <v/>
      </c>
      <c r="O865">
        <f>Raw_Data!O865</f>
        <v/>
      </c>
      <c r="P865">
        <f>Raw_Data!P865</f>
        <v/>
      </c>
      <c r="Q865">
        <f>YEAR(B865)</f>
        <v/>
      </c>
      <c r="R865">
        <f>TEXT(B865,"mmm")</f>
        <v/>
      </c>
      <c r="S865" s="15">
        <f>IFERROR(N865/L865,0)</f>
        <v/>
      </c>
    </row>
    <row r="866">
      <c r="A866">
        <f>Raw_Data!A866</f>
        <v/>
      </c>
      <c r="B866" s="11">
        <f>Raw_Data!B866</f>
        <v/>
      </c>
      <c r="C866">
        <f>Raw_Data!C866</f>
        <v/>
      </c>
      <c r="D866">
        <f>Raw_Data!D866</f>
        <v/>
      </c>
      <c r="E866">
        <f>Raw_Data!E866</f>
        <v/>
      </c>
      <c r="F866">
        <f>Raw_Data!F866</f>
        <v/>
      </c>
      <c r="G866">
        <f>Raw_Data!G866</f>
        <v/>
      </c>
      <c r="H866">
        <f>Raw_Data!H866</f>
        <v/>
      </c>
      <c r="I866">
        <f>Raw_Data!I866</f>
        <v/>
      </c>
      <c r="J866" s="12">
        <f>Raw_Data!J866</f>
        <v/>
      </c>
      <c r="K866" s="13">
        <f>Raw_Data!K866</f>
        <v/>
      </c>
      <c r="L866" s="12">
        <f>Raw_Data!L866</f>
        <v/>
      </c>
      <c r="M866" s="12">
        <f>Raw_Data!M866</f>
        <v/>
      </c>
      <c r="N866" s="12">
        <f>Raw_Data!N866</f>
        <v/>
      </c>
      <c r="O866">
        <f>Raw_Data!O866</f>
        <v/>
      </c>
      <c r="P866">
        <f>Raw_Data!P866</f>
        <v/>
      </c>
      <c r="Q866">
        <f>YEAR(B866)</f>
        <v/>
      </c>
      <c r="R866">
        <f>TEXT(B866,"mmm")</f>
        <v/>
      </c>
      <c r="S866" s="15">
        <f>IFERROR(N866/L866,0)</f>
        <v/>
      </c>
    </row>
    <row r="867">
      <c r="A867">
        <f>Raw_Data!A867</f>
        <v/>
      </c>
      <c r="B867" s="11">
        <f>Raw_Data!B867</f>
        <v/>
      </c>
      <c r="C867">
        <f>Raw_Data!C867</f>
        <v/>
      </c>
      <c r="D867">
        <f>Raw_Data!D867</f>
        <v/>
      </c>
      <c r="E867">
        <f>Raw_Data!E867</f>
        <v/>
      </c>
      <c r="F867">
        <f>Raw_Data!F867</f>
        <v/>
      </c>
      <c r="G867">
        <f>Raw_Data!G867</f>
        <v/>
      </c>
      <c r="H867">
        <f>Raw_Data!H867</f>
        <v/>
      </c>
      <c r="I867">
        <f>Raw_Data!I867</f>
        <v/>
      </c>
      <c r="J867" s="12">
        <f>Raw_Data!J867</f>
        <v/>
      </c>
      <c r="K867" s="13">
        <f>Raw_Data!K867</f>
        <v/>
      </c>
      <c r="L867" s="12">
        <f>Raw_Data!L867</f>
        <v/>
      </c>
      <c r="M867" s="12">
        <f>Raw_Data!M867</f>
        <v/>
      </c>
      <c r="N867" s="12">
        <f>Raw_Data!N867</f>
        <v/>
      </c>
      <c r="O867">
        <f>Raw_Data!O867</f>
        <v/>
      </c>
      <c r="P867">
        <f>Raw_Data!P867</f>
        <v/>
      </c>
      <c r="Q867">
        <f>YEAR(B867)</f>
        <v/>
      </c>
      <c r="R867">
        <f>TEXT(B867,"mmm")</f>
        <v/>
      </c>
      <c r="S867" s="15">
        <f>IFERROR(N867/L867,0)</f>
        <v/>
      </c>
    </row>
    <row r="868">
      <c r="A868">
        <f>Raw_Data!A868</f>
        <v/>
      </c>
      <c r="B868" s="11">
        <f>Raw_Data!B868</f>
        <v/>
      </c>
      <c r="C868">
        <f>Raw_Data!C868</f>
        <v/>
      </c>
      <c r="D868">
        <f>Raw_Data!D868</f>
        <v/>
      </c>
      <c r="E868">
        <f>Raw_Data!E868</f>
        <v/>
      </c>
      <c r="F868">
        <f>Raw_Data!F868</f>
        <v/>
      </c>
      <c r="G868">
        <f>Raw_Data!G868</f>
        <v/>
      </c>
      <c r="H868">
        <f>Raw_Data!H868</f>
        <v/>
      </c>
      <c r="I868">
        <f>Raw_Data!I868</f>
        <v/>
      </c>
      <c r="J868" s="12">
        <f>Raw_Data!J868</f>
        <v/>
      </c>
      <c r="K868" s="13">
        <f>Raw_Data!K868</f>
        <v/>
      </c>
      <c r="L868" s="12">
        <f>Raw_Data!L868</f>
        <v/>
      </c>
      <c r="M868" s="12">
        <f>Raw_Data!M868</f>
        <v/>
      </c>
      <c r="N868" s="12">
        <f>Raw_Data!N868</f>
        <v/>
      </c>
      <c r="O868">
        <f>Raw_Data!O868</f>
        <v/>
      </c>
      <c r="P868">
        <f>Raw_Data!P868</f>
        <v/>
      </c>
      <c r="Q868">
        <f>YEAR(B868)</f>
        <v/>
      </c>
      <c r="R868">
        <f>TEXT(B868,"mmm")</f>
        <v/>
      </c>
      <c r="S868" s="15">
        <f>IFERROR(N868/L868,0)</f>
        <v/>
      </c>
    </row>
    <row r="869">
      <c r="A869">
        <f>Raw_Data!A869</f>
        <v/>
      </c>
      <c r="B869" s="11">
        <f>Raw_Data!B869</f>
        <v/>
      </c>
      <c r="C869">
        <f>Raw_Data!C869</f>
        <v/>
      </c>
      <c r="D869">
        <f>Raw_Data!D869</f>
        <v/>
      </c>
      <c r="E869">
        <f>Raw_Data!E869</f>
        <v/>
      </c>
      <c r="F869">
        <f>Raw_Data!F869</f>
        <v/>
      </c>
      <c r="G869">
        <f>Raw_Data!G869</f>
        <v/>
      </c>
      <c r="H869">
        <f>Raw_Data!H869</f>
        <v/>
      </c>
      <c r="I869">
        <f>Raw_Data!I869</f>
        <v/>
      </c>
      <c r="J869" s="12">
        <f>Raw_Data!J869</f>
        <v/>
      </c>
      <c r="K869" s="13">
        <f>Raw_Data!K869</f>
        <v/>
      </c>
      <c r="L869" s="12">
        <f>Raw_Data!L869</f>
        <v/>
      </c>
      <c r="M869" s="12">
        <f>Raw_Data!M869</f>
        <v/>
      </c>
      <c r="N869" s="12">
        <f>Raw_Data!N869</f>
        <v/>
      </c>
      <c r="O869">
        <f>Raw_Data!O869</f>
        <v/>
      </c>
      <c r="P869">
        <f>Raw_Data!P869</f>
        <v/>
      </c>
      <c r="Q869">
        <f>YEAR(B869)</f>
        <v/>
      </c>
      <c r="R869">
        <f>TEXT(B869,"mmm")</f>
        <v/>
      </c>
      <c r="S869" s="15">
        <f>IFERROR(N869/L869,0)</f>
        <v/>
      </c>
    </row>
    <row r="870">
      <c r="A870">
        <f>Raw_Data!A870</f>
        <v/>
      </c>
      <c r="B870" s="11">
        <f>Raw_Data!B870</f>
        <v/>
      </c>
      <c r="C870">
        <f>Raw_Data!C870</f>
        <v/>
      </c>
      <c r="D870">
        <f>Raw_Data!D870</f>
        <v/>
      </c>
      <c r="E870">
        <f>Raw_Data!E870</f>
        <v/>
      </c>
      <c r="F870">
        <f>Raw_Data!F870</f>
        <v/>
      </c>
      <c r="G870">
        <f>Raw_Data!G870</f>
        <v/>
      </c>
      <c r="H870">
        <f>Raw_Data!H870</f>
        <v/>
      </c>
      <c r="I870">
        <f>Raw_Data!I870</f>
        <v/>
      </c>
      <c r="J870" s="12">
        <f>Raw_Data!J870</f>
        <v/>
      </c>
      <c r="K870" s="13">
        <f>Raw_Data!K870</f>
        <v/>
      </c>
      <c r="L870" s="12">
        <f>Raw_Data!L870</f>
        <v/>
      </c>
      <c r="M870" s="12">
        <f>Raw_Data!M870</f>
        <v/>
      </c>
      <c r="N870" s="12">
        <f>Raw_Data!N870</f>
        <v/>
      </c>
      <c r="O870">
        <f>Raw_Data!O870</f>
        <v/>
      </c>
      <c r="P870">
        <f>Raw_Data!P870</f>
        <v/>
      </c>
      <c r="Q870">
        <f>YEAR(B870)</f>
        <v/>
      </c>
      <c r="R870">
        <f>TEXT(B870,"mmm")</f>
        <v/>
      </c>
      <c r="S870" s="15">
        <f>IFERROR(N870/L870,0)</f>
        <v/>
      </c>
    </row>
    <row r="871">
      <c r="A871">
        <f>Raw_Data!A871</f>
        <v/>
      </c>
      <c r="B871" s="11">
        <f>Raw_Data!B871</f>
        <v/>
      </c>
      <c r="C871">
        <f>Raw_Data!C871</f>
        <v/>
      </c>
      <c r="D871">
        <f>Raw_Data!D871</f>
        <v/>
      </c>
      <c r="E871">
        <f>Raw_Data!E871</f>
        <v/>
      </c>
      <c r="F871">
        <f>Raw_Data!F871</f>
        <v/>
      </c>
      <c r="G871">
        <f>Raw_Data!G871</f>
        <v/>
      </c>
      <c r="H871">
        <f>Raw_Data!H871</f>
        <v/>
      </c>
      <c r="I871">
        <f>Raw_Data!I871</f>
        <v/>
      </c>
      <c r="J871" s="12">
        <f>Raw_Data!J871</f>
        <v/>
      </c>
      <c r="K871" s="13">
        <f>Raw_Data!K871</f>
        <v/>
      </c>
      <c r="L871" s="12">
        <f>Raw_Data!L871</f>
        <v/>
      </c>
      <c r="M871" s="12">
        <f>Raw_Data!M871</f>
        <v/>
      </c>
      <c r="N871" s="12">
        <f>Raw_Data!N871</f>
        <v/>
      </c>
      <c r="O871">
        <f>Raw_Data!O871</f>
        <v/>
      </c>
      <c r="P871">
        <f>Raw_Data!P871</f>
        <v/>
      </c>
      <c r="Q871">
        <f>YEAR(B871)</f>
        <v/>
      </c>
      <c r="R871">
        <f>TEXT(B871,"mmm")</f>
        <v/>
      </c>
      <c r="S871" s="15">
        <f>IFERROR(N871/L871,0)</f>
        <v/>
      </c>
    </row>
    <row r="872">
      <c r="A872">
        <f>Raw_Data!A872</f>
        <v/>
      </c>
      <c r="B872" s="11">
        <f>Raw_Data!B872</f>
        <v/>
      </c>
      <c r="C872">
        <f>Raw_Data!C872</f>
        <v/>
      </c>
      <c r="D872">
        <f>Raw_Data!D872</f>
        <v/>
      </c>
      <c r="E872">
        <f>Raw_Data!E872</f>
        <v/>
      </c>
      <c r="F872">
        <f>Raw_Data!F872</f>
        <v/>
      </c>
      <c r="G872">
        <f>Raw_Data!G872</f>
        <v/>
      </c>
      <c r="H872">
        <f>Raw_Data!H872</f>
        <v/>
      </c>
      <c r="I872">
        <f>Raw_Data!I872</f>
        <v/>
      </c>
      <c r="J872" s="12">
        <f>Raw_Data!J872</f>
        <v/>
      </c>
      <c r="K872" s="13">
        <f>Raw_Data!K872</f>
        <v/>
      </c>
      <c r="L872" s="12">
        <f>Raw_Data!L872</f>
        <v/>
      </c>
      <c r="M872" s="12">
        <f>Raw_Data!M872</f>
        <v/>
      </c>
      <c r="N872" s="12">
        <f>Raw_Data!N872</f>
        <v/>
      </c>
      <c r="O872">
        <f>Raw_Data!O872</f>
        <v/>
      </c>
      <c r="P872">
        <f>Raw_Data!P872</f>
        <v/>
      </c>
      <c r="Q872">
        <f>YEAR(B872)</f>
        <v/>
      </c>
      <c r="R872">
        <f>TEXT(B872,"mmm")</f>
        <v/>
      </c>
      <c r="S872" s="15">
        <f>IFERROR(N872/L872,0)</f>
        <v/>
      </c>
    </row>
    <row r="873">
      <c r="A873">
        <f>Raw_Data!A873</f>
        <v/>
      </c>
      <c r="B873" s="11">
        <f>Raw_Data!B873</f>
        <v/>
      </c>
      <c r="C873">
        <f>Raw_Data!C873</f>
        <v/>
      </c>
      <c r="D873">
        <f>Raw_Data!D873</f>
        <v/>
      </c>
      <c r="E873">
        <f>Raw_Data!E873</f>
        <v/>
      </c>
      <c r="F873">
        <f>Raw_Data!F873</f>
        <v/>
      </c>
      <c r="G873">
        <f>Raw_Data!G873</f>
        <v/>
      </c>
      <c r="H873">
        <f>Raw_Data!H873</f>
        <v/>
      </c>
      <c r="I873">
        <f>Raw_Data!I873</f>
        <v/>
      </c>
      <c r="J873" s="12">
        <f>Raw_Data!J873</f>
        <v/>
      </c>
      <c r="K873" s="13">
        <f>Raw_Data!K873</f>
        <v/>
      </c>
      <c r="L873" s="12">
        <f>Raw_Data!L873</f>
        <v/>
      </c>
      <c r="M873" s="12">
        <f>Raw_Data!M873</f>
        <v/>
      </c>
      <c r="N873" s="12">
        <f>Raw_Data!N873</f>
        <v/>
      </c>
      <c r="O873">
        <f>Raw_Data!O873</f>
        <v/>
      </c>
      <c r="P873">
        <f>Raw_Data!P873</f>
        <v/>
      </c>
      <c r="Q873">
        <f>YEAR(B873)</f>
        <v/>
      </c>
      <c r="R873">
        <f>TEXT(B873,"mmm")</f>
        <v/>
      </c>
      <c r="S873" s="15">
        <f>IFERROR(N873/L873,0)</f>
        <v/>
      </c>
    </row>
    <row r="874">
      <c r="A874">
        <f>Raw_Data!A874</f>
        <v/>
      </c>
      <c r="B874" s="11">
        <f>Raw_Data!B874</f>
        <v/>
      </c>
      <c r="C874">
        <f>Raw_Data!C874</f>
        <v/>
      </c>
      <c r="D874">
        <f>Raw_Data!D874</f>
        <v/>
      </c>
      <c r="E874">
        <f>Raw_Data!E874</f>
        <v/>
      </c>
      <c r="F874">
        <f>Raw_Data!F874</f>
        <v/>
      </c>
      <c r="G874">
        <f>Raw_Data!G874</f>
        <v/>
      </c>
      <c r="H874">
        <f>Raw_Data!H874</f>
        <v/>
      </c>
      <c r="I874">
        <f>Raw_Data!I874</f>
        <v/>
      </c>
      <c r="J874" s="12">
        <f>Raw_Data!J874</f>
        <v/>
      </c>
      <c r="K874" s="13">
        <f>Raw_Data!K874</f>
        <v/>
      </c>
      <c r="L874" s="12">
        <f>Raw_Data!L874</f>
        <v/>
      </c>
      <c r="M874" s="12">
        <f>Raw_Data!M874</f>
        <v/>
      </c>
      <c r="N874" s="12">
        <f>Raw_Data!N874</f>
        <v/>
      </c>
      <c r="O874">
        <f>Raw_Data!O874</f>
        <v/>
      </c>
      <c r="P874">
        <f>Raw_Data!P874</f>
        <v/>
      </c>
      <c r="Q874">
        <f>YEAR(B874)</f>
        <v/>
      </c>
      <c r="R874">
        <f>TEXT(B874,"mmm")</f>
        <v/>
      </c>
      <c r="S874" s="15">
        <f>IFERROR(N874/L874,0)</f>
        <v/>
      </c>
    </row>
    <row r="875">
      <c r="A875">
        <f>Raw_Data!A875</f>
        <v/>
      </c>
      <c r="B875" s="11">
        <f>Raw_Data!B875</f>
        <v/>
      </c>
      <c r="C875">
        <f>Raw_Data!C875</f>
        <v/>
      </c>
      <c r="D875">
        <f>Raw_Data!D875</f>
        <v/>
      </c>
      <c r="E875">
        <f>Raw_Data!E875</f>
        <v/>
      </c>
      <c r="F875">
        <f>Raw_Data!F875</f>
        <v/>
      </c>
      <c r="G875">
        <f>Raw_Data!G875</f>
        <v/>
      </c>
      <c r="H875">
        <f>Raw_Data!H875</f>
        <v/>
      </c>
      <c r="I875">
        <f>Raw_Data!I875</f>
        <v/>
      </c>
      <c r="J875" s="12">
        <f>Raw_Data!J875</f>
        <v/>
      </c>
      <c r="K875" s="13">
        <f>Raw_Data!K875</f>
        <v/>
      </c>
      <c r="L875" s="12">
        <f>Raw_Data!L875</f>
        <v/>
      </c>
      <c r="M875" s="12">
        <f>Raw_Data!M875</f>
        <v/>
      </c>
      <c r="N875" s="12">
        <f>Raw_Data!N875</f>
        <v/>
      </c>
      <c r="O875">
        <f>Raw_Data!O875</f>
        <v/>
      </c>
      <c r="P875">
        <f>Raw_Data!P875</f>
        <v/>
      </c>
      <c r="Q875">
        <f>YEAR(B875)</f>
        <v/>
      </c>
      <c r="R875">
        <f>TEXT(B875,"mmm")</f>
        <v/>
      </c>
      <c r="S875" s="15">
        <f>IFERROR(N875/L875,0)</f>
        <v/>
      </c>
    </row>
    <row r="876">
      <c r="A876">
        <f>Raw_Data!A876</f>
        <v/>
      </c>
      <c r="B876" s="11">
        <f>Raw_Data!B876</f>
        <v/>
      </c>
      <c r="C876">
        <f>Raw_Data!C876</f>
        <v/>
      </c>
      <c r="D876">
        <f>Raw_Data!D876</f>
        <v/>
      </c>
      <c r="E876">
        <f>Raw_Data!E876</f>
        <v/>
      </c>
      <c r="F876">
        <f>Raw_Data!F876</f>
        <v/>
      </c>
      <c r="G876">
        <f>Raw_Data!G876</f>
        <v/>
      </c>
      <c r="H876">
        <f>Raw_Data!H876</f>
        <v/>
      </c>
      <c r="I876">
        <f>Raw_Data!I876</f>
        <v/>
      </c>
      <c r="J876" s="12">
        <f>Raw_Data!J876</f>
        <v/>
      </c>
      <c r="K876" s="13">
        <f>Raw_Data!K876</f>
        <v/>
      </c>
      <c r="L876" s="12">
        <f>Raw_Data!L876</f>
        <v/>
      </c>
      <c r="M876" s="12">
        <f>Raw_Data!M876</f>
        <v/>
      </c>
      <c r="N876" s="12">
        <f>Raw_Data!N876</f>
        <v/>
      </c>
      <c r="O876">
        <f>Raw_Data!O876</f>
        <v/>
      </c>
      <c r="P876">
        <f>Raw_Data!P876</f>
        <v/>
      </c>
      <c r="Q876">
        <f>YEAR(B876)</f>
        <v/>
      </c>
      <c r="R876">
        <f>TEXT(B876,"mmm")</f>
        <v/>
      </c>
      <c r="S876" s="15">
        <f>IFERROR(N876/L876,0)</f>
        <v/>
      </c>
    </row>
    <row r="877">
      <c r="A877">
        <f>Raw_Data!A877</f>
        <v/>
      </c>
      <c r="B877" s="11">
        <f>Raw_Data!B877</f>
        <v/>
      </c>
      <c r="C877">
        <f>Raw_Data!C877</f>
        <v/>
      </c>
      <c r="D877">
        <f>Raw_Data!D877</f>
        <v/>
      </c>
      <c r="E877">
        <f>Raw_Data!E877</f>
        <v/>
      </c>
      <c r="F877">
        <f>Raw_Data!F877</f>
        <v/>
      </c>
      <c r="G877">
        <f>Raw_Data!G877</f>
        <v/>
      </c>
      <c r="H877">
        <f>Raw_Data!H877</f>
        <v/>
      </c>
      <c r="I877">
        <f>Raw_Data!I877</f>
        <v/>
      </c>
      <c r="J877" s="12">
        <f>Raw_Data!J877</f>
        <v/>
      </c>
      <c r="K877" s="13">
        <f>Raw_Data!K877</f>
        <v/>
      </c>
      <c r="L877" s="12">
        <f>Raw_Data!L877</f>
        <v/>
      </c>
      <c r="M877" s="12">
        <f>Raw_Data!M877</f>
        <v/>
      </c>
      <c r="N877" s="12">
        <f>Raw_Data!N877</f>
        <v/>
      </c>
      <c r="O877">
        <f>Raw_Data!O877</f>
        <v/>
      </c>
      <c r="P877">
        <f>Raw_Data!P877</f>
        <v/>
      </c>
      <c r="Q877">
        <f>YEAR(B877)</f>
        <v/>
      </c>
      <c r="R877">
        <f>TEXT(B877,"mmm")</f>
        <v/>
      </c>
      <c r="S877" s="15">
        <f>IFERROR(N877/L877,0)</f>
        <v/>
      </c>
    </row>
    <row r="878">
      <c r="A878">
        <f>Raw_Data!A878</f>
        <v/>
      </c>
      <c r="B878" s="11">
        <f>Raw_Data!B878</f>
        <v/>
      </c>
      <c r="C878">
        <f>Raw_Data!C878</f>
        <v/>
      </c>
      <c r="D878">
        <f>Raw_Data!D878</f>
        <v/>
      </c>
      <c r="E878">
        <f>Raw_Data!E878</f>
        <v/>
      </c>
      <c r="F878">
        <f>Raw_Data!F878</f>
        <v/>
      </c>
      <c r="G878">
        <f>Raw_Data!G878</f>
        <v/>
      </c>
      <c r="H878">
        <f>Raw_Data!H878</f>
        <v/>
      </c>
      <c r="I878">
        <f>Raw_Data!I878</f>
        <v/>
      </c>
      <c r="J878" s="12">
        <f>Raw_Data!J878</f>
        <v/>
      </c>
      <c r="K878" s="13">
        <f>Raw_Data!K878</f>
        <v/>
      </c>
      <c r="L878" s="12">
        <f>Raw_Data!L878</f>
        <v/>
      </c>
      <c r="M878" s="12">
        <f>Raw_Data!M878</f>
        <v/>
      </c>
      <c r="N878" s="12">
        <f>Raw_Data!N878</f>
        <v/>
      </c>
      <c r="O878">
        <f>Raw_Data!O878</f>
        <v/>
      </c>
      <c r="P878">
        <f>Raw_Data!P878</f>
        <v/>
      </c>
      <c r="Q878">
        <f>YEAR(B878)</f>
        <v/>
      </c>
      <c r="R878">
        <f>TEXT(B878,"mmm")</f>
        <v/>
      </c>
      <c r="S878" s="15">
        <f>IFERROR(N878/L878,0)</f>
        <v/>
      </c>
    </row>
    <row r="879">
      <c r="A879">
        <f>Raw_Data!A879</f>
        <v/>
      </c>
      <c r="B879" s="11">
        <f>Raw_Data!B879</f>
        <v/>
      </c>
      <c r="C879">
        <f>Raw_Data!C879</f>
        <v/>
      </c>
      <c r="D879">
        <f>Raw_Data!D879</f>
        <v/>
      </c>
      <c r="E879">
        <f>Raw_Data!E879</f>
        <v/>
      </c>
      <c r="F879">
        <f>Raw_Data!F879</f>
        <v/>
      </c>
      <c r="G879">
        <f>Raw_Data!G879</f>
        <v/>
      </c>
      <c r="H879">
        <f>Raw_Data!H879</f>
        <v/>
      </c>
      <c r="I879">
        <f>Raw_Data!I879</f>
        <v/>
      </c>
      <c r="J879" s="12">
        <f>Raw_Data!J879</f>
        <v/>
      </c>
      <c r="K879" s="13">
        <f>Raw_Data!K879</f>
        <v/>
      </c>
      <c r="L879" s="12">
        <f>Raw_Data!L879</f>
        <v/>
      </c>
      <c r="M879" s="12">
        <f>Raw_Data!M879</f>
        <v/>
      </c>
      <c r="N879" s="12">
        <f>Raw_Data!N879</f>
        <v/>
      </c>
      <c r="O879">
        <f>Raw_Data!O879</f>
        <v/>
      </c>
      <c r="P879">
        <f>Raw_Data!P879</f>
        <v/>
      </c>
      <c r="Q879">
        <f>YEAR(B879)</f>
        <v/>
      </c>
      <c r="R879">
        <f>TEXT(B879,"mmm")</f>
        <v/>
      </c>
      <c r="S879" s="15">
        <f>IFERROR(N879/L879,0)</f>
        <v/>
      </c>
    </row>
    <row r="880">
      <c r="A880">
        <f>Raw_Data!A880</f>
        <v/>
      </c>
      <c r="B880" s="11">
        <f>Raw_Data!B880</f>
        <v/>
      </c>
      <c r="C880">
        <f>Raw_Data!C880</f>
        <v/>
      </c>
      <c r="D880">
        <f>Raw_Data!D880</f>
        <v/>
      </c>
      <c r="E880">
        <f>Raw_Data!E880</f>
        <v/>
      </c>
      <c r="F880">
        <f>Raw_Data!F880</f>
        <v/>
      </c>
      <c r="G880">
        <f>Raw_Data!G880</f>
        <v/>
      </c>
      <c r="H880">
        <f>Raw_Data!H880</f>
        <v/>
      </c>
      <c r="I880">
        <f>Raw_Data!I880</f>
        <v/>
      </c>
      <c r="J880" s="12">
        <f>Raw_Data!J880</f>
        <v/>
      </c>
      <c r="K880" s="13">
        <f>Raw_Data!K880</f>
        <v/>
      </c>
      <c r="L880" s="12">
        <f>Raw_Data!L880</f>
        <v/>
      </c>
      <c r="M880" s="12">
        <f>Raw_Data!M880</f>
        <v/>
      </c>
      <c r="N880" s="12">
        <f>Raw_Data!N880</f>
        <v/>
      </c>
      <c r="O880">
        <f>Raw_Data!O880</f>
        <v/>
      </c>
      <c r="P880">
        <f>Raw_Data!P880</f>
        <v/>
      </c>
      <c r="Q880">
        <f>YEAR(B880)</f>
        <v/>
      </c>
      <c r="R880">
        <f>TEXT(B880,"mmm")</f>
        <v/>
      </c>
      <c r="S880" s="15">
        <f>IFERROR(N880/L880,0)</f>
        <v/>
      </c>
    </row>
    <row r="881">
      <c r="A881">
        <f>Raw_Data!A881</f>
        <v/>
      </c>
      <c r="B881" s="11">
        <f>Raw_Data!B881</f>
        <v/>
      </c>
      <c r="C881">
        <f>Raw_Data!C881</f>
        <v/>
      </c>
      <c r="D881">
        <f>Raw_Data!D881</f>
        <v/>
      </c>
      <c r="E881">
        <f>Raw_Data!E881</f>
        <v/>
      </c>
      <c r="F881">
        <f>Raw_Data!F881</f>
        <v/>
      </c>
      <c r="G881">
        <f>Raw_Data!G881</f>
        <v/>
      </c>
      <c r="H881">
        <f>Raw_Data!H881</f>
        <v/>
      </c>
      <c r="I881">
        <f>Raw_Data!I881</f>
        <v/>
      </c>
      <c r="J881" s="12">
        <f>Raw_Data!J881</f>
        <v/>
      </c>
      <c r="K881" s="13">
        <f>Raw_Data!K881</f>
        <v/>
      </c>
      <c r="L881" s="12">
        <f>Raw_Data!L881</f>
        <v/>
      </c>
      <c r="M881" s="12">
        <f>Raw_Data!M881</f>
        <v/>
      </c>
      <c r="N881" s="12">
        <f>Raw_Data!N881</f>
        <v/>
      </c>
      <c r="O881">
        <f>Raw_Data!O881</f>
        <v/>
      </c>
      <c r="P881">
        <f>Raw_Data!P881</f>
        <v/>
      </c>
      <c r="Q881">
        <f>YEAR(B881)</f>
        <v/>
      </c>
      <c r="R881">
        <f>TEXT(B881,"mmm")</f>
        <v/>
      </c>
      <c r="S881" s="15">
        <f>IFERROR(N881/L881,0)</f>
        <v/>
      </c>
    </row>
    <row r="882">
      <c r="A882">
        <f>Raw_Data!A882</f>
        <v/>
      </c>
      <c r="B882" s="11">
        <f>Raw_Data!B882</f>
        <v/>
      </c>
      <c r="C882">
        <f>Raw_Data!C882</f>
        <v/>
      </c>
      <c r="D882">
        <f>Raw_Data!D882</f>
        <v/>
      </c>
      <c r="E882">
        <f>Raw_Data!E882</f>
        <v/>
      </c>
      <c r="F882">
        <f>Raw_Data!F882</f>
        <v/>
      </c>
      <c r="G882">
        <f>Raw_Data!G882</f>
        <v/>
      </c>
      <c r="H882">
        <f>Raw_Data!H882</f>
        <v/>
      </c>
      <c r="I882">
        <f>Raw_Data!I882</f>
        <v/>
      </c>
      <c r="J882" s="12">
        <f>Raw_Data!J882</f>
        <v/>
      </c>
      <c r="K882" s="13">
        <f>Raw_Data!K882</f>
        <v/>
      </c>
      <c r="L882" s="12">
        <f>Raw_Data!L882</f>
        <v/>
      </c>
      <c r="M882" s="12">
        <f>Raw_Data!M882</f>
        <v/>
      </c>
      <c r="N882" s="12">
        <f>Raw_Data!N882</f>
        <v/>
      </c>
      <c r="O882">
        <f>Raw_Data!O882</f>
        <v/>
      </c>
      <c r="P882">
        <f>Raw_Data!P882</f>
        <v/>
      </c>
      <c r="Q882">
        <f>YEAR(B882)</f>
        <v/>
      </c>
      <c r="R882">
        <f>TEXT(B882,"mmm")</f>
        <v/>
      </c>
      <c r="S882" s="15">
        <f>IFERROR(N882/L882,0)</f>
        <v/>
      </c>
    </row>
    <row r="883">
      <c r="A883">
        <f>Raw_Data!A883</f>
        <v/>
      </c>
      <c r="B883" s="11">
        <f>Raw_Data!B883</f>
        <v/>
      </c>
      <c r="C883">
        <f>Raw_Data!C883</f>
        <v/>
      </c>
      <c r="D883">
        <f>Raw_Data!D883</f>
        <v/>
      </c>
      <c r="E883">
        <f>Raw_Data!E883</f>
        <v/>
      </c>
      <c r="F883">
        <f>Raw_Data!F883</f>
        <v/>
      </c>
      <c r="G883">
        <f>Raw_Data!G883</f>
        <v/>
      </c>
      <c r="H883">
        <f>Raw_Data!H883</f>
        <v/>
      </c>
      <c r="I883">
        <f>Raw_Data!I883</f>
        <v/>
      </c>
      <c r="J883" s="12">
        <f>Raw_Data!J883</f>
        <v/>
      </c>
      <c r="K883" s="13">
        <f>Raw_Data!K883</f>
        <v/>
      </c>
      <c r="L883" s="12">
        <f>Raw_Data!L883</f>
        <v/>
      </c>
      <c r="M883" s="12">
        <f>Raw_Data!M883</f>
        <v/>
      </c>
      <c r="N883" s="12">
        <f>Raw_Data!N883</f>
        <v/>
      </c>
      <c r="O883">
        <f>Raw_Data!O883</f>
        <v/>
      </c>
      <c r="P883">
        <f>Raw_Data!P883</f>
        <v/>
      </c>
      <c r="Q883">
        <f>YEAR(B883)</f>
        <v/>
      </c>
      <c r="R883">
        <f>TEXT(B883,"mmm")</f>
        <v/>
      </c>
      <c r="S883" s="15">
        <f>IFERROR(N883/L883,0)</f>
        <v/>
      </c>
    </row>
    <row r="884">
      <c r="A884">
        <f>Raw_Data!A884</f>
        <v/>
      </c>
      <c r="B884" s="11">
        <f>Raw_Data!B884</f>
        <v/>
      </c>
      <c r="C884">
        <f>Raw_Data!C884</f>
        <v/>
      </c>
      <c r="D884">
        <f>Raw_Data!D884</f>
        <v/>
      </c>
      <c r="E884">
        <f>Raw_Data!E884</f>
        <v/>
      </c>
      <c r="F884">
        <f>Raw_Data!F884</f>
        <v/>
      </c>
      <c r="G884">
        <f>Raw_Data!G884</f>
        <v/>
      </c>
      <c r="H884">
        <f>Raw_Data!H884</f>
        <v/>
      </c>
      <c r="I884">
        <f>Raw_Data!I884</f>
        <v/>
      </c>
      <c r="J884" s="12">
        <f>Raw_Data!J884</f>
        <v/>
      </c>
      <c r="K884" s="13">
        <f>Raw_Data!K884</f>
        <v/>
      </c>
      <c r="L884" s="12">
        <f>Raw_Data!L884</f>
        <v/>
      </c>
      <c r="M884" s="12">
        <f>Raw_Data!M884</f>
        <v/>
      </c>
      <c r="N884" s="12">
        <f>Raw_Data!N884</f>
        <v/>
      </c>
      <c r="O884">
        <f>Raw_Data!O884</f>
        <v/>
      </c>
      <c r="P884">
        <f>Raw_Data!P884</f>
        <v/>
      </c>
      <c r="Q884">
        <f>YEAR(B884)</f>
        <v/>
      </c>
      <c r="R884">
        <f>TEXT(B884,"mmm")</f>
        <v/>
      </c>
      <c r="S884" s="15">
        <f>IFERROR(N884/L884,0)</f>
        <v/>
      </c>
    </row>
    <row r="885">
      <c r="A885">
        <f>Raw_Data!A885</f>
        <v/>
      </c>
      <c r="B885" s="11">
        <f>Raw_Data!B885</f>
        <v/>
      </c>
      <c r="C885">
        <f>Raw_Data!C885</f>
        <v/>
      </c>
      <c r="D885">
        <f>Raw_Data!D885</f>
        <v/>
      </c>
      <c r="E885">
        <f>Raw_Data!E885</f>
        <v/>
      </c>
      <c r="F885">
        <f>Raw_Data!F885</f>
        <v/>
      </c>
      <c r="G885">
        <f>Raw_Data!G885</f>
        <v/>
      </c>
      <c r="H885">
        <f>Raw_Data!H885</f>
        <v/>
      </c>
      <c r="I885">
        <f>Raw_Data!I885</f>
        <v/>
      </c>
      <c r="J885" s="12">
        <f>Raw_Data!J885</f>
        <v/>
      </c>
      <c r="K885" s="13">
        <f>Raw_Data!K885</f>
        <v/>
      </c>
      <c r="L885" s="12">
        <f>Raw_Data!L885</f>
        <v/>
      </c>
      <c r="M885" s="12">
        <f>Raw_Data!M885</f>
        <v/>
      </c>
      <c r="N885" s="12">
        <f>Raw_Data!N885</f>
        <v/>
      </c>
      <c r="O885">
        <f>Raw_Data!O885</f>
        <v/>
      </c>
      <c r="P885">
        <f>Raw_Data!P885</f>
        <v/>
      </c>
      <c r="Q885">
        <f>YEAR(B885)</f>
        <v/>
      </c>
      <c r="R885">
        <f>TEXT(B885,"mmm")</f>
        <v/>
      </c>
      <c r="S885" s="15">
        <f>IFERROR(N885/L885,0)</f>
        <v/>
      </c>
    </row>
    <row r="886">
      <c r="A886">
        <f>Raw_Data!A886</f>
        <v/>
      </c>
      <c r="B886" s="11">
        <f>Raw_Data!B886</f>
        <v/>
      </c>
      <c r="C886">
        <f>Raw_Data!C886</f>
        <v/>
      </c>
      <c r="D886">
        <f>Raw_Data!D886</f>
        <v/>
      </c>
      <c r="E886">
        <f>Raw_Data!E886</f>
        <v/>
      </c>
      <c r="F886">
        <f>Raw_Data!F886</f>
        <v/>
      </c>
      <c r="G886">
        <f>Raw_Data!G886</f>
        <v/>
      </c>
      <c r="H886">
        <f>Raw_Data!H886</f>
        <v/>
      </c>
      <c r="I886">
        <f>Raw_Data!I886</f>
        <v/>
      </c>
      <c r="J886" s="12">
        <f>Raw_Data!J886</f>
        <v/>
      </c>
      <c r="K886" s="13">
        <f>Raw_Data!K886</f>
        <v/>
      </c>
      <c r="L886" s="12">
        <f>Raw_Data!L886</f>
        <v/>
      </c>
      <c r="M886" s="12">
        <f>Raw_Data!M886</f>
        <v/>
      </c>
      <c r="N886" s="12">
        <f>Raw_Data!N886</f>
        <v/>
      </c>
      <c r="O886">
        <f>Raw_Data!O886</f>
        <v/>
      </c>
      <c r="P886">
        <f>Raw_Data!P886</f>
        <v/>
      </c>
      <c r="Q886">
        <f>YEAR(B886)</f>
        <v/>
      </c>
      <c r="R886">
        <f>TEXT(B886,"mmm")</f>
        <v/>
      </c>
      <c r="S886" s="15">
        <f>IFERROR(N886/L886,0)</f>
        <v/>
      </c>
    </row>
    <row r="887">
      <c r="A887">
        <f>Raw_Data!A887</f>
        <v/>
      </c>
      <c r="B887" s="11">
        <f>Raw_Data!B887</f>
        <v/>
      </c>
      <c r="C887">
        <f>Raw_Data!C887</f>
        <v/>
      </c>
      <c r="D887">
        <f>Raw_Data!D887</f>
        <v/>
      </c>
      <c r="E887">
        <f>Raw_Data!E887</f>
        <v/>
      </c>
      <c r="F887">
        <f>Raw_Data!F887</f>
        <v/>
      </c>
      <c r="G887">
        <f>Raw_Data!G887</f>
        <v/>
      </c>
      <c r="H887">
        <f>Raw_Data!H887</f>
        <v/>
      </c>
      <c r="I887">
        <f>Raw_Data!I887</f>
        <v/>
      </c>
      <c r="J887" s="12">
        <f>Raw_Data!J887</f>
        <v/>
      </c>
      <c r="K887" s="13">
        <f>Raw_Data!K887</f>
        <v/>
      </c>
      <c r="L887" s="12">
        <f>Raw_Data!L887</f>
        <v/>
      </c>
      <c r="M887" s="12">
        <f>Raw_Data!M887</f>
        <v/>
      </c>
      <c r="N887" s="12">
        <f>Raw_Data!N887</f>
        <v/>
      </c>
      <c r="O887">
        <f>Raw_Data!O887</f>
        <v/>
      </c>
      <c r="P887">
        <f>Raw_Data!P887</f>
        <v/>
      </c>
      <c r="Q887">
        <f>YEAR(B887)</f>
        <v/>
      </c>
      <c r="R887">
        <f>TEXT(B887,"mmm")</f>
        <v/>
      </c>
      <c r="S887" s="15">
        <f>IFERROR(N887/L887,0)</f>
        <v/>
      </c>
    </row>
    <row r="888">
      <c r="A888">
        <f>Raw_Data!A888</f>
        <v/>
      </c>
      <c r="B888" s="11">
        <f>Raw_Data!B888</f>
        <v/>
      </c>
      <c r="C888">
        <f>Raw_Data!C888</f>
        <v/>
      </c>
      <c r="D888">
        <f>Raw_Data!D888</f>
        <v/>
      </c>
      <c r="E888">
        <f>Raw_Data!E888</f>
        <v/>
      </c>
      <c r="F888">
        <f>Raw_Data!F888</f>
        <v/>
      </c>
      <c r="G888">
        <f>Raw_Data!G888</f>
        <v/>
      </c>
      <c r="H888">
        <f>Raw_Data!H888</f>
        <v/>
      </c>
      <c r="I888">
        <f>Raw_Data!I888</f>
        <v/>
      </c>
      <c r="J888" s="12">
        <f>Raw_Data!J888</f>
        <v/>
      </c>
      <c r="K888" s="13">
        <f>Raw_Data!K888</f>
        <v/>
      </c>
      <c r="L888" s="12">
        <f>Raw_Data!L888</f>
        <v/>
      </c>
      <c r="M888" s="12">
        <f>Raw_Data!M888</f>
        <v/>
      </c>
      <c r="N888" s="12">
        <f>Raw_Data!N888</f>
        <v/>
      </c>
      <c r="O888">
        <f>Raw_Data!O888</f>
        <v/>
      </c>
      <c r="P888">
        <f>Raw_Data!P888</f>
        <v/>
      </c>
      <c r="Q888">
        <f>YEAR(B888)</f>
        <v/>
      </c>
      <c r="R888">
        <f>TEXT(B888,"mmm")</f>
        <v/>
      </c>
      <c r="S888" s="15">
        <f>IFERROR(N888/L888,0)</f>
        <v/>
      </c>
    </row>
    <row r="889">
      <c r="A889">
        <f>Raw_Data!A889</f>
        <v/>
      </c>
      <c r="B889" s="11">
        <f>Raw_Data!B889</f>
        <v/>
      </c>
      <c r="C889">
        <f>Raw_Data!C889</f>
        <v/>
      </c>
      <c r="D889">
        <f>Raw_Data!D889</f>
        <v/>
      </c>
      <c r="E889">
        <f>Raw_Data!E889</f>
        <v/>
      </c>
      <c r="F889">
        <f>Raw_Data!F889</f>
        <v/>
      </c>
      <c r="G889">
        <f>Raw_Data!G889</f>
        <v/>
      </c>
      <c r="H889">
        <f>Raw_Data!H889</f>
        <v/>
      </c>
      <c r="I889">
        <f>Raw_Data!I889</f>
        <v/>
      </c>
      <c r="J889" s="12">
        <f>Raw_Data!J889</f>
        <v/>
      </c>
      <c r="K889" s="13">
        <f>Raw_Data!K889</f>
        <v/>
      </c>
      <c r="L889" s="12">
        <f>Raw_Data!L889</f>
        <v/>
      </c>
      <c r="M889" s="12">
        <f>Raw_Data!M889</f>
        <v/>
      </c>
      <c r="N889" s="12">
        <f>Raw_Data!N889</f>
        <v/>
      </c>
      <c r="O889">
        <f>Raw_Data!O889</f>
        <v/>
      </c>
      <c r="P889">
        <f>Raw_Data!P889</f>
        <v/>
      </c>
      <c r="Q889">
        <f>YEAR(B889)</f>
        <v/>
      </c>
      <c r="R889">
        <f>TEXT(B889,"mmm")</f>
        <v/>
      </c>
      <c r="S889" s="15">
        <f>IFERROR(N889/L889,0)</f>
        <v/>
      </c>
    </row>
    <row r="890">
      <c r="A890">
        <f>Raw_Data!A890</f>
        <v/>
      </c>
      <c r="B890" s="11">
        <f>Raw_Data!B890</f>
        <v/>
      </c>
      <c r="C890">
        <f>Raw_Data!C890</f>
        <v/>
      </c>
      <c r="D890">
        <f>Raw_Data!D890</f>
        <v/>
      </c>
      <c r="E890">
        <f>Raw_Data!E890</f>
        <v/>
      </c>
      <c r="F890">
        <f>Raw_Data!F890</f>
        <v/>
      </c>
      <c r="G890">
        <f>Raw_Data!G890</f>
        <v/>
      </c>
      <c r="H890">
        <f>Raw_Data!H890</f>
        <v/>
      </c>
      <c r="I890">
        <f>Raw_Data!I890</f>
        <v/>
      </c>
      <c r="J890" s="12">
        <f>Raw_Data!J890</f>
        <v/>
      </c>
      <c r="K890" s="13">
        <f>Raw_Data!K890</f>
        <v/>
      </c>
      <c r="L890" s="12">
        <f>Raw_Data!L890</f>
        <v/>
      </c>
      <c r="M890" s="12">
        <f>Raw_Data!M890</f>
        <v/>
      </c>
      <c r="N890" s="12">
        <f>Raw_Data!N890</f>
        <v/>
      </c>
      <c r="O890">
        <f>Raw_Data!O890</f>
        <v/>
      </c>
      <c r="P890">
        <f>Raw_Data!P890</f>
        <v/>
      </c>
      <c r="Q890">
        <f>YEAR(B890)</f>
        <v/>
      </c>
      <c r="R890">
        <f>TEXT(B890,"mmm")</f>
        <v/>
      </c>
      <c r="S890" s="15">
        <f>IFERROR(N890/L890,0)</f>
        <v/>
      </c>
    </row>
    <row r="891">
      <c r="A891">
        <f>Raw_Data!A891</f>
        <v/>
      </c>
      <c r="B891" s="11">
        <f>Raw_Data!B891</f>
        <v/>
      </c>
      <c r="C891">
        <f>Raw_Data!C891</f>
        <v/>
      </c>
      <c r="D891">
        <f>Raw_Data!D891</f>
        <v/>
      </c>
      <c r="E891">
        <f>Raw_Data!E891</f>
        <v/>
      </c>
      <c r="F891">
        <f>Raw_Data!F891</f>
        <v/>
      </c>
      <c r="G891">
        <f>Raw_Data!G891</f>
        <v/>
      </c>
      <c r="H891">
        <f>Raw_Data!H891</f>
        <v/>
      </c>
      <c r="I891">
        <f>Raw_Data!I891</f>
        <v/>
      </c>
      <c r="J891" s="12">
        <f>Raw_Data!J891</f>
        <v/>
      </c>
      <c r="K891" s="13">
        <f>Raw_Data!K891</f>
        <v/>
      </c>
      <c r="L891" s="12">
        <f>Raw_Data!L891</f>
        <v/>
      </c>
      <c r="M891" s="12">
        <f>Raw_Data!M891</f>
        <v/>
      </c>
      <c r="N891" s="12">
        <f>Raw_Data!N891</f>
        <v/>
      </c>
      <c r="O891">
        <f>Raw_Data!O891</f>
        <v/>
      </c>
      <c r="P891">
        <f>Raw_Data!P891</f>
        <v/>
      </c>
      <c r="Q891">
        <f>YEAR(B891)</f>
        <v/>
      </c>
      <c r="R891">
        <f>TEXT(B891,"mmm")</f>
        <v/>
      </c>
      <c r="S891" s="15">
        <f>IFERROR(N891/L891,0)</f>
        <v/>
      </c>
    </row>
    <row r="892">
      <c r="A892">
        <f>Raw_Data!A892</f>
        <v/>
      </c>
      <c r="B892" s="11">
        <f>Raw_Data!B892</f>
        <v/>
      </c>
      <c r="C892">
        <f>Raw_Data!C892</f>
        <v/>
      </c>
      <c r="D892">
        <f>Raw_Data!D892</f>
        <v/>
      </c>
      <c r="E892">
        <f>Raw_Data!E892</f>
        <v/>
      </c>
      <c r="F892">
        <f>Raw_Data!F892</f>
        <v/>
      </c>
      <c r="G892">
        <f>Raw_Data!G892</f>
        <v/>
      </c>
      <c r="H892">
        <f>Raw_Data!H892</f>
        <v/>
      </c>
      <c r="I892">
        <f>Raw_Data!I892</f>
        <v/>
      </c>
      <c r="J892" s="12">
        <f>Raw_Data!J892</f>
        <v/>
      </c>
      <c r="K892" s="13">
        <f>Raw_Data!K892</f>
        <v/>
      </c>
      <c r="L892" s="12">
        <f>Raw_Data!L892</f>
        <v/>
      </c>
      <c r="M892" s="12">
        <f>Raw_Data!M892</f>
        <v/>
      </c>
      <c r="N892" s="12">
        <f>Raw_Data!N892</f>
        <v/>
      </c>
      <c r="O892">
        <f>Raw_Data!O892</f>
        <v/>
      </c>
      <c r="P892">
        <f>Raw_Data!P892</f>
        <v/>
      </c>
      <c r="Q892">
        <f>YEAR(B892)</f>
        <v/>
      </c>
      <c r="R892">
        <f>TEXT(B892,"mmm")</f>
        <v/>
      </c>
      <c r="S892" s="15">
        <f>IFERROR(N892/L892,0)</f>
        <v/>
      </c>
    </row>
    <row r="893">
      <c r="A893">
        <f>Raw_Data!A893</f>
        <v/>
      </c>
      <c r="B893" s="11">
        <f>Raw_Data!B893</f>
        <v/>
      </c>
      <c r="C893">
        <f>Raw_Data!C893</f>
        <v/>
      </c>
      <c r="D893">
        <f>Raw_Data!D893</f>
        <v/>
      </c>
      <c r="E893">
        <f>Raw_Data!E893</f>
        <v/>
      </c>
      <c r="F893">
        <f>Raw_Data!F893</f>
        <v/>
      </c>
      <c r="G893">
        <f>Raw_Data!G893</f>
        <v/>
      </c>
      <c r="H893">
        <f>Raw_Data!H893</f>
        <v/>
      </c>
      <c r="I893">
        <f>Raw_Data!I893</f>
        <v/>
      </c>
      <c r="J893" s="12">
        <f>Raw_Data!J893</f>
        <v/>
      </c>
      <c r="K893" s="13">
        <f>Raw_Data!K893</f>
        <v/>
      </c>
      <c r="L893" s="12">
        <f>Raw_Data!L893</f>
        <v/>
      </c>
      <c r="M893" s="12">
        <f>Raw_Data!M893</f>
        <v/>
      </c>
      <c r="N893" s="12">
        <f>Raw_Data!N893</f>
        <v/>
      </c>
      <c r="O893">
        <f>Raw_Data!O893</f>
        <v/>
      </c>
      <c r="P893">
        <f>Raw_Data!P893</f>
        <v/>
      </c>
      <c r="Q893">
        <f>YEAR(B893)</f>
        <v/>
      </c>
      <c r="R893">
        <f>TEXT(B893,"mmm")</f>
        <v/>
      </c>
      <c r="S893" s="15">
        <f>IFERROR(N893/L893,0)</f>
        <v/>
      </c>
    </row>
    <row r="894">
      <c r="A894">
        <f>Raw_Data!A894</f>
        <v/>
      </c>
      <c r="B894" s="11">
        <f>Raw_Data!B894</f>
        <v/>
      </c>
      <c r="C894">
        <f>Raw_Data!C894</f>
        <v/>
      </c>
      <c r="D894">
        <f>Raw_Data!D894</f>
        <v/>
      </c>
      <c r="E894">
        <f>Raw_Data!E894</f>
        <v/>
      </c>
      <c r="F894">
        <f>Raw_Data!F894</f>
        <v/>
      </c>
      <c r="G894">
        <f>Raw_Data!G894</f>
        <v/>
      </c>
      <c r="H894">
        <f>Raw_Data!H894</f>
        <v/>
      </c>
      <c r="I894">
        <f>Raw_Data!I894</f>
        <v/>
      </c>
      <c r="J894" s="12">
        <f>Raw_Data!J894</f>
        <v/>
      </c>
      <c r="K894" s="13">
        <f>Raw_Data!K894</f>
        <v/>
      </c>
      <c r="L894" s="12">
        <f>Raw_Data!L894</f>
        <v/>
      </c>
      <c r="M894" s="12">
        <f>Raw_Data!M894</f>
        <v/>
      </c>
      <c r="N894" s="12">
        <f>Raw_Data!N894</f>
        <v/>
      </c>
      <c r="O894">
        <f>Raw_Data!O894</f>
        <v/>
      </c>
      <c r="P894">
        <f>Raw_Data!P894</f>
        <v/>
      </c>
      <c r="Q894">
        <f>YEAR(B894)</f>
        <v/>
      </c>
      <c r="R894">
        <f>TEXT(B894,"mmm")</f>
        <v/>
      </c>
      <c r="S894" s="15">
        <f>IFERROR(N894/L894,0)</f>
        <v/>
      </c>
    </row>
    <row r="895">
      <c r="A895">
        <f>Raw_Data!A895</f>
        <v/>
      </c>
      <c r="B895" s="11">
        <f>Raw_Data!B895</f>
        <v/>
      </c>
      <c r="C895">
        <f>Raw_Data!C895</f>
        <v/>
      </c>
      <c r="D895">
        <f>Raw_Data!D895</f>
        <v/>
      </c>
      <c r="E895">
        <f>Raw_Data!E895</f>
        <v/>
      </c>
      <c r="F895">
        <f>Raw_Data!F895</f>
        <v/>
      </c>
      <c r="G895">
        <f>Raw_Data!G895</f>
        <v/>
      </c>
      <c r="H895">
        <f>Raw_Data!H895</f>
        <v/>
      </c>
      <c r="I895">
        <f>Raw_Data!I895</f>
        <v/>
      </c>
      <c r="J895" s="12">
        <f>Raw_Data!J895</f>
        <v/>
      </c>
      <c r="K895" s="13">
        <f>Raw_Data!K895</f>
        <v/>
      </c>
      <c r="L895" s="12">
        <f>Raw_Data!L895</f>
        <v/>
      </c>
      <c r="M895" s="12">
        <f>Raw_Data!M895</f>
        <v/>
      </c>
      <c r="N895" s="12">
        <f>Raw_Data!N895</f>
        <v/>
      </c>
      <c r="O895">
        <f>Raw_Data!O895</f>
        <v/>
      </c>
      <c r="P895">
        <f>Raw_Data!P895</f>
        <v/>
      </c>
      <c r="Q895">
        <f>YEAR(B895)</f>
        <v/>
      </c>
      <c r="R895">
        <f>TEXT(B895,"mmm")</f>
        <v/>
      </c>
      <c r="S895" s="15">
        <f>IFERROR(N895/L895,0)</f>
        <v/>
      </c>
    </row>
    <row r="896">
      <c r="A896">
        <f>Raw_Data!A896</f>
        <v/>
      </c>
      <c r="B896" s="11">
        <f>Raw_Data!B896</f>
        <v/>
      </c>
      <c r="C896">
        <f>Raw_Data!C896</f>
        <v/>
      </c>
      <c r="D896">
        <f>Raw_Data!D896</f>
        <v/>
      </c>
      <c r="E896">
        <f>Raw_Data!E896</f>
        <v/>
      </c>
      <c r="F896">
        <f>Raw_Data!F896</f>
        <v/>
      </c>
      <c r="G896">
        <f>Raw_Data!G896</f>
        <v/>
      </c>
      <c r="H896">
        <f>Raw_Data!H896</f>
        <v/>
      </c>
      <c r="I896">
        <f>Raw_Data!I896</f>
        <v/>
      </c>
      <c r="J896" s="12">
        <f>Raw_Data!J896</f>
        <v/>
      </c>
      <c r="K896" s="13">
        <f>Raw_Data!K896</f>
        <v/>
      </c>
      <c r="L896" s="12">
        <f>Raw_Data!L896</f>
        <v/>
      </c>
      <c r="M896" s="12">
        <f>Raw_Data!M896</f>
        <v/>
      </c>
      <c r="N896" s="12">
        <f>Raw_Data!N896</f>
        <v/>
      </c>
      <c r="O896">
        <f>Raw_Data!O896</f>
        <v/>
      </c>
      <c r="P896">
        <f>Raw_Data!P896</f>
        <v/>
      </c>
      <c r="Q896">
        <f>YEAR(B896)</f>
        <v/>
      </c>
      <c r="R896">
        <f>TEXT(B896,"mmm")</f>
        <v/>
      </c>
      <c r="S896" s="15">
        <f>IFERROR(N896/L896,0)</f>
        <v/>
      </c>
    </row>
    <row r="897">
      <c r="A897">
        <f>Raw_Data!A897</f>
        <v/>
      </c>
      <c r="B897" s="11">
        <f>Raw_Data!B897</f>
        <v/>
      </c>
      <c r="C897">
        <f>Raw_Data!C897</f>
        <v/>
      </c>
      <c r="D897">
        <f>Raw_Data!D897</f>
        <v/>
      </c>
      <c r="E897">
        <f>Raw_Data!E897</f>
        <v/>
      </c>
      <c r="F897">
        <f>Raw_Data!F897</f>
        <v/>
      </c>
      <c r="G897">
        <f>Raw_Data!G897</f>
        <v/>
      </c>
      <c r="H897">
        <f>Raw_Data!H897</f>
        <v/>
      </c>
      <c r="I897">
        <f>Raw_Data!I897</f>
        <v/>
      </c>
      <c r="J897" s="12">
        <f>Raw_Data!J897</f>
        <v/>
      </c>
      <c r="K897" s="13">
        <f>Raw_Data!K897</f>
        <v/>
      </c>
      <c r="L897" s="12">
        <f>Raw_Data!L897</f>
        <v/>
      </c>
      <c r="M897" s="12">
        <f>Raw_Data!M897</f>
        <v/>
      </c>
      <c r="N897" s="12">
        <f>Raw_Data!N897</f>
        <v/>
      </c>
      <c r="O897">
        <f>Raw_Data!O897</f>
        <v/>
      </c>
      <c r="P897">
        <f>Raw_Data!P897</f>
        <v/>
      </c>
      <c r="Q897">
        <f>YEAR(B897)</f>
        <v/>
      </c>
      <c r="R897">
        <f>TEXT(B897,"mmm")</f>
        <v/>
      </c>
      <c r="S897" s="15">
        <f>IFERROR(N897/L897,0)</f>
        <v/>
      </c>
    </row>
    <row r="898">
      <c r="A898">
        <f>Raw_Data!A898</f>
        <v/>
      </c>
      <c r="B898" s="11">
        <f>Raw_Data!B898</f>
        <v/>
      </c>
      <c r="C898">
        <f>Raw_Data!C898</f>
        <v/>
      </c>
      <c r="D898">
        <f>Raw_Data!D898</f>
        <v/>
      </c>
      <c r="E898">
        <f>Raw_Data!E898</f>
        <v/>
      </c>
      <c r="F898">
        <f>Raw_Data!F898</f>
        <v/>
      </c>
      <c r="G898">
        <f>Raw_Data!G898</f>
        <v/>
      </c>
      <c r="H898">
        <f>Raw_Data!H898</f>
        <v/>
      </c>
      <c r="I898">
        <f>Raw_Data!I898</f>
        <v/>
      </c>
      <c r="J898" s="12">
        <f>Raw_Data!J898</f>
        <v/>
      </c>
      <c r="K898" s="13">
        <f>Raw_Data!K898</f>
        <v/>
      </c>
      <c r="L898" s="12">
        <f>Raw_Data!L898</f>
        <v/>
      </c>
      <c r="M898" s="12">
        <f>Raw_Data!M898</f>
        <v/>
      </c>
      <c r="N898" s="12">
        <f>Raw_Data!N898</f>
        <v/>
      </c>
      <c r="O898">
        <f>Raw_Data!O898</f>
        <v/>
      </c>
      <c r="P898">
        <f>Raw_Data!P898</f>
        <v/>
      </c>
      <c r="Q898">
        <f>YEAR(B898)</f>
        <v/>
      </c>
      <c r="R898">
        <f>TEXT(B898,"mmm")</f>
        <v/>
      </c>
      <c r="S898" s="15">
        <f>IFERROR(N898/L898,0)</f>
        <v/>
      </c>
    </row>
    <row r="899">
      <c r="A899">
        <f>Raw_Data!A899</f>
        <v/>
      </c>
      <c r="B899" s="11">
        <f>Raw_Data!B899</f>
        <v/>
      </c>
      <c r="C899">
        <f>Raw_Data!C899</f>
        <v/>
      </c>
      <c r="D899">
        <f>Raw_Data!D899</f>
        <v/>
      </c>
      <c r="E899">
        <f>Raw_Data!E899</f>
        <v/>
      </c>
      <c r="F899">
        <f>Raw_Data!F899</f>
        <v/>
      </c>
      <c r="G899">
        <f>Raw_Data!G899</f>
        <v/>
      </c>
      <c r="H899">
        <f>Raw_Data!H899</f>
        <v/>
      </c>
      <c r="I899">
        <f>Raw_Data!I899</f>
        <v/>
      </c>
      <c r="J899" s="12">
        <f>Raw_Data!J899</f>
        <v/>
      </c>
      <c r="K899" s="13">
        <f>Raw_Data!K899</f>
        <v/>
      </c>
      <c r="L899" s="12">
        <f>Raw_Data!L899</f>
        <v/>
      </c>
      <c r="M899" s="12">
        <f>Raw_Data!M899</f>
        <v/>
      </c>
      <c r="N899" s="12">
        <f>Raw_Data!N899</f>
        <v/>
      </c>
      <c r="O899">
        <f>Raw_Data!O899</f>
        <v/>
      </c>
      <c r="P899">
        <f>Raw_Data!P899</f>
        <v/>
      </c>
      <c r="Q899">
        <f>YEAR(B899)</f>
        <v/>
      </c>
      <c r="R899">
        <f>TEXT(B899,"mmm")</f>
        <v/>
      </c>
      <c r="S899" s="15">
        <f>IFERROR(N899/L899,0)</f>
        <v/>
      </c>
    </row>
    <row r="900">
      <c r="A900">
        <f>Raw_Data!A900</f>
        <v/>
      </c>
      <c r="B900" s="11">
        <f>Raw_Data!B900</f>
        <v/>
      </c>
      <c r="C900">
        <f>Raw_Data!C900</f>
        <v/>
      </c>
      <c r="D900">
        <f>Raw_Data!D900</f>
        <v/>
      </c>
      <c r="E900">
        <f>Raw_Data!E900</f>
        <v/>
      </c>
      <c r="F900">
        <f>Raw_Data!F900</f>
        <v/>
      </c>
      <c r="G900">
        <f>Raw_Data!G900</f>
        <v/>
      </c>
      <c r="H900">
        <f>Raw_Data!H900</f>
        <v/>
      </c>
      <c r="I900">
        <f>Raw_Data!I900</f>
        <v/>
      </c>
      <c r="J900" s="12">
        <f>Raw_Data!J900</f>
        <v/>
      </c>
      <c r="K900" s="13">
        <f>Raw_Data!K900</f>
        <v/>
      </c>
      <c r="L900" s="12">
        <f>Raw_Data!L900</f>
        <v/>
      </c>
      <c r="M900" s="12">
        <f>Raw_Data!M900</f>
        <v/>
      </c>
      <c r="N900" s="12">
        <f>Raw_Data!N900</f>
        <v/>
      </c>
      <c r="O900">
        <f>Raw_Data!O900</f>
        <v/>
      </c>
      <c r="P900">
        <f>Raw_Data!P900</f>
        <v/>
      </c>
      <c r="Q900">
        <f>YEAR(B900)</f>
        <v/>
      </c>
      <c r="R900">
        <f>TEXT(B900,"mmm")</f>
        <v/>
      </c>
      <c r="S900" s="15">
        <f>IFERROR(N900/L900,0)</f>
        <v/>
      </c>
    </row>
    <row r="901">
      <c r="A901">
        <f>Raw_Data!A901</f>
        <v/>
      </c>
      <c r="B901" s="11">
        <f>Raw_Data!B901</f>
        <v/>
      </c>
      <c r="C901">
        <f>Raw_Data!C901</f>
        <v/>
      </c>
      <c r="D901">
        <f>Raw_Data!D901</f>
        <v/>
      </c>
      <c r="E901">
        <f>Raw_Data!E901</f>
        <v/>
      </c>
      <c r="F901">
        <f>Raw_Data!F901</f>
        <v/>
      </c>
      <c r="G901">
        <f>Raw_Data!G901</f>
        <v/>
      </c>
      <c r="H901">
        <f>Raw_Data!H901</f>
        <v/>
      </c>
      <c r="I901">
        <f>Raw_Data!I901</f>
        <v/>
      </c>
      <c r="J901" s="12">
        <f>Raw_Data!J901</f>
        <v/>
      </c>
      <c r="K901" s="13">
        <f>Raw_Data!K901</f>
        <v/>
      </c>
      <c r="L901" s="12">
        <f>Raw_Data!L901</f>
        <v/>
      </c>
      <c r="M901" s="12">
        <f>Raw_Data!M901</f>
        <v/>
      </c>
      <c r="N901" s="12">
        <f>Raw_Data!N901</f>
        <v/>
      </c>
      <c r="O901">
        <f>Raw_Data!O901</f>
        <v/>
      </c>
      <c r="P901">
        <f>Raw_Data!P901</f>
        <v/>
      </c>
      <c r="Q901">
        <f>YEAR(B901)</f>
        <v/>
      </c>
      <c r="R901">
        <f>TEXT(B901,"mmm")</f>
        <v/>
      </c>
      <c r="S901" s="15">
        <f>IFERROR(N901/L901,0)</f>
        <v/>
      </c>
    </row>
    <row r="902">
      <c r="A902">
        <f>Raw_Data!A902</f>
        <v/>
      </c>
      <c r="B902" s="11">
        <f>Raw_Data!B902</f>
        <v/>
      </c>
      <c r="C902">
        <f>Raw_Data!C902</f>
        <v/>
      </c>
      <c r="D902">
        <f>Raw_Data!D902</f>
        <v/>
      </c>
      <c r="E902">
        <f>Raw_Data!E902</f>
        <v/>
      </c>
      <c r="F902">
        <f>Raw_Data!F902</f>
        <v/>
      </c>
      <c r="G902">
        <f>Raw_Data!G902</f>
        <v/>
      </c>
      <c r="H902">
        <f>Raw_Data!H902</f>
        <v/>
      </c>
      <c r="I902">
        <f>Raw_Data!I902</f>
        <v/>
      </c>
      <c r="J902" s="12">
        <f>Raw_Data!J902</f>
        <v/>
      </c>
      <c r="K902" s="13">
        <f>Raw_Data!K902</f>
        <v/>
      </c>
      <c r="L902" s="12">
        <f>Raw_Data!L902</f>
        <v/>
      </c>
      <c r="M902" s="12">
        <f>Raw_Data!M902</f>
        <v/>
      </c>
      <c r="N902" s="12">
        <f>Raw_Data!N902</f>
        <v/>
      </c>
      <c r="O902">
        <f>Raw_Data!O902</f>
        <v/>
      </c>
      <c r="P902">
        <f>Raw_Data!P902</f>
        <v/>
      </c>
      <c r="Q902">
        <f>YEAR(B902)</f>
        <v/>
      </c>
      <c r="R902">
        <f>TEXT(B902,"mmm")</f>
        <v/>
      </c>
      <c r="S902" s="15">
        <f>IFERROR(N902/L902,0)</f>
        <v/>
      </c>
    </row>
    <row r="903">
      <c r="A903">
        <f>Raw_Data!A903</f>
        <v/>
      </c>
      <c r="B903" s="11">
        <f>Raw_Data!B903</f>
        <v/>
      </c>
      <c r="C903">
        <f>Raw_Data!C903</f>
        <v/>
      </c>
      <c r="D903">
        <f>Raw_Data!D903</f>
        <v/>
      </c>
      <c r="E903">
        <f>Raw_Data!E903</f>
        <v/>
      </c>
      <c r="F903">
        <f>Raw_Data!F903</f>
        <v/>
      </c>
      <c r="G903">
        <f>Raw_Data!G903</f>
        <v/>
      </c>
      <c r="H903">
        <f>Raw_Data!H903</f>
        <v/>
      </c>
      <c r="I903">
        <f>Raw_Data!I903</f>
        <v/>
      </c>
      <c r="J903" s="12">
        <f>Raw_Data!J903</f>
        <v/>
      </c>
      <c r="K903" s="13">
        <f>Raw_Data!K903</f>
        <v/>
      </c>
      <c r="L903" s="12">
        <f>Raw_Data!L903</f>
        <v/>
      </c>
      <c r="M903" s="12">
        <f>Raw_Data!M903</f>
        <v/>
      </c>
      <c r="N903" s="12">
        <f>Raw_Data!N903</f>
        <v/>
      </c>
      <c r="O903">
        <f>Raw_Data!O903</f>
        <v/>
      </c>
      <c r="P903">
        <f>Raw_Data!P903</f>
        <v/>
      </c>
      <c r="Q903">
        <f>YEAR(B903)</f>
        <v/>
      </c>
      <c r="R903">
        <f>TEXT(B903,"mmm")</f>
        <v/>
      </c>
      <c r="S903" s="15">
        <f>IFERROR(N903/L903,0)</f>
        <v/>
      </c>
    </row>
    <row r="904">
      <c r="A904">
        <f>Raw_Data!A904</f>
        <v/>
      </c>
      <c r="B904" s="11">
        <f>Raw_Data!B904</f>
        <v/>
      </c>
      <c r="C904">
        <f>Raw_Data!C904</f>
        <v/>
      </c>
      <c r="D904">
        <f>Raw_Data!D904</f>
        <v/>
      </c>
      <c r="E904">
        <f>Raw_Data!E904</f>
        <v/>
      </c>
      <c r="F904">
        <f>Raw_Data!F904</f>
        <v/>
      </c>
      <c r="G904">
        <f>Raw_Data!G904</f>
        <v/>
      </c>
      <c r="H904">
        <f>Raw_Data!H904</f>
        <v/>
      </c>
      <c r="I904">
        <f>Raw_Data!I904</f>
        <v/>
      </c>
      <c r="J904" s="12">
        <f>Raw_Data!J904</f>
        <v/>
      </c>
      <c r="K904" s="13">
        <f>Raw_Data!K904</f>
        <v/>
      </c>
      <c r="L904" s="12">
        <f>Raw_Data!L904</f>
        <v/>
      </c>
      <c r="M904" s="12">
        <f>Raw_Data!M904</f>
        <v/>
      </c>
      <c r="N904" s="12">
        <f>Raw_Data!N904</f>
        <v/>
      </c>
      <c r="O904">
        <f>Raw_Data!O904</f>
        <v/>
      </c>
      <c r="P904">
        <f>Raw_Data!P904</f>
        <v/>
      </c>
      <c r="Q904">
        <f>YEAR(B904)</f>
        <v/>
      </c>
      <c r="R904">
        <f>TEXT(B904,"mmm")</f>
        <v/>
      </c>
      <c r="S904" s="15">
        <f>IFERROR(N904/L904,0)</f>
        <v/>
      </c>
    </row>
    <row r="905">
      <c r="A905">
        <f>Raw_Data!A905</f>
        <v/>
      </c>
      <c r="B905" s="11">
        <f>Raw_Data!B905</f>
        <v/>
      </c>
      <c r="C905">
        <f>Raw_Data!C905</f>
        <v/>
      </c>
      <c r="D905">
        <f>Raw_Data!D905</f>
        <v/>
      </c>
      <c r="E905">
        <f>Raw_Data!E905</f>
        <v/>
      </c>
      <c r="F905">
        <f>Raw_Data!F905</f>
        <v/>
      </c>
      <c r="G905">
        <f>Raw_Data!G905</f>
        <v/>
      </c>
      <c r="H905">
        <f>Raw_Data!H905</f>
        <v/>
      </c>
      <c r="I905">
        <f>Raw_Data!I905</f>
        <v/>
      </c>
      <c r="J905" s="12">
        <f>Raw_Data!J905</f>
        <v/>
      </c>
      <c r="K905" s="13">
        <f>Raw_Data!K905</f>
        <v/>
      </c>
      <c r="L905" s="12">
        <f>Raw_Data!L905</f>
        <v/>
      </c>
      <c r="M905" s="12">
        <f>Raw_Data!M905</f>
        <v/>
      </c>
      <c r="N905" s="12">
        <f>Raw_Data!N905</f>
        <v/>
      </c>
      <c r="O905">
        <f>Raw_Data!O905</f>
        <v/>
      </c>
      <c r="P905">
        <f>Raw_Data!P905</f>
        <v/>
      </c>
      <c r="Q905">
        <f>YEAR(B905)</f>
        <v/>
      </c>
      <c r="R905">
        <f>TEXT(B905,"mmm")</f>
        <v/>
      </c>
      <c r="S905" s="15">
        <f>IFERROR(N905/L905,0)</f>
        <v/>
      </c>
    </row>
    <row r="906">
      <c r="A906">
        <f>Raw_Data!A906</f>
        <v/>
      </c>
      <c r="B906" s="11">
        <f>Raw_Data!B906</f>
        <v/>
      </c>
      <c r="C906">
        <f>Raw_Data!C906</f>
        <v/>
      </c>
      <c r="D906">
        <f>Raw_Data!D906</f>
        <v/>
      </c>
      <c r="E906">
        <f>Raw_Data!E906</f>
        <v/>
      </c>
      <c r="F906">
        <f>Raw_Data!F906</f>
        <v/>
      </c>
      <c r="G906">
        <f>Raw_Data!G906</f>
        <v/>
      </c>
      <c r="H906">
        <f>Raw_Data!H906</f>
        <v/>
      </c>
      <c r="I906">
        <f>Raw_Data!I906</f>
        <v/>
      </c>
      <c r="J906" s="12">
        <f>Raw_Data!J906</f>
        <v/>
      </c>
      <c r="K906" s="13">
        <f>Raw_Data!K906</f>
        <v/>
      </c>
      <c r="L906" s="12">
        <f>Raw_Data!L906</f>
        <v/>
      </c>
      <c r="M906" s="12">
        <f>Raw_Data!M906</f>
        <v/>
      </c>
      <c r="N906" s="12">
        <f>Raw_Data!N906</f>
        <v/>
      </c>
      <c r="O906">
        <f>Raw_Data!O906</f>
        <v/>
      </c>
      <c r="P906">
        <f>Raw_Data!P906</f>
        <v/>
      </c>
      <c r="Q906">
        <f>YEAR(B906)</f>
        <v/>
      </c>
      <c r="R906">
        <f>TEXT(B906,"mmm")</f>
        <v/>
      </c>
      <c r="S906" s="15">
        <f>IFERROR(N906/L906,0)</f>
        <v/>
      </c>
    </row>
    <row r="907">
      <c r="A907">
        <f>Raw_Data!A907</f>
        <v/>
      </c>
      <c r="B907" s="11">
        <f>Raw_Data!B907</f>
        <v/>
      </c>
      <c r="C907">
        <f>Raw_Data!C907</f>
        <v/>
      </c>
      <c r="D907">
        <f>Raw_Data!D907</f>
        <v/>
      </c>
      <c r="E907">
        <f>Raw_Data!E907</f>
        <v/>
      </c>
      <c r="F907">
        <f>Raw_Data!F907</f>
        <v/>
      </c>
      <c r="G907">
        <f>Raw_Data!G907</f>
        <v/>
      </c>
      <c r="H907">
        <f>Raw_Data!H907</f>
        <v/>
      </c>
      <c r="I907">
        <f>Raw_Data!I907</f>
        <v/>
      </c>
      <c r="J907" s="12">
        <f>Raw_Data!J907</f>
        <v/>
      </c>
      <c r="K907" s="13">
        <f>Raw_Data!K907</f>
        <v/>
      </c>
      <c r="L907" s="12">
        <f>Raw_Data!L907</f>
        <v/>
      </c>
      <c r="M907" s="12">
        <f>Raw_Data!M907</f>
        <v/>
      </c>
      <c r="N907" s="12">
        <f>Raw_Data!N907</f>
        <v/>
      </c>
      <c r="O907">
        <f>Raw_Data!O907</f>
        <v/>
      </c>
      <c r="P907">
        <f>Raw_Data!P907</f>
        <v/>
      </c>
      <c r="Q907">
        <f>YEAR(B907)</f>
        <v/>
      </c>
      <c r="R907">
        <f>TEXT(B907,"mmm")</f>
        <v/>
      </c>
      <c r="S907" s="15">
        <f>IFERROR(N907/L907,0)</f>
        <v/>
      </c>
    </row>
    <row r="908">
      <c r="A908">
        <f>Raw_Data!A908</f>
        <v/>
      </c>
      <c r="B908" s="11">
        <f>Raw_Data!B908</f>
        <v/>
      </c>
      <c r="C908">
        <f>Raw_Data!C908</f>
        <v/>
      </c>
      <c r="D908">
        <f>Raw_Data!D908</f>
        <v/>
      </c>
      <c r="E908">
        <f>Raw_Data!E908</f>
        <v/>
      </c>
      <c r="F908">
        <f>Raw_Data!F908</f>
        <v/>
      </c>
      <c r="G908">
        <f>Raw_Data!G908</f>
        <v/>
      </c>
      <c r="H908">
        <f>Raw_Data!H908</f>
        <v/>
      </c>
      <c r="I908">
        <f>Raw_Data!I908</f>
        <v/>
      </c>
      <c r="J908" s="12">
        <f>Raw_Data!J908</f>
        <v/>
      </c>
      <c r="K908" s="13">
        <f>Raw_Data!K908</f>
        <v/>
      </c>
      <c r="L908" s="12">
        <f>Raw_Data!L908</f>
        <v/>
      </c>
      <c r="M908" s="12">
        <f>Raw_Data!M908</f>
        <v/>
      </c>
      <c r="N908" s="12">
        <f>Raw_Data!N908</f>
        <v/>
      </c>
      <c r="O908">
        <f>Raw_Data!O908</f>
        <v/>
      </c>
      <c r="P908">
        <f>Raw_Data!P908</f>
        <v/>
      </c>
      <c r="Q908">
        <f>YEAR(B908)</f>
        <v/>
      </c>
      <c r="R908">
        <f>TEXT(B908,"mmm")</f>
        <v/>
      </c>
      <c r="S908" s="15">
        <f>IFERROR(N908/L908,0)</f>
        <v/>
      </c>
    </row>
    <row r="909">
      <c r="A909">
        <f>Raw_Data!A909</f>
        <v/>
      </c>
      <c r="B909" s="11">
        <f>Raw_Data!B909</f>
        <v/>
      </c>
      <c r="C909">
        <f>Raw_Data!C909</f>
        <v/>
      </c>
      <c r="D909">
        <f>Raw_Data!D909</f>
        <v/>
      </c>
      <c r="E909">
        <f>Raw_Data!E909</f>
        <v/>
      </c>
      <c r="F909">
        <f>Raw_Data!F909</f>
        <v/>
      </c>
      <c r="G909">
        <f>Raw_Data!G909</f>
        <v/>
      </c>
      <c r="H909">
        <f>Raw_Data!H909</f>
        <v/>
      </c>
      <c r="I909">
        <f>Raw_Data!I909</f>
        <v/>
      </c>
      <c r="J909" s="12">
        <f>Raw_Data!J909</f>
        <v/>
      </c>
      <c r="K909" s="13">
        <f>Raw_Data!K909</f>
        <v/>
      </c>
      <c r="L909" s="12">
        <f>Raw_Data!L909</f>
        <v/>
      </c>
      <c r="M909" s="12">
        <f>Raw_Data!M909</f>
        <v/>
      </c>
      <c r="N909" s="12">
        <f>Raw_Data!N909</f>
        <v/>
      </c>
      <c r="O909">
        <f>Raw_Data!O909</f>
        <v/>
      </c>
      <c r="P909">
        <f>Raw_Data!P909</f>
        <v/>
      </c>
      <c r="Q909">
        <f>YEAR(B909)</f>
        <v/>
      </c>
      <c r="R909">
        <f>TEXT(B909,"mmm")</f>
        <v/>
      </c>
      <c r="S909" s="15">
        <f>IFERROR(N909/L909,0)</f>
        <v/>
      </c>
    </row>
    <row r="910">
      <c r="A910">
        <f>Raw_Data!A910</f>
        <v/>
      </c>
      <c r="B910" s="11">
        <f>Raw_Data!B910</f>
        <v/>
      </c>
      <c r="C910">
        <f>Raw_Data!C910</f>
        <v/>
      </c>
      <c r="D910">
        <f>Raw_Data!D910</f>
        <v/>
      </c>
      <c r="E910">
        <f>Raw_Data!E910</f>
        <v/>
      </c>
      <c r="F910">
        <f>Raw_Data!F910</f>
        <v/>
      </c>
      <c r="G910">
        <f>Raw_Data!G910</f>
        <v/>
      </c>
      <c r="H910">
        <f>Raw_Data!H910</f>
        <v/>
      </c>
      <c r="I910">
        <f>Raw_Data!I910</f>
        <v/>
      </c>
      <c r="J910" s="12">
        <f>Raw_Data!J910</f>
        <v/>
      </c>
      <c r="K910" s="13">
        <f>Raw_Data!K910</f>
        <v/>
      </c>
      <c r="L910" s="12">
        <f>Raw_Data!L910</f>
        <v/>
      </c>
      <c r="M910" s="12">
        <f>Raw_Data!M910</f>
        <v/>
      </c>
      <c r="N910" s="12">
        <f>Raw_Data!N910</f>
        <v/>
      </c>
      <c r="O910">
        <f>Raw_Data!O910</f>
        <v/>
      </c>
      <c r="P910">
        <f>Raw_Data!P910</f>
        <v/>
      </c>
      <c r="Q910">
        <f>YEAR(B910)</f>
        <v/>
      </c>
      <c r="R910">
        <f>TEXT(B910,"mmm")</f>
        <v/>
      </c>
      <c r="S910" s="15">
        <f>IFERROR(N910/L910,0)</f>
        <v/>
      </c>
    </row>
    <row r="911">
      <c r="A911">
        <f>Raw_Data!A911</f>
        <v/>
      </c>
      <c r="B911" s="11">
        <f>Raw_Data!B911</f>
        <v/>
      </c>
      <c r="C911">
        <f>Raw_Data!C911</f>
        <v/>
      </c>
      <c r="D911">
        <f>Raw_Data!D911</f>
        <v/>
      </c>
      <c r="E911">
        <f>Raw_Data!E911</f>
        <v/>
      </c>
      <c r="F911">
        <f>Raw_Data!F911</f>
        <v/>
      </c>
      <c r="G911">
        <f>Raw_Data!G911</f>
        <v/>
      </c>
      <c r="H911">
        <f>Raw_Data!H911</f>
        <v/>
      </c>
      <c r="I911">
        <f>Raw_Data!I911</f>
        <v/>
      </c>
      <c r="J911" s="12">
        <f>Raw_Data!J911</f>
        <v/>
      </c>
      <c r="K911" s="13">
        <f>Raw_Data!K911</f>
        <v/>
      </c>
      <c r="L911" s="12">
        <f>Raw_Data!L911</f>
        <v/>
      </c>
      <c r="M911" s="12">
        <f>Raw_Data!M911</f>
        <v/>
      </c>
      <c r="N911" s="12">
        <f>Raw_Data!N911</f>
        <v/>
      </c>
      <c r="O911">
        <f>Raw_Data!O911</f>
        <v/>
      </c>
      <c r="P911">
        <f>Raw_Data!P911</f>
        <v/>
      </c>
      <c r="Q911">
        <f>YEAR(B911)</f>
        <v/>
      </c>
      <c r="R911">
        <f>TEXT(B911,"mmm")</f>
        <v/>
      </c>
      <c r="S911" s="15">
        <f>IFERROR(N911/L911,0)</f>
        <v/>
      </c>
    </row>
    <row r="912">
      <c r="A912">
        <f>Raw_Data!A912</f>
        <v/>
      </c>
      <c r="B912" s="11">
        <f>Raw_Data!B912</f>
        <v/>
      </c>
      <c r="C912">
        <f>Raw_Data!C912</f>
        <v/>
      </c>
      <c r="D912">
        <f>Raw_Data!D912</f>
        <v/>
      </c>
      <c r="E912">
        <f>Raw_Data!E912</f>
        <v/>
      </c>
      <c r="F912">
        <f>Raw_Data!F912</f>
        <v/>
      </c>
      <c r="G912">
        <f>Raw_Data!G912</f>
        <v/>
      </c>
      <c r="H912">
        <f>Raw_Data!H912</f>
        <v/>
      </c>
      <c r="I912">
        <f>Raw_Data!I912</f>
        <v/>
      </c>
      <c r="J912" s="12">
        <f>Raw_Data!J912</f>
        <v/>
      </c>
      <c r="K912" s="13">
        <f>Raw_Data!K912</f>
        <v/>
      </c>
      <c r="L912" s="12">
        <f>Raw_Data!L912</f>
        <v/>
      </c>
      <c r="M912" s="12">
        <f>Raw_Data!M912</f>
        <v/>
      </c>
      <c r="N912" s="12">
        <f>Raw_Data!N912</f>
        <v/>
      </c>
      <c r="O912">
        <f>Raw_Data!O912</f>
        <v/>
      </c>
      <c r="P912">
        <f>Raw_Data!P912</f>
        <v/>
      </c>
      <c r="Q912">
        <f>YEAR(B912)</f>
        <v/>
      </c>
      <c r="R912">
        <f>TEXT(B912,"mmm")</f>
        <v/>
      </c>
      <c r="S912" s="15">
        <f>IFERROR(N912/L912,0)</f>
        <v/>
      </c>
    </row>
    <row r="913">
      <c r="A913">
        <f>Raw_Data!A913</f>
        <v/>
      </c>
      <c r="B913" s="11">
        <f>Raw_Data!B913</f>
        <v/>
      </c>
      <c r="C913">
        <f>Raw_Data!C913</f>
        <v/>
      </c>
      <c r="D913">
        <f>Raw_Data!D913</f>
        <v/>
      </c>
      <c r="E913">
        <f>Raw_Data!E913</f>
        <v/>
      </c>
      <c r="F913">
        <f>Raw_Data!F913</f>
        <v/>
      </c>
      <c r="G913">
        <f>Raw_Data!G913</f>
        <v/>
      </c>
      <c r="H913">
        <f>Raw_Data!H913</f>
        <v/>
      </c>
      <c r="I913">
        <f>Raw_Data!I913</f>
        <v/>
      </c>
      <c r="J913" s="12">
        <f>Raw_Data!J913</f>
        <v/>
      </c>
      <c r="K913" s="13">
        <f>Raw_Data!K913</f>
        <v/>
      </c>
      <c r="L913" s="12">
        <f>Raw_Data!L913</f>
        <v/>
      </c>
      <c r="M913" s="12">
        <f>Raw_Data!M913</f>
        <v/>
      </c>
      <c r="N913" s="12">
        <f>Raw_Data!N913</f>
        <v/>
      </c>
      <c r="O913">
        <f>Raw_Data!O913</f>
        <v/>
      </c>
      <c r="P913">
        <f>Raw_Data!P913</f>
        <v/>
      </c>
      <c r="Q913">
        <f>YEAR(B913)</f>
        <v/>
      </c>
      <c r="R913">
        <f>TEXT(B913,"mmm")</f>
        <v/>
      </c>
      <c r="S913" s="15">
        <f>IFERROR(N913/L913,0)</f>
        <v/>
      </c>
    </row>
    <row r="914">
      <c r="A914">
        <f>Raw_Data!A914</f>
        <v/>
      </c>
      <c r="B914" s="11">
        <f>Raw_Data!B914</f>
        <v/>
      </c>
      <c r="C914">
        <f>Raw_Data!C914</f>
        <v/>
      </c>
      <c r="D914">
        <f>Raw_Data!D914</f>
        <v/>
      </c>
      <c r="E914">
        <f>Raw_Data!E914</f>
        <v/>
      </c>
      <c r="F914">
        <f>Raw_Data!F914</f>
        <v/>
      </c>
      <c r="G914">
        <f>Raw_Data!G914</f>
        <v/>
      </c>
      <c r="H914">
        <f>Raw_Data!H914</f>
        <v/>
      </c>
      <c r="I914">
        <f>Raw_Data!I914</f>
        <v/>
      </c>
      <c r="J914" s="12">
        <f>Raw_Data!J914</f>
        <v/>
      </c>
      <c r="K914" s="13">
        <f>Raw_Data!K914</f>
        <v/>
      </c>
      <c r="L914" s="12">
        <f>Raw_Data!L914</f>
        <v/>
      </c>
      <c r="M914" s="12">
        <f>Raw_Data!M914</f>
        <v/>
      </c>
      <c r="N914" s="12">
        <f>Raw_Data!N914</f>
        <v/>
      </c>
      <c r="O914">
        <f>Raw_Data!O914</f>
        <v/>
      </c>
      <c r="P914">
        <f>Raw_Data!P914</f>
        <v/>
      </c>
      <c r="Q914">
        <f>YEAR(B914)</f>
        <v/>
      </c>
      <c r="R914">
        <f>TEXT(B914,"mmm")</f>
        <v/>
      </c>
      <c r="S914" s="15">
        <f>IFERROR(N914/L914,0)</f>
        <v/>
      </c>
    </row>
    <row r="915">
      <c r="A915">
        <f>Raw_Data!A915</f>
        <v/>
      </c>
      <c r="B915" s="11">
        <f>Raw_Data!B915</f>
        <v/>
      </c>
      <c r="C915">
        <f>Raw_Data!C915</f>
        <v/>
      </c>
      <c r="D915">
        <f>Raw_Data!D915</f>
        <v/>
      </c>
      <c r="E915">
        <f>Raw_Data!E915</f>
        <v/>
      </c>
      <c r="F915">
        <f>Raw_Data!F915</f>
        <v/>
      </c>
      <c r="G915">
        <f>Raw_Data!G915</f>
        <v/>
      </c>
      <c r="H915">
        <f>Raw_Data!H915</f>
        <v/>
      </c>
      <c r="I915">
        <f>Raw_Data!I915</f>
        <v/>
      </c>
      <c r="J915" s="12">
        <f>Raw_Data!J915</f>
        <v/>
      </c>
      <c r="K915" s="13">
        <f>Raw_Data!K915</f>
        <v/>
      </c>
      <c r="L915" s="12">
        <f>Raw_Data!L915</f>
        <v/>
      </c>
      <c r="M915" s="12">
        <f>Raw_Data!M915</f>
        <v/>
      </c>
      <c r="N915" s="12">
        <f>Raw_Data!N915</f>
        <v/>
      </c>
      <c r="O915">
        <f>Raw_Data!O915</f>
        <v/>
      </c>
      <c r="P915">
        <f>Raw_Data!P915</f>
        <v/>
      </c>
      <c r="Q915">
        <f>YEAR(B915)</f>
        <v/>
      </c>
      <c r="R915">
        <f>TEXT(B915,"mmm")</f>
        <v/>
      </c>
      <c r="S915" s="15">
        <f>IFERROR(N915/L915,0)</f>
        <v/>
      </c>
    </row>
    <row r="916">
      <c r="A916">
        <f>Raw_Data!A916</f>
        <v/>
      </c>
      <c r="B916" s="11">
        <f>Raw_Data!B916</f>
        <v/>
      </c>
      <c r="C916">
        <f>Raw_Data!C916</f>
        <v/>
      </c>
      <c r="D916">
        <f>Raw_Data!D916</f>
        <v/>
      </c>
      <c r="E916">
        <f>Raw_Data!E916</f>
        <v/>
      </c>
      <c r="F916">
        <f>Raw_Data!F916</f>
        <v/>
      </c>
      <c r="G916">
        <f>Raw_Data!G916</f>
        <v/>
      </c>
      <c r="H916">
        <f>Raw_Data!H916</f>
        <v/>
      </c>
      <c r="I916">
        <f>Raw_Data!I916</f>
        <v/>
      </c>
      <c r="J916" s="12">
        <f>Raw_Data!J916</f>
        <v/>
      </c>
      <c r="K916" s="13">
        <f>Raw_Data!K916</f>
        <v/>
      </c>
      <c r="L916" s="12">
        <f>Raw_Data!L916</f>
        <v/>
      </c>
      <c r="M916" s="12">
        <f>Raw_Data!M916</f>
        <v/>
      </c>
      <c r="N916" s="12">
        <f>Raw_Data!N916</f>
        <v/>
      </c>
      <c r="O916">
        <f>Raw_Data!O916</f>
        <v/>
      </c>
      <c r="P916">
        <f>Raw_Data!P916</f>
        <v/>
      </c>
      <c r="Q916">
        <f>YEAR(B916)</f>
        <v/>
      </c>
      <c r="R916">
        <f>TEXT(B916,"mmm")</f>
        <v/>
      </c>
      <c r="S916" s="15">
        <f>IFERROR(N916/L916,0)</f>
        <v/>
      </c>
    </row>
    <row r="917">
      <c r="A917">
        <f>Raw_Data!A917</f>
        <v/>
      </c>
      <c r="B917" s="11">
        <f>Raw_Data!B917</f>
        <v/>
      </c>
      <c r="C917">
        <f>Raw_Data!C917</f>
        <v/>
      </c>
      <c r="D917">
        <f>Raw_Data!D917</f>
        <v/>
      </c>
      <c r="E917">
        <f>Raw_Data!E917</f>
        <v/>
      </c>
      <c r="F917">
        <f>Raw_Data!F917</f>
        <v/>
      </c>
      <c r="G917">
        <f>Raw_Data!G917</f>
        <v/>
      </c>
      <c r="H917">
        <f>Raw_Data!H917</f>
        <v/>
      </c>
      <c r="I917">
        <f>Raw_Data!I917</f>
        <v/>
      </c>
      <c r="J917" s="12">
        <f>Raw_Data!J917</f>
        <v/>
      </c>
      <c r="K917" s="13">
        <f>Raw_Data!K917</f>
        <v/>
      </c>
      <c r="L917" s="12">
        <f>Raw_Data!L917</f>
        <v/>
      </c>
      <c r="M917" s="12">
        <f>Raw_Data!M917</f>
        <v/>
      </c>
      <c r="N917" s="12">
        <f>Raw_Data!N917</f>
        <v/>
      </c>
      <c r="O917">
        <f>Raw_Data!O917</f>
        <v/>
      </c>
      <c r="P917">
        <f>Raw_Data!P917</f>
        <v/>
      </c>
      <c r="Q917">
        <f>YEAR(B917)</f>
        <v/>
      </c>
      <c r="R917">
        <f>TEXT(B917,"mmm")</f>
        <v/>
      </c>
      <c r="S917" s="15">
        <f>IFERROR(N917/L917,0)</f>
        <v/>
      </c>
    </row>
    <row r="918">
      <c r="A918">
        <f>Raw_Data!A918</f>
        <v/>
      </c>
      <c r="B918" s="11">
        <f>Raw_Data!B918</f>
        <v/>
      </c>
      <c r="C918">
        <f>Raw_Data!C918</f>
        <v/>
      </c>
      <c r="D918">
        <f>Raw_Data!D918</f>
        <v/>
      </c>
      <c r="E918">
        <f>Raw_Data!E918</f>
        <v/>
      </c>
      <c r="F918">
        <f>Raw_Data!F918</f>
        <v/>
      </c>
      <c r="G918">
        <f>Raw_Data!G918</f>
        <v/>
      </c>
      <c r="H918">
        <f>Raw_Data!H918</f>
        <v/>
      </c>
      <c r="I918">
        <f>Raw_Data!I918</f>
        <v/>
      </c>
      <c r="J918" s="12">
        <f>Raw_Data!J918</f>
        <v/>
      </c>
      <c r="K918" s="13">
        <f>Raw_Data!K918</f>
        <v/>
      </c>
      <c r="L918" s="12">
        <f>Raw_Data!L918</f>
        <v/>
      </c>
      <c r="M918" s="12">
        <f>Raw_Data!M918</f>
        <v/>
      </c>
      <c r="N918" s="12">
        <f>Raw_Data!N918</f>
        <v/>
      </c>
      <c r="O918">
        <f>Raw_Data!O918</f>
        <v/>
      </c>
      <c r="P918">
        <f>Raw_Data!P918</f>
        <v/>
      </c>
      <c r="Q918">
        <f>YEAR(B918)</f>
        <v/>
      </c>
      <c r="R918">
        <f>TEXT(B918,"mmm")</f>
        <v/>
      </c>
      <c r="S918" s="15">
        <f>IFERROR(N918/L918,0)</f>
        <v/>
      </c>
    </row>
    <row r="919">
      <c r="A919">
        <f>Raw_Data!A919</f>
        <v/>
      </c>
      <c r="B919" s="11">
        <f>Raw_Data!B919</f>
        <v/>
      </c>
      <c r="C919">
        <f>Raw_Data!C919</f>
        <v/>
      </c>
      <c r="D919">
        <f>Raw_Data!D919</f>
        <v/>
      </c>
      <c r="E919">
        <f>Raw_Data!E919</f>
        <v/>
      </c>
      <c r="F919">
        <f>Raw_Data!F919</f>
        <v/>
      </c>
      <c r="G919">
        <f>Raw_Data!G919</f>
        <v/>
      </c>
      <c r="H919">
        <f>Raw_Data!H919</f>
        <v/>
      </c>
      <c r="I919">
        <f>Raw_Data!I919</f>
        <v/>
      </c>
      <c r="J919" s="12">
        <f>Raw_Data!J919</f>
        <v/>
      </c>
      <c r="K919" s="13">
        <f>Raw_Data!K919</f>
        <v/>
      </c>
      <c r="L919" s="12">
        <f>Raw_Data!L919</f>
        <v/>
      </c>
      <c r="M919" s="12">
        <f>Raw_Data!M919</f>
        <v/>
      </c>
      <c r="N919" s="12">
        <f>Raw_Data!N919</f>
        <v/>
      </c>
      <c r="O919">
        <f>Raw_Data!O919</f>
        <v/>
      </c>
      <c r="P919">
        <f>Raw_Data!P919</f>
        <v/>
      </c>
      <c r="Q919">
        <f>YEAR(B919)</f>
        <v/>
      </c>
      <c r="R919">
        <f>TEXT(B919,"mmm")</f>
        <v/>
      </c>
      <c r="S919" s="15">
        <f>IFERROR(N919/L919,0)</f>
        <v/>
      </c>
    </row>
    <row r="920">
      <c r="A920">
        <f>Raw_Data!A920</f>
        <v/>
      </c>
      <c r="B920" s="11">
        <f>Raw_Data!B920</f>
        <v/>
      </c>
      <c r="C920">
        <f>Raw_Data!C920</f>
        <v/>
      </c>
      <c r="D920">
        <f>Raw_Data!D920</f>
        <v/>
      </c>
      <c r="E920">
        <f>Raw_Data!E920</f>
        <v/>
      </c>
      <c r="F920">
        <f>Raw_Data!F920</f>
        <v/>
      </c>
      <c r="G920">
        <f>Raw_Data!G920</f>
        <v/>
      </c>
      <c r="H920">
        <f>Raw_Data!H920</f>
        <v/>
      </c>
      <c r="I920">
        <f>Raw_Data!I920</f>
        <v/>
      </c>
      <c r="J920" s="12">
        <f>Raw_Data!J920</f>
        <v/>
      </c>
      <c r="K920" s="13">
        <f>Raw_Data!K920</f>
        <v/>
      </c>
      <c r="L920" s="12">
        <f>Raw_Data!L920</f>
        <v/>
      </c>
      <c r="M920" s="12">
        <f>Raw_Data!M920</f>
        <v/>
      </c>
      <c r="N920" s="12">
        <f>Raw_Data!N920</f>
        <v/>
      </c>
      <c r="O920">
        <f>Raw_Data!O920</f>
        <v/>
      </c>
      <c r="P920">
        <f>Raw_Data!P920</f>
        <v/>
      </c>
      <c r="Q920">
        <f>YEAR(B920)</f>
        <v/>
      </c>
      <c r="R920">
        <f>TEXT(B920,"mmm")</f>
        <v/>
      </c>
      <c r="S920" s="15">
        <f>IFERROR(N920/L920,0)</f>
        <v/>
      </c>
    </row>
    <row r="921">
      <c r="A921">
        <f>Raw_Data!A921</f>
        <v/>
      </c>
      <c r="B921" s="11">
        <f>Raw_Data!B921</f>
        <v/>
      </c>
      <c r="C921">
        <f>Raw_Data!C921</f>
        <v/>
      </c>
      <c r="D921">
        <f>Raw_Data!D921</f>
        <v/>
      </c>
      <c r="E921">
        <f>Raw_Data!E921</f>
        <v/>
      </c>
      <c r="F921">
        <f>Raw_Data!F921</f>
        <v/>
      </c>
      <c r="G921">
        <f>Raw_Data!G921</f>
        <v/>
      </c>
      <c r="H921">
        <f>Raw_Data!H921</f>
        <v/>
      </c>
      <c r="I921">
        <f>Raw_Data!I921</f>
        <v/>
      </c>
      <c r="J921" s="12">
        <f>Raw_Data!J921</f>
        <v/>
      </c>
      <c r="K921" s="13">
        <f>Raw_Data!K921</f>
        <v/>
      </c>
      <c r="L921" s="12">
        <f>Raw_Data!L921</f>
        <v/>
      </c>
      <c r="M921" s="12">
        <f>Raw_Data!M921</f>
        <v/>
      </c>
      <c r="N921" s="12">
        <f>Raw_Data!N921</f>
        <v/>
      </c>
      <c r="O921">
        <f>Raw_Data!O921</f>
        <v/>
      </c>
      <c r="P921">
        <f>Raw_Data!P921</f>
        <v/>
      </c>
      <c r="Q921">
        <f>YEAR(B921)</f>
        <v/>
      </c>
      <c r="R921">
        <f>TEXT(B921,"mmm")</f>
        <v/>
      </c>
      <c r="S921" s="15">
        <f>IFERROR(N921/L921,0)</f>
        <v/>
      </c>
    </row>
    <row r="922">
      <c r="A922">
        <f>Raw_Data!A922</f>
        <v/>
      </c>
      <c r="B922" s="11">
        <f>Raw_Data!B922</f>
        <v/>
      </c>
      <c r="C922">
        <f>Raw_Data!C922</f>
        <v/>
      </c>
      <c r="D922">
        <f>Raw_Data!D922</f>
        <v/>
      </c>
      <c r="E922">
        <f>Raw_Data!E922</f>
        <v/>
      </c>
      <c r="F922">
        <f>Raw_Data!F922</f>
        <v/>
      </c>
      <c r="G922">
        <f>Raw_Data!G922</f>
        <v/>
      </c>
      <c r="H922">
        <f>Raw_Data!H922</f>
        <v/>
      </c>
      <c r="I922">
        <f>Raw_Data!I922</f>
        <v/>
      </c>
      <c r="J922" s="12">
        <f>Raw_Data!J922</f>
        <v/>
      </c>
      <c r="K922" s="13">
        <f>Raw_Data!K922</f>
        <v/>
      </c>
      <c r="L922" s="12">
        <f>Raw_Data!L922</f>
        <v/>
      </c>
      <c r="M922" s="12">
        <f>Raw_Data!M922</f>
        <v/>
      </c>
      <c r="N922" s="12">
        <f>Raw_Data!N922</f>
        <v/>
      </c>
      <c r="O922">
        <f>Raw_Data!O922</f>
        <v/>
      </c>
      <c r="P922">
        <f>Raw_Data!P922</f>
        <v/>
      </c>
      <c r="Q922">
        <f>YEAR(B922)</f>
        <v/>
      </c>
      <c r="R922">
        <f>TEXT(B922,"mmm")</f>
        <v/>
      </c>
      <c r="S922" s="15">
        <f>IFERROR(N922/L922,0)</f>
        <v/>
      </c>
    </row>
    <row r="923">
      <c r="A923">
        <f>Raw_Data!A923</f>
        <v/>
      </c>
      <c r="B923" s="11">
        <f>Raw_Data!B923</f>
        <v/>
      </c>
      <c r="C923">
        <f>Raw_Data!C923</f>
        <v/>
      </c>
      <c r="D923">
        <f>Raw_Data!D923</f>
        <v/>
      </c>
      <c r="E923">
        <f>Raw_Data!E923</f>
        <v/>
      </c>
      <c r="F923">
        <f>Raw_Data!F923</f>
        <v/>
      </c>
      <c r="G923">
        <f>Raw_Data!G923</f>
        <v/>
      </c>
      <c r="H923">
        <f>Raw_Data!H923</f>
        <v/>
      </c>
      <c r="I923">
        <f>Raw_Data!I923</f>
        <v/>
      </c>
      <c r="J923" s="12">
        <f>Raw_Data!J923</f>
        <v/>
      </c>
      <c r="K923" s="13">
        <f>Raw_Data!K923</f>
        <v/>
      </c>
      <c r="L923" s="12">
        <f>Raw_Data!L923</f>
        <v/>
      </c>
      <c r="M923" s="12">
        <f>Raw_Data!M923</f>
        <v/>
      </c>
      <c r="N923" s="12">
        <f>Raw_Data!N923</f>
        <v/>
      </c>
      <c r="O923">
        <f>Raw_Data!O923</f>
        <v/>
      </c>
      <c r="P923">
        <f>Raw_Data!P923</f>
        <v/>
      </c>
      <c r="Q923">
        <f>YEAR(B923)</f>
        <v/>
      </c>
      <c r="R923">
        <f>TEXT(B923,"mmm")</f>
        <v/>
      </c>
      <c r="S923" s="15">
        <f>IFERROR(N923/L923,0)</f>
        <v/>
      </c>
    </row>
    <row r="924">
      <c r="A924">
        <f>Raw_Data!A924</f>
        <v/>
      </c>
      <c r="B924" s="11">
        <f>Raw_Data!B924</f>
        <v/>
      </c>
      <c r="C924">
        <f>Raw_Data!C924</f>
        <v/>
      </c>
      <c r="D924">
        <f>Raw_Data!D924</f>
        <v/>
      </c>
      <c r="E924">
        <f>Raw_Data!E924</f>
        <v/>
      </c>
      <c r="F924">
        <f>Raw_Data!F924</f>
        <v/>
      </c>
      <c r="G924">
        <f>Raw_Data!G924</f>
        <v/>
      </c>
      <c r="H924">
        <f>Raw_Data!H924</f>
        <v/>
      </c>
      <c r="I924">
        <f>Raw_Data!I924</f>
        <v/>
      </c>
      <c r="J924" s="12">
        <f>Raw_Data!J924</f>
        <v/>
      </c>
      <c r="K924" s="13">
        <f>Raw_Data!K924</f>
        <v/>
      </c>
      <c r="L924" s="12">
        <f>Raw_Data!L924</f>
        <v/>
      </c>
      <c r="M924" s="12">
        <f>Raw_Data!M924</f>
        <v/>
      </c>
      <c r="N924" s="12">
        <f>Raw_Data!N924</f>
        <v/>
      </c>
      <c r="O924">
        <f>Raw_Data!O924</f>
        <v/>
      </c>
      <c r="P924">
        <f>Raw_Data!P924</f>
        <v/>
      </c>
      <c r="Q924">
        <f>YEAR(B924)</f>
        <v/>
      </c>
      <c r="R924">
        <f>TEXT(B924,"mmm")</f>
        <v/>
      </c>
      <c r="S924" s="15">
        <f>IFERROR(N924/L924,0)</f>
        <v/>
      </c>
    </row>
    <row r="925">
      <c r="A925">
        <f>Raw_Data!A925</f>
        <v/>
      </c>
      <c r="B925" s="11">
        <f>Raw_Data!B925</f>
        <v/>
      </c>
      <c r="C925">
        <f>Raw_Data!C925</f>
        <v/>
      </c>
      <c r="D925">
        <f>Raw_Data!D925</f>
        <v/>
      </c>
      <c r="E925">
        <f>Raw_Data!E925</f>
        <v/>
      </c>
      <c r="F925">
        <f>Raw_Data!F925</f>
        <v/>
      </c>
      <c r="G925">
        <f>Raw_Data!G925</f>
        <v/>
      </c>
      <c r="H925">
        <f>Raw_Data!H925</f>
        <v/>
      </c>
      <c r="I925">
        <f>Raw_Data!I925</f>
        <v/>
      </c>
      <c r="J925" s="12">
        <f>Raw_Data!J925</f>
        <v/>
      </c>
      <c r="K925" s="13">
        <f>Raw_Data!K925</f>
        <v/>
      </c>
      <c r="L925" s="12">
        <f>Raw_Data!L925</f>
        <v/>
      </c>
      <c r="M925" s="12">
        <f>Raw_Data!M925</f>
        <v/>
      </c>
      <c r="N925" s="12">
        <f>Raw_Data!N925</f>
        <v/>
      </c>
      <c r="O925">
        <f>Raw_Data!O925</f>
        <v/>
      </c>
      <c r="P925">
        <f>Raw_Data!P925</f>
        <v/>
      </c>
      <c r="Q925">
        <f>YEAR(B925)</f>
        <v/>
      </c>
      <c r="R925">
        <f>TEXT(B925,"mmm")</f>
        <v/>
      </c>
      <c r="S925" s="15">
        <f>IFERROR(N925/L925,0)</f>
        <v/>
      </c>
    </row>
    <row r="926">
      <c r="A926">
        <f>Raw_Data!A926</f>
        <v/>
      </c>
      <c r="B926" s="11">
        <f>Raw_Data!B926</f>
        <v/>
      </c>
      <c r="C926">
        <f>Raw_Data!C926</f>
        <v/>
      </c>
      <c r="D926">
        <f>Raw_Data!D926</f>
        <v/>
      </c>
      <c r="E926">
        <f>Raw_Data!E926</f>
        <v/>
      </c>
      <c r="F926">
        <f>Raw_Data!F926</f>
        <v/>
      </c>
      <c r="G926">
        <f>Raw_Data!G926</f>
        <v/>
      </c>
      <c r="H926">
        <f>Raw_Data!H926</f>
        <v/>
      </c>
      <c r="I926">
        <f>Raw_Data!I926</f>
        <v/>
      </c>
      <c r="J926" s="12">
        <f>Raw_Data!J926</f>
        <v/>
      </c>
      <c r="K926" s="13">
        <f>Raw_Data!K926</f>
        <v/>
      </c>
      <c r="L926" s="12">
        <f>Raw_Data!L926</f>
        <v/>
      </c>
      <c r="M926" s="12">
        <f>Raw_Data!M926</f>
        <v/>
      </c>
      <c r="N926" s="12">
        <f>Raw_Data!N926</f>
        <v/>
      </c>
      <c r="O926">
        <f>Raw_Data!O926</f>
        <v/>
      </c>
      <c r="P926">
        <f>Raw_Data!P926</f>
        <v/>
      </c>
      <c r="Q926">
        <f>YEAR(B926)</f>
        <v/>
      </c>
      <c r="R926">
        <f>TEXT(B926,"mmm")</f>
        <v/>
      </c>
      <c r="S926" s="15">
        <f>IFERROR(N926/L926,0)</f>
        <v/>
      </c>
    </row>
    <row r="927">
      <c r="A927">
        <f>Raw_Data!A927</f>
        <v/>
      </c>
      <c r="B927" s="11">
        <f>Raw_Data!B927</f>
        <v/>
      </c>
      <c r="C927">
        <f>Raw_Data!C927</f>
        <v/>
      </c>
      <c r="D927">
        <f>Raw_Data!D927</f>
        <v/>
      </c>
      <c r="E927">
        <f>Raw_Data!E927</f>
        <v/>
      </c>
      <c r="F927">
        <f>Raw_Data!F927</f>
        <v/>
      </c>
      <c r="G927">
        <f>Raw_Data!G927</f>
        <v/>
      </c>
      <c r="H927">
        <f>Raw_Data!H927</f>
        <v/>
      </c>
      <c r="I927">
        <f>Raw_Data!I927</f>
        <v/>
      </c>
      <c r="J927" s="12">
        <f>Raw_Data!J927</f>
        <v/>
      </c>
      <c r="K927" s="13">
        <f>Raw_Data!K927</f>
        <v/>
      </c>
      <c r="L927" s="12">
        <f>Raw_Data!L927</f>
        <v/>
      </c>
      <c r="M927" s="12">
        <f>Raw_Data!M927</f>
        <v/>
      </c>
      <c r="N927" s="12">
        <f>Raw_Data!N927</f>
        <v/>
      </c>
      <c r="O927">
        <f>Raw_Data!O927</f>
        <v/>
      </c>
      <c r="P927">
        <f>Raw_Data!P927</f>
        <v/>
      </c>
      <c r="Q927">
        <f>YEAR(B927)</f>
        <v/>
      </c>
      <c r="R927">
        <f>TEXT(B927,"mmm")</f>
        <v/>
      </c>
      <c r="S927" s="15">
        <f>IFERROR(N927/L927,0)</f>
        <v/>
      </c>
    </row>
    <row r="928">
      <c r="A928">
        <f>Raw_Data!A928</f>
        <v/>
      </c>
      <c r="B928" s="11">
        <f>Raw_Data!B928</f>
        <v/>
      </c>
      <c r="C928">
        <f>Raw_Data!C928</f>
        <v/>
      </c>
      <c r="D928">
        <f>Raw_Data!D928</f>
        <v/>
      </c>
      <c r="E928">
        <f>Raw_Data!E928</f>
        <v/>
      </c>
      <c r="F928">
        <f>Raw_Data!F928</f>
        <v/>
      </c>
      <c r="G928">
        <f>Raw_Data!G928</f>
        <v/>
      </c>
      <c r="H928">
        <f>Raw_Data!H928</f>
        <v/>
      </c>
      <c r="I928">
        <f>Raw_Data!I928</f>
        <v/>
      </c>
      <c r="J928" s="12">
        <f>Raw_Data!J928</f>
        <v/>
      </c>
      <c r="K928" s="13">
        <f>Raw_Data!K928</f>
        <v/>
      </c>
      <c r="L928" s="12">
        <f>Raw_Data!L928</f>
        <v/>
      </c>
      <c r="M928" s="12">
        <f>Raw_Data!M928</f>
        <v/>
      </c>
      <c r="N928" s="12">
        <f>Raw_Data!N928</f>
        <v/>
      </c>
      <c r="O928">
        <f>Raw_Data!O928</f>
        <v/>
      </c>
      <c r="P928">
        <f>Raw_Data!P928</f>
        <v/>
      </c>
      <c r="Q928">
        <f>YEAR(B928)</f>
        <v/>
      </c>
      <c r="R928">
        <f>TEXT(B928,"mmm")</f>
        <v/>
      </c>
      <c r="S928" s="15">
        <f>IFERROR(N928/L928,0)</f>
        <v/>
      </c>
    </row>
    <row r="929">
      <c r="A929">
        <f>Raw_Data!A929</f>
        <v/>
      </c>
      <c r="B929" s="11">
        <f>Raw_Data!B929</f>
        <v/>
      </c>
      <c r="C929">
        <f>Raw_Data!C929</f>
        <v/>
      </c>
      <c r="D929">
        <f>Raw_Data!D929</f>
        <v/>
      </c>
      <c r="E929">
        <f>Raw_Data!E929</f>
        <v/>
      </c>
      <c r="F929">
        <f>Raw_Data!F929</f>
        <v/>
      </c>
      <c r="G929">
        <f>Raw_Data!G929</f>
        <v/>
      </c>
      <c r="H929">
        <f>Raw_Data!H929</f>
        <v/>
      </c>
      <c r="I929">
        <f>Raw_Data!I929</f>
        <v/>
      </c>
      <c r="J929" s="12">
        <f>Raw_Data!J929</f>
        <v/>
      </c>
      <c r="K929" s="13">
        <f>Raw_Data!K929</f>
        <v/>
      </c>
      <c r="L929" s="12">
        <f>Raw_Data!L929</f>
        <v/>
      </c>
      <c r="M929" s="12">
        <f>Raw_Data!M929</f>
        <v/>
      </c>
      <c r="N929" s="12">
        <f>Raw_Data!N929</f>
        <v/>
      </c>
      <c r="O929">
        <f>Raw_Data!O929</f>
        <v/>
      </c>
      <c r="P929">
        <f>Raw_Data!P929</f>
        <v/>
      </c>
      <c r="Q929">
        <f>YEAR(B929)</f>
        <v/>
      </c>
      <c r="R929">
        <f>TEXT(B929,"mmm")</f>
        <v/>
      </c>
      <c r="S929" s="15">
        <f>IFERROR(N929/L929,0)</f>
        <v/>
      </c>
    </row>
    <row r="930">
      <c r="A930">
        <f>Raw_Data!A930</f>
        <v/>
      </c>
      <c r="B930" s="11">
        <f>Raw_Data!B930</f>
        <v/>
      </c>
      <c r="C930">
        <f>Raw_Data!C930</f>
        <v/>
      </c>
      <c r="D930">
        <f>Raw_Data!D930</f>
        <v/>
      </c>
      <c r="E930">
        <f>Raw_Data!E930</f>
        <v/>
      </c>
      <c r="F930">
        <f>Raw_Data!F930</f>
        <v/>
      </c>
      <c r="G930">
        <f>Raw_Data!G930</f>
        <v/>
      </c>
      <c r="H930">
        <f>Raw_Data!H930</f>
        <v/>
      </c>
      <c r="I930">
        <f>Raw_Data!I930</f>
        <v/>
      </c>
      <c r="J930" s="12">
        <f>Raw_Data!J930</f>
        <v/>
      </c>
      <c r="K930" s="13">
        <f>Raw_Data!K930</f>
        <v/>
      </c>
      <c r="L930" s="12">
        <f>Raw_Data!L930</f>
        <v/>
      </c>
      <c r="M930" s="12">
        <f>Raw_Data!M930</f>
        <v/>
      </c>
      <c r="N930" s="12">
        <f>Raw_Data!N930</f>
        <v/>
      </c>
      <c r="O930">
        <f>Raw_Data!O930</f>
        <v/>
      </c>
      <c r="P930">
        <f>Raw_Data!P930</f>
        <v/>
      </c>
      <c r="Q930">
        <f>YEAR(B930)</f>
        <v/>
      </c>
      <c r="R930">
        <f>TEXT(B930,"mmm")</f>
        <v/>
      </c>
      <c r="S930" s="15">
        <f>IFERROR(N930/L930,0)</f>
        <v/>
      </c>
    </row>
    <row r="931">
      <c r="A931">
        <f>Raw_Data!A931</f>
        <v/>
      </c>
      <c r="B931" s="11">
        <f>Raw_Data!B931</f>
        <v/>
      </c>
      <c r="C931">
        <f>Raw_Data!C931</f>
        <v/>
      </c>
      <c r="D931">
        <f>Raw_Data!D931</f>
        <v/>
      </c>
      <c r="E931">
        <f>Raw_Data!E931</f>
        <v/>
      </c>
      <c r="F931">
        <f>Raw_Data!F931</f>
        <v/>
      </c>
      <c r="G931">
        <f>Raw_Data!G931</f>
        <v/>
      </c>
      <c r="H931">
        <f>Raw_Data!H931</f>
        <v/>
      </c>
      <c r="I931">
        <f>Raw_Data!I931</f>
        <v/>
      </c>
      <c r="J931" s="12">
        <f>Raw_Data!J931</f>
        <v/>
      </c>
      <c r="K931" s="13">
        <f>Raw_Data!K931</f>
        <v/>
      </c>
      <c r="L931" s="12">
        <f>Raw_Data!L931</f>
        <v/>
      </c>
      <c r="M931" s="12">
        <f>Raw_Data!M931</f>
        <v/>
      </c>
      <c r="N931" s="12">
        <f>Raw_Data!N931</f>
        <v/>
      </c>
      <c r="O931">
        <f>Raw_Data!O931</f>
        <v/>
      </c>
      <c r="P931">
        <f>Raw_Data!P931</f>
        <v/>
      </c>
      <c r="Q931">
        <f>YEAR(B931)</f>
        <v/>
      </c>
      <c r="R931">
        <f>TEXT(B931,"mmm")</f>
        <v/>
      </c>
      <c r="S931" s="15">
        <f>IFERROR(N931/L931,0)</f>
        <v/>
      </c>
    </row>
    <row r="932">
      <c r="A932">
        <f>Raw_Data!A932</f>
        <v/>
      </c>
      <c r="B932" s="11">
        <f>Raw_Data!B932</f>
        <v/>
      </c>
      <c r="C932">
        <f>Raw_Data!C932</f>
        <v/>
      </c>
      <c r="D932">
        <f>Raw_Data!D932</f>
        <v/>
      </c>
      <c r="E932">
        <f>Raw_Data!E932</f>
        <v/>
      </c>
      <c r="F932">
        <f>Raw_Data!F932</f>
        <v/>
      </c>
      <c r="G932">
        <f>Raw_Data!G932</f>
        <v/>
      </c>
      <c r="H932">
        <f>Raw_Data!H932</f>
        <v/>
      </c>
      <c r="I932">
        <f>Raw_Data!I932</f>
        <v/>
      </c>
      <c r="J932" s="12">
        <f>Raw_Data!J932</f>
        <v/>
      </c>
      <c r="K932" s="13">
        <f>Raw_Data!K932</f>
        <v/>
      </c>
      <c r="L932" s="12">
        <f>Raw_Data!L932</f>
        <v/>
      </c>
      <c r="M932" s="12">
        <f>Raw_Data!M932</f>
        <v/>
      </c>
      <c r="N932" s="12">
        <f>Raw_Data!N932</f>
        <v/>
      </c>
      <c r="O932">
        <f>Raw_Data!O932</f>
        <v/>
      </c>
      <c r="P932">
        <f>Raw_Data!P932</f>
        <v/>
      </c>
      <c r="Q932">
        <f>YEAR(B932)</f>
        <v/>
      </c>
      <c r="R932">
        <f>TEXT(B932,"mmm")</f>
        <v/>
      </c>
      <c r="S932" s="15">
        <f>IFERROR(N932/L932,0)</f>
        <v/>
      </c>
    </row>
    <row r="933">
      <c r="A933">
        <f>Raw_Data!A933</f>
        <v/>
      </c>
      <c r="B933" s="11">
        <f>Raw_Data!B933</f>
        <v/>
      </c>
      <c r="C933">
        <f>Raw_Data!C933</f>
        <v/>
      </c>
      <c r="D933">
        <f>Raw_Data!D933</f>
        <v/>
      </c>
      <c r="E933">
        <f>Raw_Data!E933</f>
        <v/>
      </c>
      <c r="F933">
        <f>Raw_Data!F933</f>
        <v/>
      </c>
      <c r="G933">
        <f>Raw_Data!G933</f>
        <v/>
      </c>
      <c r="H933">
        <f>Raw_Data!H933</f>
        <v/>
      </c>
      <c r="I933">
        <f>Raw_Data!I933</f>
        <v/>
      </c>
      <c r="J933" s="12">
        <f>Raw_Data!J933</f>
        <v/>
      </c>
      <c r="K933" s="13">
        <f>Raw_Data!K933</f>
        <v/>
      </c>
      <c r="L933" s="12">
        <f>Raw_Data!L933</f>
        <v/>
      </c>
      <c r="M933" s="12">
        <f>Raw_Data!M933</f>
        <v/>
      </c>
      <c r="N933" s="12">
        <f>Raw_Data!N933</f>
        <v/>
      </c>
      <c r="O933">
        <f>Raw_Data!O933</f>
        <v/>
      </c>
      <c r="P933">
        <f>Raw_Data!P933</f>
        <v/>
      </c>
      <c r="Q933">
        <f>YEAR(B933)</f>
        <v/>
      </c>
      <c r="R933">
        <f>TEXT(B933,"mmm")</f>
        <v/>
      </c>
      <c r="S933" s="15">
        <f>IFERROR(N933/L933,0)</f>
        <v/>
      </c>
    </row>
    <row r="934">
      <c r="A934">
        <f>Raw_Data!A934</f>
        <v/>
      </c>
      <c r="B934" s="11">
        <f>Raw_Data!B934</f>
        <v/>
      </c>
      <c r="C934">
        <f>Raw_Data!C934</f>
        <v/>
      </c>
      <c r="D934">
        <f>Raw_Data!D934</f>
        <v/>
      </c>
      <c r="E934">
        <f>Raw_Data!E934</f>
        <v/>
      </c>
      <c r="F934">
        <f>Raw_Data!F934</f>
        <v/>
      </c>
      <c r="G934">
        <f>Raw_Data!G934</f>
        <v/>
      </c>
      <c r="H934">
        <f>Raw_Data!H934</f>
        <v/>
      </c>
      <c r="I934">
        <f>Raw_Data!I934</f>
        <v/>
      </c>
      <c r="J934" s="12">
        <f>Raw_Data!J934</f>
        <v/>
      </c>
      <c r="K934" s="13">
        <f>Raw_Data!K934</f>
        <v/>
      </c>
      <c r="L934" s="12">
        <f>Raw_Data!L934</f>
        <v/>
      </c>
      <c r="M934" s="12">
        <f>Raw_Data!M934</f>
        <v/>
      </c>
      <c r="N934" s="12">
        <f>Raw_Data!N934</f>
        <v/>
      </c>
      <c r="O934">
        <f>Raw_Data!O934</f>
        <v/>
      </c>
      <c r="P934">
        <f>Raw_Data!P934</f>
        <v/>
      </c>
      <c r="Q934">
        <f>YEAR(B934)</f>
        <v/>
      </c>
      <c r="R934">
        <f>TEXT(B934,"mmm")</f>
        <v/>
      </c>
      <c r="S934" s="15">
        <f>IFERROR(N934/L934,0)</f>
        <v/>
      </c>
    </row>
    <row r="935">
      <c r="A935">
        <f>Raw_Data!A935</f>
        <v/>
      </c>
      <c r="B935" s="11">
        <f>Raw_Data!B935</f>
        <v/>
      </c>
      <c r="C935">
        <f>Raw_Data!C935</f>
        <v/>
      </c>
      <c r="D935">
        <f>Raw_Data!D935</f>
        <v/>
      </c>
      <c r="E935">
        <f>Raw_Data!E935</f>
        <v/>
      </c>
      <c r="F935">
        <f>Raw_Data!F935</f>
        <v/>
      </c>
      <c r="G935">
        <f>Raw_Data!G935</f>
        <v/>
      </c>
      <c r="H935">
        <f>Raw_Data!H935</f>
        <v/>
      </c>
      <c r="I935">
        <f>Raw_Data!I935</f>
        <v/>
      </c>
      <c r="J935" s="12">
        <f>Raw_Data!J935</f>
        <v/>
      </c>
      <c r="K935" s="13">
        <f>Raw_Data!K935</f>
        <v/>
      </c>
      <c r="L935" s="12">
        <f>Raw_Data!L935</f>
        <v/>
      </c>
      <c r="M935" s="12">
        <f>Raw_Data!M935</f>
        <v/>
      </c>
      <c r="N935" s="12">
        <f>Raw_Data!N935</f>
        <v/>
      </c>
      <c r="O935">
        <f>Raw_Data!O935</f>
        <v/>
      </c>
      <c r="P935">
        <f>Raw_Data!P935</f>
        <v/>
      </c>
      <c r="Q935">
        <f>YEAR(B935)</f>
        <v/>
      </c>
      <c r="R935">
        <f>TEXT(B935,"mmm")</f>
        <v/>
      </c>
      <c r="S935" s="15">
        <f>IFERROR(N935/L935,0)</f>
        <v/>
      </c>
    </row>
    <row r="936">
      <c r="A936">
        <f>Raw_Data!A936</f>
        <v/>
      </c>
      <c r="B936" s="11">
        <f>Raw_Data!B936</f>
        <v/>
      </c>
      <c r="C936">
        <f>Raw_Data!C936</f>
        <v/>
      </c>
      <c r="D936">
        <f>Raw_Data!D936</f>
        <v/>
      </c>
      <c r="E936">
        <f>Raw_Data!E936</f>
        <v/>
      </c>
      <c r="F936">
        <f>Raw_Data!F936</f>
        <v/>
      </c>
      <c r="G936">
        <f>Raw_Data!G936</f>
        <v/>
      </c>
      <c r="H936">
        <f>Raw_Data!H936</f>
        <v/>
      </c>
      <c r="I936">
        <f>Raw_Data!I936</f>
        <v/>
      </c>
      <c r="J936" s="12">
        <f>Raw_Data!J936</f>
        <v/>
      </c>
      <c r="K936" s="13">
        <f>Raw_Data!K936</f>
        <v/>
      </c>
      <c r="L936" s="12">
        <f>Raw_Data!L936</f>
        <v/>
      </c>
      <c r="M936" s="12">
        <f>Raw_Data!M936</f>
        <v/>
      </c>
      <c r="N936" s="12">
        <f>Raw_Data!N936</f>
        <v/>
      </c>
      <c r="O936">
        <f>Raw_Data!O936</f>
        <v/>
      </c>
      <c r="P936">
        <f>Raw_Data!P936</f>
        <v/>
      </c>
      <c r="Q936">
        <f>YEAR(B936)</f>
        <v/>
      </c>
      <c r="R936">
        <f>TEXT(B936,"mmm")</f>
        <v/>
      </c>
      <c r="S936" s="15">
        <f>IFERROR(N936/L936,0)</f>
        <v/>
      </c>
    </row>
    <row r="937">
      <c r="A937">
        <f>Raw_Data!A937</f>
        <v/>
      </c>
      <c r="B937" s="11">
        <f>Raw_Data!B937</f>
        <v/>
      </c>
      <c r="C937">
        <f>Raw_Data!C937</f>
        <v/>
      </c>
      <c r="D937">
        <f>Raw_Data!D937</f>
        <v/>
      </c>
      <c r="E937">
        <f>Raw_Data!E937</f>
        <v/>
      </c>
      <c r="F937">
        <f>Raw_Data!F937</f>
        <v/>
      </c>
      <c r="G937">
        <f>Raw_Data!G937</f>
        <v/>
      </c>
      <c r="H937">
        <f>Raw_Data!H937</f>
        <v/>
      </c>
      <c r="I937">
        <f>Raw_Data!I937</f>
        <v/>
      </c>
      <c r="J937" s="12">
        <f>Raw_Data!J937</f>
        <v/>
      </c>
      <c r="K937" s="13">
        <f>Raw_Data!K937</f>
        <v/>
      </c>
      <c r="L937" s="12">
        <f>Raw_Data!L937</f>
        <v/>
      </c>
      <c r="M937" s="12">
        <f>Raw_Data!M937</f>
        <v/>
      </c>
      <c r="N937" s="12">
        <f>Raw_Data!N937</f>
        <v/>
      </c>
      <c r="O937">
        <f>Raw_Data!O937</f>
        <v/>
      </c>
      <c r="P937">
        <f>Raw_Data!P937</f>
        <v/>
      </c>
      <c r="Q937">
        <f>YEAR(B937)</f>
        <v/>
      </c>
      <c r="R937">
        <f>TEXT(B937,"mmm")</f>
        <v/>
      </c>
      <c r="S937" s="15">
        <f>IFERROR(N937/L937,0)</f>
        <v/>
      </c>
    </row>
    <row r="938">
      <c r="A938">
        <f>Raw_Data!A938</f>
        <v/>
      </c>
      <c r="B938" s="11">
        <f>Raw_Data!B938</f>
        <v/>
      </c>
      <c r="C938">
        <f>Raw_Data!C938</f>
        <v/>
      </c>
      <c r="D938">
        <f>Raw_Data!D938</f>
        <v/>
      </c>
      <c r="E938">
        <f>Raw_Data!E938</f>
        <v/>
      </c>
      <c r="F938">
        <f>Raw_Data!F938</f>
        <v/>
      </c>
      <c r="G938">
        <f>Raw_Data!G938</f>
        <v/>
      </c>
      <c r="H938">
        <f>Raw_Data!H938</f>
        <v/>
      </c>
      <c r="I938">
        <f>Raw_Data!I938</f>
        <v/>
      </c>
      <c r="J938" s="12">
        <f>Raw_Data!J938</f>
        <v/>
      </c>
      <c r="K938" s="13">
        <f>Raw_Data!K938</f>
        <v/>
      </c>
      <c r="L938" s="12">
        <f>Raw_Data!L938</f>
        <v/>
      </c>
      <c r="M938" s="12">
        <f>Raw_Data!M938</f>
        <v/>
      </c>
      <c r="N938" s="12">
        <f>Raw_Data!N938</f>
        <v/>
      </c>
      <c r="O938">
        <f>Raw_Data!O938</f>
        <v/>
      </c>
      <c r="P938">
        <f>Raw_Data!P938</f>
        <v/>
      </c>
      <c r="Q938">
        <f>YEAR(B938)</f>
        <v/>
      </c>
      <c r="R938">
        <f>TEXT(B938,"mmm")</f>
        <v/>
      </c>
      <c r="S938" s="15">
        <f>IFERROR(N938/L938,0)</f>
        <v/>
      </c>
    </row>
    <row r="939">
      <c r="A939">
        <f>Raw_Data!A939</f>
        <v/>
      </c>
      <c r="B939" s="11">
        <f>Raw_Data!B939</f>
        <v/>
      </c>
      <c r="C939">
        <f>Raw_Data!C939</f>
        <v/>
      </c>
      <c r="D939">
        <f>Raw_Data!D939</f>
        <v/>
      </c>
      <c r="E939">
        <f>Raw_Data!E939</f>
        <v/>
      </c>
      <c r="F939">
        <f>Raw_Data!F939</f>
        <v/>
      </c>
      <c r="G939">
        <f>Raw_Data!G939</f>
        <v/>
      </c>
      <c r="H939">
        <f>Raw_Data!H939</f>
        <v/>
      </c>
      <c r="I939">
        <f>Raw_Data!I939</f>
        <v/>
      </c>
      <c r="J939" s="12">
        <f>Raw_Data!J939</f>
        <v/>
      </c>
      <c r="K939" s="13">
        <f>Raw_Data!K939</f>
        <v/>
      </c>
      <c r="L939" s="12">
        <f>Raw_Data!L939</f>
        <v/>
      </c>
      <c r="M939" s="12">
        <f>Raw_Data!M939</f>
        <v/>
      </c>
      <c r="N939" s="12">
        <f>Raw_Data!N939</f>
        <v/>
      </c>
      <c r="O939">
        <f>Raw_Data!O939</f>
        <v/>
      </c>
      <c r="P939">
        <f>Raw_Data!P939</f>
        <v/>
      </c>
      <c r="Q939">
        <f>YEAR(B939)</f>
        <v/>
      </c>
      <c r="R939">
        <f>TEXT(B939,"mmm")</f>
        <v/>
      </c>
      <c r="S939" s="15">
        <f>IFERROR(N939/L939,0)</f>
        <v/>
      </c>
    </row>
    <row r="940">
      <c r="A940">
        <f>Raw_Data!A940</f>
        <v/>
      </c>
      <c r="B940" s="11">
        <f>Raw_Data!B940</f>
        <v/>
      </c>
      <c r="C940">
        <f>Raw_Data!C940</f>
        <v/>
      </c>
      <c r="D940">
        <f>Raw_Data!D940</f>
        <v/>
      </c>
      <c r="E940">
        <f>Raw_Data!E940</f>
        <v/>
      </c>
      <c r="F940">
        <f>Raw_Data!F940</f>
        <v/>
      </c>
      <c r="G940">
        <f>Raw_Data!G940</f>
        <v/>
      </c>
      <c r="H940">
        <f>Raw_Data!H940</f>
        <v/>
      </c>
      <c r="I940">
        <f>Raw_Data!I940</f>
        <v/>
      </c>
      <c r="J940" s="12">
        <f>Raw_Data!J940</f>
        <v/>
      </c>
      <c r="K940" s="13">
        <f>Raw_Data!K940</f>
        <v/>
      </c>
      <c r="L940" s="12">
        <f>Raw_Data!L940</f>
        <v/>
      </c>
      <c r="M940" s="12">
        <f>Raw_Data!M940</f>
        <v/>
      </c>
      <c r="N940" s="12">
        <f>Raw_Data!N940</f>
        <v/>
      </c>
      <c r="O940">
        <f>Raw_Data!O940</f>
        <v/>
      </c>
      <c r="P940">
        <f>Raw_Data!P940</f>
        <v/>
      </c>
      <c r="Q940">
        <f>YEAR(B940)</f>
        <v/>
      </c>
      <c r="R940">
        <f>TEXT(B940,"mmm")</f>
        <v/>
      </c>
      <c r="S940" s="15">
        <f>IFERROR(N940/L940,0)</f>
        <v/>
      </c>
    </row>
    <row r="941">
      <c r="A941">
        <f>Raw_Data!A941</f>
        <v/>
      </c>
      <c r="B941" s="11">
        <f>Raw_Data!B941</f>
        <v/>
      </c>
      <c r="C941">
        <f>Raw_Data!C941</f>
        <v/>
      </c>
      <c r="D941">
        <f>Raw_Data!D941</f>
        <v/>
      </c>
      <c r="E941">
        <f>Raw_Data!E941</f>
        <v/>
      </c>
      <c r="F941">
        <f>Raw_Data!F941</f>
        <v/>
      </c>
      <c r="G941">
        <f>Raw_Data!G941</f>
        <v/>
      </c>
      <c r="H941">
        <f>Raw_Data!H941</f>
        <v/>
      </c>
      <c r="I941">
        <f>Raw_Data!I941</f>
        <v/>
      </c>
      <c r="J941" s="12">
        <f>Raw_Data!J941</f>
        <v/>
      </c>
      <c r="K941" s="13">
        <f>Raw_Data!K941</f>
        <v/>
      </c>
      <c r="L941" s="12">
        <f>Raw_Data!L941</f>
        <v/>
      </c>
      <c r="M941" s="12">
        <f>Raw_Data!M941</f>
        <v/>
      </c>
      <c r="N941" s="12">
        <f>Raw_Data!N941</f>
        <v/>
      </c>
      <c r="O941">
        <f>Raw_Data!O941</f>
        <v/>
      </c>
      <c r="P941">
        <f>Raw_Data!P941</f>
        <v/>
      </c>
      <c r="Q941">
        <f>YEAR(B941)</f>
        <v/>
      </c>
      <c r="R941">
        <f>TEXT(B941,"mmm")</f>
        <v/>
      </c>
      <c r="S941" s="15">
        <f>IFERROR(N941/L941,0)</f>
        <v/>
      </c>
    </row>
    <row r="942">
      <c r="A942">
        <f>Raw_Data!A942</f>
        <v/>
      </c>
      <c r="B942" s="11">
        <f>Raw_Data!B942</f>
        <v/>
      </c>
      <c r="C942">
        <f>Raw_Data!C942</f>
        <v/>
      </c>
      <c r="D942">
        <f>Raw_Data!D942</f>
        <v/>
      </c>
      <c r="E942">
        <f>Raw_Data!E942</f>
        <v/>
      </c>
      <c r="F942">
        <f>Raw_Data!F942</f>
        <v/>
      </c>
      <c r="G942">
        <f>Raw_Data!G942</f>
        <v/>
      </c>
      <c r="H942">
        <f>Raw_Data!H942</f>
        <v/>
      </c>
      <c r="I942">
        <f>Raw_Data!I942</f>
        <v/>
      </c>
      <c r="J942" s="12">
        <f>Raw_Data!J942</f>
        <v/>
      </c>
      <c r="K942" s="13">
        <f>Raw_Data!K942</f>
        <v/>
      </c>
      <c r="L942" s="12">
        <f>Raw_Data!L942</f>
        <v/>
      </c>
      <c r="M942" s="12">
        <f>Raw_Data!M942</f>
        <v/>
      </c>
      <c r="N942" s="12">
        <f>Raw_Data!N942</f>
        <v/>
      </c>
      <c r="O942">
        <f>Raw_Data!O942</f>
        <v/>
      </c>
      <c r="P942">
        <f>Raw_Data!P942</f>
        <v/>
      </c>
      <c r="Q942">
        <f>YEAR(B942)</f>
        <v/>
      </c>
      <c r="R942">
        <f>TEXT(B942,"mmm")</f>
        <v/>
      </c>
      <c r="S942" s="15">
        <f>IFERROR(N942/L942,0)</f>
        <v/>
      </c>
    </row>
    <row r="943">
      <c r="A943">
        <f>Raw_Data!A943</f>
        <v/>
      </c>
      <c r="B943" s="11">
        <f>Raw_Data!B943</f>
        <v/>
      </c>
      <c r="C943">
        <f>Raw_Data!C943</f>
        <v/>
      </c>
      <c r="D943">
        <f>Raw_Data!D943</f>
        <v/>
      </c>
      <c r="E943">
        <f>Raw_Data!E943</f>
        <v/>
      </c>
      <c r="F943">
        <f>Raw_Data!F943</f>
        <v/>
      </c>
      <c r="G943">
        <f>Raw_Data!G943</f>
        <v/>
      </c>
      <c r="H943">
        <f>Raw_Data!H943</f>
        <v/>
      </c>
      <c r="I943">
        <f>Raw_Data!I943</f>
        <v/>
      </c>
      <c r="J943" s="12">
        <f>Raw_Data!J943</f>
        <v/>
      </c>
      <c r="K943" s="13">
        <f>Raw_Data!K943</f>
        <v/>
      </c>
      <c r="L943" s="12">
        <f>Raw_Data!L943</f>
        <v/>
      </c>
      <c r="M943" s="12">
        <f>Raw_Data!M943</f>
        <v/>
      </c>
      <c r="N943" s="12">
        <f>Raw_Data!N943</f>
        <v/>
      </c>
      <c r="O943">
        <f>Raw_Data!O943</f>
        <v/>
      </c>
      <c r="P943">
        <f>Raw_Data!P943</f>
        <v/>
      </c>
      <c r="Q943">
        <f>YEAR(B943)</f>
        <v/>
      </c>
      <c r="R943">
        <f>TEXT(B943,"mmm")</f>
        <v/>
      </c>
      <c r="S943" s="15">
        <f>IFERROR(N943/L943,0)</f>
        <v/>
      </c>
    </row>
    <row r="944">
      <c r="A944">
        <f>Raw_Data!A944</f>
        <v/>
      </c>
      <c r="B944" s="11">
        <f>Raw_Data!B944</f>
        <v/>
      </c>
      <c r="C944">
        <f>Raw_Data!C944</f>
        <v/>
      </c>
      <c r="D944">
        <f>Raw_Data!D944</f>
        <v/>
      </c>
      <c r="E944">
        <f>Raw_Data!E944</f>
        <v/>
      </c>
      <c r="F944">
        <f>Raw_Data!F944</f>
        <v/>
      </c>
      <c r="G944">
        <f>Raw_Data!G944</f>
        <v/>
      </c>
      <c r="H944">
        <f>Raw_Data!H944</f>
        <v/>
      </c>
      <c r="I944">
        <f>Raw_Data!I944</f>
        <v/>
      </c>
      <c r="J944" s="12">
        <f>Raw_Data!J944</f>
        <v/>
      </c>
      <c r="K944" s="13">
        <f>Raw_Data!K944</f>
        <v/>
      </c>
      <c r="L944" s="12">
        <f>Raw_Data!L944</f>
        <v/>
      </c>
      <c r="M944" s="12">
        <f>Raw_Data!M944</f>
        <v/>
      </c>
      <c r="N944" s="12">
        <f>Raw_Data!N944</f>
        <v/>
      </c>
      <c r="O944">
        <f>Raw_Data!O944</f>
        <v/>
      </c>
      <c r="P944">
        <f>Raw_Data!P944</f>
        <v/>
      </c>
      <c r="Q944">
        <f>YEAR(B944)</f>
        <v/>
      </c>
      <c r="R944">
        <f>TEXT(B944,"mmm")</f>
        <v/>
      </c>
      <c r="S944" s="15">
        <f>IFERROR(N944/L944,0)</f>
        <v/>
      </c>
    </row>
    <row r="945">
      <c r="A945">
        <f>Raw_Data!A945</f>
        <v/>
      </c>
      <c r="B945" s="11">
        <f>Raw_Data!B945</f>
        <v/>
      </c>
      <c r="C945">
        <f>Raw_Data!C945</f>
        <v/>
      </c>
      <c r="D945">
        <f>Raw_Data!D945</f>
        <v/>
      </c>
      <c r="E945">
        <f>Raw_Data!E945</f>
        <v/>
      </c>
      <c r="F945">
        <f>Raw_Data!F945</f>
        <v/>
      </c>
      <c r="G945">
        <f>Raw_Data!G945</f>
        <v/>
      </c>
      <c r="H945">
        <f>Raw_Data!H945</f>
        <v/>
      </c>
      <c r="I945">
        <f>Raw_Data!I945</f>
        <v/>
      </c>
      <c r="J945" s="12">
        <f>Raw_Data!J945</f>
        <v/>
      </c>
      <c r="K945" s="13">
        <f>Raw_Data!K945</f>
        <v/>
      </c>
      <c r="L945" s="12">
        <f>Raw_Data!L945</f>
        <v/>
      </c>
      <c r="M945" s="12">
        <f>Raw_Data!M945</f>
        <v/>
      </c>
      <c r="N945" s="12">
        <f>Raw_Data!N945</f>
        <v/>
      </c>
      <c r="O945">
        <f>Raw_Data!O945</f>
        <v/>
      </c>
      <c r="P945">
        <f>Raw_Data!P945</f>
        <v/>
      </c>
      <c r="Q945">
        <f>YEAR(B945)</f>
        <v/>
      </c>
      <c r="R945">
        <f>TEXT(B945,"mmm")</f>
        <v/>
      </c>
      <c r="S945" s="15">
        <f>IFERROR(N945/L945,0)</f>
        <v/>
      </c>
    </row>
    <row r="946">
      <c r="A946">
        <f>Raw_Data!A946</f>
        <v/>
      </c>
      <c r="B946" s="11">
        <f>Raw_Data!B946</f>
        <v/>
      </c>
      <c r="C946">
        <f>Raw_Data!C946</f>
        <v/>
      </c>
      <c r="D946">
        <f>Raw_Data!D946</f>
        <v/>
      </c>
      <c r="E946">
        <f>Raw_Data!E946</f>
        <v/>
      </c>
      <c r="F946">
        <f>Raw_Data!F946</f>
        <v/>
      </c>
      <c r="G946">
        <f>Raw_Data!G946</f>
        <v/>
      </c>
      <c r="H946">
        <f>Raw_Data!H946</f>
        <v/>
      </c>
      <c r="I946">
        <f>Raw_Data!I946</f>
        <v/>
      </c>
      <c r="J946" s="12">
        <f>Raw_Data!J946</f>
        <v/>
      </c>
      <c r="K946" s="13">
        <f>Raw_Data!K946</f>
        <v/>
      </c>
      <c r="L946" s="12">
        <f>Raw_Data!L946</f>
        <v/>
      </c>
      <c r="M946" s="12">
        <f>Raw_Data!M946</f>
        <v/>
      </c>
      <c r="N946" s="12">
        <f>Raw_Data!N946</f>
        <v/>
      </c>
      <c r="O946">
        <f>Raw_Data!O946</f>
        <v/>
      </c>
      <c r="P946">
        <f>Raw_Data!P946</f>
        <v/>
      </c>
      <c r="Q946">
        <f>YEAR(B946)</f>
        <v/>
      </c>
      <c r="R946">
        <f>TEXT(B946,"mmm")</f>
        <v/>
      </c>
      <c r="S946" s="15">
        <f>IFERROR(N946/L946,0)</f>
        <v/>
      </c>
    </row>
    <row r="947">
      <c r="A947">
        <f>Raw_Data!A947</f>
        <v/>
      </c>
      <c r="B947" s="11">
        <f>Raw_Data!B947</f>
        <v/>
      </c>
      <c r="C947">
        <f>Raw_Data!C947</f>
        <v/>
      </c>
      <c r="D947">
        <f>Raw_Data!D947</f>
        <v/>
      </c>
      <c r="E947">
        <f>Raw_Data!E947</f>
        <v/>
      </c>
      <c r="F947">
        <f>Raw_Data!F947</f>
        <v/>
      </c>
      <c r="G947">
        <f>Raw_Data!G947</f>
        <v/>
      </c>
      <c r="H947">
        <f>Raw_Data!H947</f>
        <v/>
      </c>
      <c r="I947">
        <f>Raw_Data!I947</f>
        <v/>
      </c>
      <c r="J947" s="12">
        <f>Raw_Data!J947</f>
        <v/>
      </c>
      <c r="K947" s="13">
        <f>Raw_Data!K947</f>
        <v/>
      </c>
      <c r="L947" s="12">
        <f>Raw_Data!L947</f>
        <v/>
      </c>
      <c r="M947" s="12">
        <f>Raw_Data!M947</f>
        <v/>
      </c>
      <c r="N947" s="12">
        <f>Raw_Data!N947</f>
        <v/>
      </c>
      <c r="O947">
        <f>Raw_Data!O947</f>
        <v/>
      </c>
      <c r="P947">
        <f>Raw_Data!P947</f>
        <v/>
      </c>
      <c r="Q947">
        <f>YEAR(B947)</f>
        <v/>
      </c>
      <c r="R947">
        <f>TEXT(B947,"mmm")</f>
        <v/>
      </c>
      <c r="S947" s="15">
        <f>IFERROR(N947/L947,0)</f>
        <v/>
      </c>
    </row>
    <row r="948">
      <c r="A948">
        <f>Raw_Data!A948</f>
        <v/>
      </c>
      <c r="B948" s="11">
        <f>Raw_Data!B948</f>
        <v/>
      </c>
      <c r="C948">
        <f>Raw_Data!C948</f>
        <v/>
      </c>
      <c r="D948">
        <f>Raw_Data!D948</f>
        <v/>
      </c>
      <c r="E948">
        <f>Raw_Data!E948</f>
        <v/>
      </c>
      <c r="F948">
        <f>Raw_Data!F948</f>
        <v/>
      </c>
      <c r="G948">
        <f>Raw_Data!G948</f>
        <v/>
      </c>
      <c r="H948">
        <f>Raw_Data!H948</f>
        <v/>
      </c>
      <c r="I948">
        <f>Raw_Data!I948</f>
        <v/>
      </c>
      <c r="J948" s="12">
        <f>Raw_Data!J948</f>
        <v/>
      </c>
      <c r="K948" s="13">
        <f>Raw_Data!K948</f>
        <v/>
      </c>
      <c r="L948" s="12">
        <f>Raw_Data!L948</f>
        <v/>
      </c>
      <c r="M948" s="12">
        <f>Raw_Data!M948</f>
        <v/>
      </c>
      <c r="N948" s="12">
        <f>Raw_Data!N948</f>
        <v/>
      </c>
      <c r="O948">
        <f>Raw_Data!O948</f>
        <v/>
      </c>
      <c r="P948">
        <f>Raw_Data!P948</f>
        <v/>
      </c>
      <c r="Q948">
        <f>YEAR(B948)</f>
        <v/>
      </c>
      <c r="R948">
        <f>TEXT(B948,"mmm")</f>
        <v/>
      </c>
      <c r="S948" s="15">
        <f>IFERROR(N948/L948,0)</f>
        <v/>
      </c>
    </row>
    <row r="949">
      <c r="A949">
        <f>Raw_Data!A949</f>
        <v/>
      </c>
      <c r="B949" s="11">
        <f>Raw_Data!B949</f>
        <v/>
      </c>
      <c r="C949">
        <f>Raw_Data!C949</f>
        <v/>
      </c>
      <c r="D949">
        <f>Raw_Data!D949</f>
        <v/>
      </c>
      <c r="E949">
        <f>Raw_Data!E949</f>
        <v/>
      </c>
      <c r="F949">
        <f>Raw_Data!F949</f>
        <v/>
      </c>
      <c r="G949">
        <f>Raw_Data!G949</f>
        <v/>
      </c>
      <c r="H949">
        <f>Raw_Data!H949</f>
        <v/>
      </c>
      <c r="I949">
        <f>Raw_Data!I949</f>
        <v/>
      </c>
      <c r="J949" s="12">
        <f>Raw_Data!J949</f>
        <v/>
      </c>
      <c r="K949" s="13">
        <f>Raw_Data!K949</f>
        <v/>
      </c>
      <c r="L949" s="12">
        <f>Raw_Data!L949</f>
        <v/>
      </c>
      <c r="M949" s="12">
        <f>Raw_Data!M949</f>
        <v/>
      </c>
      <c r="N949" s="12">
        <f>Raw_Data!N949</f>
        <v/>
      </c>
      <c r="O949">
        <f>Raw_Data!O949</f>
        <v/>
      </c>
      <c r="P949">
        <f>Raw_Data!P949</f>
        <v/>
      </c>
      <c r="Q949">
        <f>YEAR(B949)</f>
        <v/>
      </c>
      <c r="R949">
        <f>TEXT(B949,"mmm")</f>
        <v/>
      </c>
      <c r="S949" s="15">
        <f>IFERROR(N949/L949,0)</f>
        <v/>
      </c>
    </row>
    <row r="950">
      <c r="A950">
        <f>Raw_Data!A950</f>
        <v/>
      </c>
      <c r="B950" s="11">
        <f>Raw_Data!B950</f>
        <v/>
      </c>
      <c r="C950">
        <f>Raw_Data!C950</f>
        <v/>
      </c>
      <c r="D950">
        <f>Raw_Data!D950</f>
        <v/>
      </c>
      <c r="E950">
        <f>Raw_Data!E950</f>
        <v/>
      </c>
      <c r="F950">
        <f>Raw_Data!F950</f>
        <v/>
      </c>
      <c r="G950">
        <f>Raw_Data!G950</f>
        <v/>
      </c>
      <c r="H950">
        <f>Raw_Data!H950</f>
        <v/>
      </c>
      <c r="I950">
        <f>Raw_Data!I950</f>
        <v/>
      </c>
      <c r="J950" s="12">
        <f>Raw_Data!J950</f>
        <v/>
      </c>
      <c r="K950" s="13">
        <f>Raw_Data!K950</f>
        <v/>
      </c>
      <c r="L950" s="12">
        <f>Raw_Data!L950</f>
        <v/>
      </c>
      <c r="M950" s="12">
        <f>Raw_Data!M950</f>
        <v/>
      </c>
      <c r="N950" s="12">
        <f>Raw_Data!N950</f>
        <v/>
      </c>
      <c r="O950">
        <f>Raw_Data!O950</f>
        <v/>
      </c>
      <c r="P950">
        <f>Raw_Data!P950</f>
        <v/>
      </c>
      <c r="Q950">
        <f>YEAR(B950)</f>
        <v/>
      </c>
      <c r="R950">
        <f>TEXT(B950,"mmm")</f>
        <v/>
      </c>
      <c r="S950" s="15">
        <f>IFERROR(N950/L950,0)</f>
        <v/>
      </c>
    </row>
    <row r="951">
      <c r="A951">
        <f>Raw_Data!A951</f>
        <v/>
      </c>
      <c r="B951" s="11">
        <f>Raw_Data!B951</f>
        <v/>
      </c>
      <c r="C951">
        <f>Raw_Data!C951</f>
        <v/>
      </c>
      <c r="D951">
        <f>Raw_Data!D951</f>
        <v/>
      </c>
      <c r="E951">
        <f>Raw_Data!E951</f>
        <v/>
      </c>
      <c r="F951">
        <f>Raw_Data!F951</f>
        <v/>
      </c>
      <c r="G951">
        <f>Raw_Data!G951</f>
        <v/>
      </c>
      <c r="H951">
        <f>Raw_Data!H951</f>
        <v/>
      </c>
      <c r="I951">
        <f>Raw_Data!I951</f>
        <v/>
      </c>
      <c r="J951" s="12">
        <f>Raw_Data!J951</f>
        <v/>
      </c>
      <c r="K951" s="13">
        <f>Raw_Data!K951</f>
        <v/>
      </c>
      <c r="L951" s="12">
        <f>Raw_Data!L951</f>
        <v/>
      </c>
      <c r="M951" s="12">
        <f>Raw_Data!M951</f>
        <v/>
      </c>
      <c r="N951" s="12">
        <f>Raw_Data!N951</f>
        <v/>
      </c>
      <c r="O951">
        <f>Raw_Data!O951</f>
        <v/>
      </c>
      <c r="P951">
        <f>Raw_Data!P951</f>
        <v/>
      </c>
      <c r="Q951">
        <f>YEAR(B951)</f>
        <v/>
      </c>
      <c r="R951">
        <f>TEXT(B951,"mmm")</f>
        <v/>
      </c>
      <c r="S951" s="15">
        <f>IFERROR(N951/L951,0)</f>
        <v/>
      </c>
    </row>
    <row r="952">
      <c r="A952">
        <f>Raw_Data!A952</f>
        <v/>
      </c>
      <c r="B952" s="11">
        <f>Raw_Data!B952</f>
        <v/>
      </c>
      <c r="C952">
        <f>Raw_Data!C952</f>
        <v/>
      </c>
      <c r="D952">
        <f>Raw_Data!D952</f>
        <v/>
      </c>
      <c r="E952">
        <f>Raw_Data!E952</f>
        <v/>
      </c>
      <c r="F952">
        <f>Raw_Data!F952</f>
        <v/>
      </c>
      <c r="G952">
        <f>Raw_Data!G952</f>
        <v/>
      </c>
      <c r="H952">
        <f>Raw_Data!H952</f>
        <v/>
      </c>
      <c r="I952">
        <f>Raw_Data!I952</f>
        <v/>
      </c>
      <c r="J952" s="12">
        <f>Raw_Data!J952</f>
        <v/>
      </c>
      <c r="K952" s="13">
        <f>Raw_Data!K952</f>
        <v/>
      </c>
      <c r="L952" s="12">
        <f>Raw_Data!L952</f>
        <v/>
      </c>
      <c r="M952" s="12">
        <f>Raw_Data!M952</f>
        <v/>
      </c>
      <c r="N952" s="12">
        <f>Raw_Data!N952</f>
        <v/>
      </c>
      <c r="O952">
        <f>Raw_Data!O952</f>
        <v/>
      </c>
      <c r="P952">
        <f>Raw_Data!P952</f>
        <v/>
      </c>
      <c r="Q952">
        <f>YEAR(B952)</f>
        <v/>
      </c>
      <c r="R952">
        <f>TEXT(B952,"mmm")</f>
        <v/>
      </c>
      <c r="S952" s="15">
        <f>IFERROR(N952/L952,0)</f>
        <v/>
      </c>
    </row>
    <row r="953">
      <c r="A953">
        <f>Raw_Data!A953</f>
        <v/>
      </c>
      <c r="B953" s="11">
        <f>Raw_Data!B953</f>
        <v/>
      </c>
      <c r="C953">
        <f>Raw_Data!C953</f>
        <v/>
      </c>
      <c r="D953">
        <f>Raw_Data!D953</f>
        <v/>
      </c>
      <c r="E953">
        <f>Raw_Data!E953</f>
        <v/>
      </c>
      <c r="F953">
        <f>Raw_Data!F953</f>
        <v/>
      </c>
      <c r="G953">
        <f>Raw_Data!G953</f>
        <v/>
      </c>
      <c r="H953">
        <f>Raw_Data!H953</f>
        <v/>
      </c>
      <c r="I953">
        <f>Raw_Data!I953</f>
        <v/>
      </c>
      <c r="J953" s="12">
        <f>Raw_Data!J953</f>
        <v/>
      </c>
      <c r="K953" s="13">
        <f>Raw_Data!K953</f>
        <v/>
      </c>
      <c r="L953" s="12">
        <f>Raw_Data!L953</f>
        <v/>
      </c>
      <c r="M953" s="12">
        <f>Raw_Data!M953</f>
        <v/>
      </c>
      <c r="N953" s="12">
        <f>Raw_Data!N953</f>
        <v/>
      </c>
      <c r="O953">
        <f>Raw_Data!O953</f>
        <v/>
      </c>
      <c r="P953">
        <f>Raw_Data!P953</f>
        <v/>
      </c>
      <c r="Q953">
        <f>YEAR(B953)</f>
        <v/>
      </c>
      <c r="R953">
        <f>TEXT(B953,"mmm")</f>
        <v/>
      </c>
      <c r="S953" s="15">
        <f>IFERROR(N953/L953,0)</f>
        <v/>
      </c>
    </row>
    <row r="954">
      <c r="A954">
        <f>Raw_Data!A954</f>
        <v/>
      </c>
      <c r="B954" s="11">
        <f>Raw_Data!B954</f>
        <v/>
      </c>
      <c r="C954">
        <f>Raw_Data!C954</f>
        <v/>
      </c>
      <c r="D954">
        <f>Raw_Data!D954</f>
        <v/>
      </c>
      <c r="E954">
        <f>Raw_Data!E954</f>
        <v/>
      </c>
      <c r="F954">
        <f>Raw_Data!F954</f>
        <v/>
      </c>
      <c r="G954">
        <f>Raw_Data!G954</f>
        <v/>
      </c>
      <c r="H954">
        <f>Raw_Data!H954</f>
        <v/>
      </c>
      <c r="I954">
        <f>Raw_Data!I954</f>
        <v/>
      </c>
      <c r="J954" s="12">
        <f>Raw_Data!J954</f>
        <v/>
      </c>
      <c r="K954" s="13">
        <f>Raw_Data!K954</f>
        <v/>
      </c>
      <c r="L954" s="12">
        <f>Raw_Data!L954</f>
        <v/>
      </c>
      <c r="M954" s="12">
        <f>Raw_Data!M954</f>
        <v/>
      </c>
      <c r="N954" s="12">
        <f>Raw_Data!N954</f>
        <v/>
      </c>
      <c r="O954">
        <f>Raw_Data!O954</f>
        <v/>
      </c>
      <c r="P954">
        <f>Raw_Data!P954</f>
        <v/>
      </c>
      <c r="Q954">
        <f>YEAR(B954)</f>
        <v/>
      </c>
      <c r="R954">
        <f>TEXT(B954,"mmm")</f>
        <v/>
      </c>
      <c r="S954" s="15">
        <f>IFERROR(N954/L954,0)</f>
        <v/>
      </c>
    </row>
    <row r="955">
      <c r="A955">
        <f>Raw_Data!A955</f>
        <v/>
      </c>
      <c r="B955" s="11">
        <f>Raw_Data!B955</f>
        <v/>
      </c>
      <c r="C955">
        <f>Raw_Data!C955</f>
        <v/>
      </c>
      <c r="D955">
        <f>Raw_Data!D955</f>
        <v/>
      </c>
      <c r="E955">
        <f>Raw_Data!E955</f>
        <v/>
      </c>
      <c r="F955">
        <f>Raw_Data!F955</f>
        <v/>
      </c>
      <c r="G955">
        <f>Raw_Data!G955</f>
        <v/>
      </c>
      <c r="H955">
        <f>Raw_Data!H955</f>
        <v/>
      </c>
      <c r="I955">
        <f>Raw_Data!I955</f>
        <v/>
      </c>
      <c r="J955" s="12">
        <f>Raw_Data!J955</f>
        <v/>
      </c>
      <c r="K955" s="13">
        <f>Raw_Data!K955</f>
        <v/>
      </c>
      <c r="L955" s="12">
        <f>Raw_Data!L955</f>
        <v/>
      </c>
      <c r="M955" s="12">
        <f>Raw_Data!M955</f>
        <v/>
      </c>
      <c r="N955" s="12">
        <f>Raw_Data!N955</f>
        <v/>
      </c>
      <c r="O955">
        <f>Raw_Data!O955</f>
        <v/>
      </c>
      <c r="P955">
        <f>Raw_Data!P955</f>
        <v/>
      </c>
      <c r="Q955">
        <f>YEAR(B955)</f>
        <v/>
      </c>
      <c r="R955">
        <f>TEXT(B955,"mmm")</f>
        <v/>
      </c>
      <c r="S955" s="15">
        <f>IFERROR(N955/L955,0)</f>
        <v/>
      </c>
    </row>
    <row r="956">
      <c r="A956">
        <f>Raw_Data!A956</f>
        <v/>
      </c>
      <c r="B956" s="11">
        <f>Raw_Data!B956</f>
        <v/>
      </c>
      <c r="C956">
        <f>Raw_Data!C956</f>
        <v/>
      </c>
      <c r="D956">
        <f>Raw_Data!D956</f>
        <v/>
      </c>
      <c r="E956">
        <f>Raw_Data!E956</f>
        <v/>
      </c>
      <c r="F956">
        <f>Raw_Data!F956</f>
        <v/>
      </c>
      <c r="G956">
        <f>Raw_Data!G956</f>
        <v/>
      </c>
      <c r="H956">
        <f>Raw_Data!H956</f>
        <v/>
      </c>
      <c r="I956">
        <f>Raw_Data!I956</f>
        <v/>
      </c>
      <c r="J956" s="12">
        <f>Raw_Data!J956</f>
        <v/>
      </c>
      <c r="K956" s="13">
        <f>Raw_Data!K956</f>
        <v/>
      </c>
      <c r="L956" s="12">
        <f>Raw_Data!L956</f>
        <v/>
      </c>
      <c r="M956" s="12">
        <f>Raw_Data!M956</f>
        <v/>
      </c>
      <c r="N956" s="12">
        <f>Raw_Data!N956</f>
        <v/>
      </c>
      <c r="O956">
        <f>Raw_Data!O956</f>
        <v/>
      </c>
      <c r="P956">
        <f>Raw_Data!P956</f>
        <v/>
      </c>
      <c r="Q956">
        <f>YEAR(B956)</f>
        <v/>
      </c>
      <c r="R956">
        <f>TEXT(B956,"mmm")</f>
        <v/>
      </c>
      <c r="S956" s="15">
        <f>IFERROR(N956/L956,0)</f>
        <v/>
      </c>
    </row>
    <row r="957">
      <c r="A957">
        <f>Raw_Data!A957</f>
        <v/>
      </c>
      <c r="B957" s="11">
        <f>Raw_Data!B957</f>
        <v/>
      </c>
      <c r="C957">
        <f>Raw_Data!C957</f>
        <v/>
      </c>
      <c r="D957">
        <f>Raw_Data!D957</f>
        <v/>
      </c>
      <c r="E957">
        <f>Raw_Data!E957</f>
        <v/>
      </c>
      <c r="F957">
        <f>Raw_Data!F957</f>
        <v/>
      </c>
      <c r="G957">
        <f>Raw_Data!G957</f>
        <v/>
      </c>
      <c r="H957">
        <f>Raw_Data!H957</f>
        <v/>
      </c>
      <c r="I957">
        <f>Raw_Data!I957</f>
        <v/>
      </c>
      <c r="J957" s="12">
        <f>Raw_Data!J957</f>
        <v/>
      </c>
      <c r="K957" s="13">
        <f>Raw_Data!K957</f>
        <v/>
      </c>
      <c r="L957" s="12">
        <f>Raw_Data!L957</f>
        <v/>
      </c>
      <c r="M957" s="12">
        <f>Raw_Data!M957</f>
        <v/>
      </c>
      <c r="N957" s="12">
        <f>Raw_Data!N957</f>
        <v/>
      </c>
      <c r="O957">
        <f>Raw_Data!O957</f>
        <v/>
      </c>
      <c r="P957">
        <f>Raw_Data!P957</f>
        <v/>
      </c>
      <c r="Q957">
        <f>YEAR(B957)</f>
        <v/>
      </c>
      <c r="R957">
        <f>TEXT(B957,"mmm")</f>
        <v/>
      </c>
      <c r="S957" s="15">
        <f>IFERROR(N957/L957,0)</f>
        <v/>
      </c>
    </row>
    <row r="958">
      <c r="A958">
        <f>Raw_Data!A958</f>
        <v/>
      </c>
      <c r="B958" s="11">
        <f>Raw_Data!B958</f>
        <v/>
      </c>
      <c r="C958">
        <f>Raw_Data!C958</f>
        <v/>
      </c>
      <c r="D958">
        <f>Raw_Data!D958</f>
        <v/>
      </c>
      <c r="E958">
        <f>Raw_Data!E958</f>
        <v/>
      </c>
      <c r="F958">
        <f>Raw_Data!F958</f>
        <v/>
      </c>
      <c r="G958">
        <f>Raw_Data!G958</f>
        <v/>
      </c>
      <c r="H958">
        <f>Raw_Data!H958</f>
        <v/>
      </c>
      <c r="I958">
        <f>Raw_Data!I958</f>
        <v/>
      </c>
      <c r="J958" s="12">
        <f>Raw_Data!J958</f>
        <v/>
      </c>
      <c r="K958" s="13">
        <f>Raw_Data!K958</f>
        <v/>
      </c>
      <c r="L958" s="12">
        <f>Raw_Data!L958</f>
        <v/>
      </c>
      <c r="M958" s="12">
        <f>Raw_Data!M958</f>
        <v/>
      </c>
      <c r="N958" s="12">
        <f>Raw_Data!N958</f>
        <v/>
      </c>
      <c r="O958">
        <f>Raw_Data!O958</f>
        <v/>
      </c>
      <c r="P958">
        <f>Raw_Data!P958</f>
        <v/>
      </c>
      <c r="Q958">
        <f>YEAR(B958)</f>
        <v/>
      </c>
      <c r="R958">
        <f>TEXT(B958,"mmm")</f>
        <v/>
      </c>
      <c r="S958" s="15">
        <f>IFERROR(N958/L958,0)</f>
        <v/>
      </c>
    </row>
    <row r="959">
      <c r="A959">
        <f>Raw_Data!A959</f>
        <v/>
      </c>
      <c r="B959" s="11">
        <f>Raw_Data!B959</f>
        <v/>
      </c>
      <c r="C959">
        <f>Raw_Data!C959</f>
        <v/>
      </c>
      <c r="D959">
        <f>Raw_Data!D959</f>
        <v/>
      </c>
      <c r="E959">
        <f>Raw_Data!E959</f>
        <v/>
      </c>
      <c r="F959">
        <f>Raw_Data!F959</f>
        <v/>
      </c>
      <c r="G959">
        <f>Raw_Data!G959</f>
        <v/>
      </c>
      <c r="H959">
        <f>Raw_Data!H959</f>
        <v/>
      </c>
      <c r="I959">
        <f>Raw_Data!I959</f>
        <v/>
      </c>
      <c r="J959" s="12">
        <f>Raw_Data!J959</f>
        <v/>
      </c>
      <c r="K959" s="13">
        <f>Raw_Data!K959</f>
        <v/>
      </c>
      <c r="L959" s="12">
        <f>Raw_Data!L959</f>
        <v/>
      </c>
      <c r="M959" s="12">
        <f>Raw_Data!M959</f>
        <v/>
      </c>
      <c r="N959" s="12">
        <f>Raw_Data!N959</f>
        <v/>
      </c>
      <c r="O959">
        <f>Raw_Data!O959</f>
        <v/>
      </c>
      <c r="P959">
        <f>Raw_Data!P959</f>
        <v/>
      </c>
      <c r="Q959">
        <f>YEAR(B959)</f>
        <v/>
      </c>
      <c r="R959">
        <f>TEXT(B959,"mmm")</f>
        <v/>
      </c>
      <c r="S959" s="15">
        <f>IFERROR(N959/L959,0)</f>
        <v/>
      </c>
    </row>
    <row r="960">
      <c r="A960">
        <f>Raw_Data!A960</f>
        <v/>
      </c>
      <c r="B960" s="11">
        <f>Raw_Data!B960</f>
        <v/>
      </c>
      <c r="C960">
        <f>Raw_Data!C960</f>
        <v/>
      </c>
      <c r="D960">
        <f>Raw_Data!D960</f>
        <v/>
      </c>
      <c r="E960">
        <f>Raw_Data!E960</f>
        <v/>
      </c>
      <c r="F960">
        <f>Raw_Data!F960</f>
        <v/>
      </c>
      <c r="G960">
        <f>Raw_Data!G960</f>
        <v/>
      </c>
      <c r="H960">
        <f>Raw_Data!H960</f>
        <v/>
      </c>
      <c r="I960">
        <f>Raw_Data!I960</f>
        <v/>
      </c>
      <c r="J960" s="12">
        <f>Raw_Data!J960</f>
        <v/>
      </c>
      <c r="K960" s="13">
        <f>Raw_Data!K960</f>
        <v/>
      </c>
      <c r="L960" s="12">
        <f>Raw_Data!L960</f>
        <v/>
      </c>
      <c r="M960" s="12">
        <f>Raw_Data!M960</f>
        <v/>
      </c>
      <c r="N960" s="12">
        <f>Raw_Data!N960</f>
        <v/>
      </c>
      <c r="O960">
        <f>Raw_Data!O960</f>
        <v/>
      </c>
      <c r="P960">
        <f>Raw_Data!P960</f>
        <v/>
      </c>
      <c r="Q960">
        <f>YEAR(B960)</f>
        <v/>
      </c>
      <c r="R960">
        <f>TEXT(B960,"mmm")</f>
        <v/>
      </c>
      <c r="S960" s="15">
        <f>IFERROR(N960/L960,0)</f>
        <v/>
      </c>
    </row>
    <row r="961">
      <c r="A961">
        <f>Raw_Data!A961</f>
        <v/>
      </c>
      <c r="B961" s="11">
        <f>Raw_Data!B961</f>
        <v/>
      </c>
      <c r="C961">
        <f>Raw_Data!C961</f>
        <v/>
      </c>
      <c r="D961">
        <f>Raw_Data!D961</f>
        <v/>
      </c>
      <c r="E961">
        <f>Raw_Data!E961</f>
        <v/>
      </c>
      <c r="F961">
        <f>Raw_Data!F961</f>
        <v/>
      </c>
      <c r="G961">
        <f>Raw_Data!G961</f>
        <v/>
      </c>
      <c r="H961">
        <f>Raw_Data!H961</f>
        <v/>
      </c>
      <c r="I961">
        <f>Raw_Data!I961</f>
        <v/>
      </c>
      <c r="J961" s="12">
        <f>Raw_Data!J961</f>
        <v/>
      </c>
      <c r="K961" s="13">
        <f>Raw_Data!K961</f>
        <v/>
      </c>
      <c r="L961" s="12">
        <f>Raw_Data!L961</f>
        <v/>
      </c>
      <c r="M961" s="12">
        <f>Raw_Data!M961</f>
        <v/>
      </c>
      <c r="N961" s="12">
        <f>Raw_Data!N961</f>
        <v/>
      </c>
      <c r="O961">
        <f>Raw_Data!O961</f>
        <v/>
      </c>
      <c r="P961">
        <f>Raw_Data!P961</f>
        <v/>
      </c>
      <c r="Q961">
        <f>YEAR(B961)</f>
        <v/>
      </c>
      <c r="R961">
        <f>TEXT(B961,"mmm")</f>
        <v/>
      </c>
      <c r="S961" s="15">
        <f>IFERROR(N961/L961,0)</f>
        <v/>
      </c>
    </row>
    <row r="962">
      <c r="A962">
        <f>Raw_Data!A962</f>
        <v/>
      </c>
      <c r="B962" s="11">
        <f>Raw_Data!B962</f>
        <v/>
      </c>
      <c r="C962">
        <f>Raw_Data!C962</f>
        <v/>
      </c>
      <c r="D962">
        <f>Raw_Data!D962</f>
        <v/>
      </c>
      <c r="E962">
        <f>Raw_Data!E962</f>
        <v/>
      </c>
      <c r="F962">
        <f>Raw_Data!F962</f>
        <v/>
      </c>
      <c r="G962">
        <f>Raw_Data!G962</f>
        <v/>
      </c>
      <c r="H962">
        <f>Raw_Data!H962</f>
        <v/>
      </c>
      <c r="I962">
        <f>Raw_Data!I962</f>
        <v/>
      </c>
      <c r="J962" s="12">
        <f>Raw_Data!J962</f>
        <v/>
      </c>
      <c r="K962" s="13">
        <f>Raw_Data!K962</f>
        <v/>
      </c>
      <c r="L962" s="12">
        <f>Raw_Data!L962</f>
        <v/>
      </c>
      <c r="M962" s="12">
        <f>Raw_Data!M962</f>
        <v/>
      </c>
      <c r="N962" s="12">
        <f>Raw_Data!N962</f>
        <v/>
      </c>
      <c r="O962">
        <f>Raw_Data!O962</f>
        <v/>
      </c>
      <c r="P962">
        <f>Raw_Data!P962</f>
        <v/>
      </c>
      <c r="Q962">
        <f>YEAR(B962)</f>
        <v/>
      </c>
      <c r="R962">
        <f>TEXT(B962,"mmm")</f>
        <v/>
      </c>
      <c r="S962" s="15">
        <f>IFERROR(N962/L962,0)</f>
        <v/>
      </c>
    </row>
    <row r="963">
      <c r="A963">
        <f>Raw_Data!A963</f>
        <v/>
      </c>
      <c r="B963" s="11">
        <f>Raw_Data!B963</f>
        <v/>
      </c>
      <c r="C963">
        <f>Raw_Data!C963</f>
        <v/>
      </c>
      <c r="D963">
        <f>Raw_Data!D963</f>
        <v/>
      </c>
      <c r="E963">
        <f>Raw_Data!E963</f>
        <v/>
      </c>
      <c r="F963">
        <f>Raw_Data!F963</f>
        <v/>
      </c>
      <c r="G963">
        <f>Raw_Data!G963</f>
        <v/>
      </c>
      <c r="H963">
        <f>Raw_Data!H963</f>
        <v/>
      </c>
      <c r="I963">
        <f>Raw_Data!I963</f>
        <v/>
      </c>
      <c r="J963" s="12">
        <f>Raw_Data!J963</f>
        <v/>
      </c>
      <c r="K963" s="13">
        <f>Raw_Data!K963</f>
        <v/>
      </c>
      <c r="L963" s="12">
        <f>Raw_Data!L963</f>
        <v/>
      </c>
      <c r="M963" s="12">
        <f>Raw_Data!M963</f>
        <v/>
      </c>
      <c r="N963" s="12">
        <f>Raw_Data!N963</f>
        <v/>
      </c>
      <c r="O963">
        <f>Raw_Data!O963</f>
        <v/>
      </c>
      <c r="P963">
        <f>Raw_Data!P963</f>
        <v/>
      </c>
      <c r="Q963">
        <f>YEAR(B963)</f>
        <v/>
      </c>
      <c r="R963">
        <f>TEXT(B963,"mmm")</f>
        <v/>
      </c>
      <c r="S963" s="15">
        <f>IFERROR(N963/L963,0)</f>
        <v/>
      </c>
    </row>
    <row r="964">
      <c r="A964">
        <f>Raw_Data!A964</f>
        <v/>
      </c>
      <c r="B964" s="11">
        <f>Raw_Data!B964</f>
        <v/>
      </c>
      <c r="C964">
        <f>Raw_Data!C964</f>
        <v/>
      </c>
      <c r="D964">
        <f>Raw_Data!D964</f>
        <v/>
      </c>
      <c r="E964">
        <f>Raw_Data!E964</f>
        <v/>
      </c>
      <c r="F964">
        <f>Raw_Data!F964</f>
        <v/>
      </c>
      <c r="G964">
        <f>Raw_Data!G964</f>
        <v/>
      </c>
      <c r="H964">
        <f>Raw_Data!H964</f>
        <v/>
      </c>
      <c r="I964">
        <f>Raw_Data!I964</f>
        <v/>
      </c>
      <c r="J964" s="12">
        <f>Raw_Data!J964</f>
        <v/>
      </c>
      <c r="K964" s="13">
        <f>Raw_Data!K964</f>
        <v/>
      </c>
      <c r="L964" s="12">
        <f>Raw_Data!L964</f>
        <v/>
      </c>
      <c r="M964" s="12">
        <f>Raw_Data!M964</f>
        <v/>
      </c>
      <c r="N964" s="12">
        <f>Raw_Data!N964</f>
        <v/>
      </c>
      <c r="O964">
        <f>Raw_Data!O964</f>
        <v/>
      </c>
      <c r="P964">
        <f>Raw_Data!P964</f>
        <v/>
      </c>
      <c r="Q964">
        <f>YEAR(B964)</f>
        <v/>
      </c>
      <c r="R964">
        <f>TEXT(B964,"mmm")</f>
        <v/>
      </c>
      <c r="S964" s="15">
        <f>IFERROR(N964/L964,0)</f>
        <v/>
      </c>
    </row>
    <row r="965">
      <c r="A965">
        <f>Raw_Data!A965</f>
        <v/>
      </c>
      <c r="B965" s="11">
        <f>Raw_Data!B965</f>
        <v/>
      </c>
      <c r="C965">
        <f>Raw_Data!C965</f>
        <v/>
      </c>
      <c r="D965">
        <f>Raw_Data!D965</f>
        <v/>
      </c>
      <c r="E965">
        <f>Raw_Data!E965</f>
        <v/>
      </c>
      <c r="F965">
        <f>Raw_Data!F965</f>
        <v/>
      </c>
      <c r="G965">
        <f>Raw_Data!G965</f>
        <v/>
      </c>
      <c r="H965">
        <f>Raw_Data!H965</f>
        <v/>
      </c>
      <c r="I965">
        <f>Raw_Data!I965</f>
        <v/>
      </c>
      <c r="J965" s="12">
        <f>Raw_Data!J965</f>
        <v/>
      </c>
      <c r="K965" s="13">
        <f>Raw_Data!K965</f>
        <v/>
      </c>
      <c r="L965" s="12">
        <f>Raw_Data!L965</f>
        <v/>
      </c>
      <c r="M965" s="12">
        <f>Raw_Data!M965</f>
        <v/>
      </c>
      <c r="N965" s="12">
        <f>Raw_Data!N965</f>
        <v/>
      </c>
      <c r="O965">
        <f>Raw_Data!O965</f>
        <v/>
      </c>
      <c r="P965">
        <f>Raw_Data!P965</f>
        <v/>
      </c>
      <c r="Q965">
        <f>YEAR(B965)</f>
        <v/>
      </c>
      <c r="R965">
        <f>TEXT(B965,"mmm")</f>
        <v/>
      </c>
      <c r="S965" s="15">
        <f>IFERROR(N965/L965,0)</f>
        <v/>
      </c>
    </row>
    <row r="966">
      <c r="A966">
        <f>Raw_Data!A966</f>
        <v/>
      </c>
      <c r="B966" s="11">
        <f>Raw_Data!B966</f>
        <v/>
      </c>
      <c r="C966">
        <f>Raw_Data!C966</f>
        <v/>
      </c>
      <c r="D966">
        <f>Raw_Data!D966</f>
        <v/>
      </c>
      <c r="E966">
        <f>Raw_Data!E966</f>
        <v/>
      </c>
      <c r="F966">
        <f>Raw_Data!F966</f>
        <v/>
      </c>
      <c r="G966">
        <f>Raw_Data!G966</f>
        <v/>
      </c>
      <c r="H966">
        <f>Raw_Data!H966</f>
        <v/>
      </c>
      <c r="I966">
        <f>Raw_Data!I966</f>
        <v/>
      </c>
      <c r="J966" s="12">
        <f>Raw_Data!J966</f>
        <v/>
      </c>
      <c r="K966" s="13">
        <f>Raw_Data!K966</f>
        <v/>
      </c>
      <c r="L966" s="12">
        <f>Raw_Data!L966</f>
        <v/>
      </c>
      <c r="M966" s="12">
        <f>Raw_Data!M966</f>
        <v/>
      </c>
      <c r="N966" s="12">
        <f>Raw_Data!N966</f>
        <v/>
      </c>
      <c r="O966">
        <f>Raw_Data!O966</f>
        <v/>
      </c>
      <c r="P966">
        <f>Raw_Data!P966</f>
        <v/>
      </c>
      <c r="Q966">
        <f>YEAR(B966)</f>
        <v/>
      </c>
      <c r="R966">
        <f>TEXT(B966,"mmm")</f>
        <v/>
      </c>
      <c r="S966" s="15">
        <f>IFERROR(N966/L966,0)</f>
        <v/>
      </c>
    </row>
    <row r="967">
      <c r="A967">
        <f>Raw_Data!A967</f>
        <v/>
      </c>
      <c r="B967" s="11">
        <f>Raw_Data!B967</f>
        <v/>
      </c>
      <c r="C967">
        <f>Raw_Data!C967</f>
        <v/>
      </c>
      <c r="D967">
        <f>Raw_Data!D967</f>
        <v/>
      </c>
      <c r="E967">
        <f>Raw_Data!E967</f>
        <v/>
      </c>
      <c r="F967">
        <f>Raw_Data!F967</f>
        <v/>
      </c>
      <c r="G967">
        <f>Raw_Data!G967</f>
        <v/>
      </c>
      <c r="H967">
        <f>Raw_Data!H967</f>
        <v/>
      </c>
      <c r="I967">
        <f>Raw_Data!I967</f>
        <v/>
      </c>
      <c r="J967" s="12">
        <f>Raw_Data!J967</f>
        <v/>
      </c>
      <c r="K967" s="13">
        <f>Raw_Data!K967</f>
        <v/>
      </c>
      <c r="L967" s="12">
        <f>Raw_Data!L967</f>
        <v/>
      </c>
      <c r="M967" s="12">
        <f>Raw_Data!M967</f>
        <v/>
      </c>
      <c r="N967" s="12">
        <f>Raw_Data!N967</f>
        <v/>
      </c>
      <c r="O967">
        <f>Raw_Data!O967</f>
        <v/>
      </c>
      <c r="P967">
        <f>Raw_Data!P967</f>
        <v/>
      </c>
      <c r="Q967">
        <f>YEAR(B967)</f>
        <v/>
      </c>
      <c r="R967">
        <f>TEXT(B967,"mmm")</f>
        <v/>
      </c>
      <c r="S967" s="15">
        <f>IFERROR(N967/L967,0)</f>
        <v/>
      </c>
    </row>
    <row r="968">
      <c r="A968">
        <f>Raw_Data!A968</f>
        <v/>
      </c>
      <c r="B968" s="11">
        <f>Raw_Data!B968</f>
        <v/>
      </c>
      <c r="C968">
        <f>Raw_Data!C968</f>
        <v/>
      </c>
      <c r="D968">
        <f>Raw_Data!D968</f>
        <v/>
      </c>
      <c r="E968">
        <f>Raw_Data!E968</f>
        <v/>
      </c>
      <c r="F968">
        <f>Raw_Data!F968</f>
        <v/>
      </c>
      <c r="G968">
        <f>Raw_Data!G968</f>
        <v/>
      </c>
      <c r="H968">
        <f>Raw_Data!H968</f>
        <v/>
      </c>
      <c r="I968">
        <f>Raw_Data!I968</f>
        <v/>
      </c>
      <c r="J968" s="12">
        <f>Raw_Data!J968</f>
        <v/>
      </c>
      <c r="K968" s="13">
        <f>Raw_Data!K968</f>
        <v/>
      </c>
      <c r="L968" s="12">
        <f>Raw_Data!L968</f>
        <v/>
      </c>
      <c r="M968" s="12">
        <f>Raw_Data!M968</f>
        <v/>
      </c>
      <c r="N968" s="12">
        <f>Raw_Data!N968</f>
        <v/>
      </c>
      <c r="O968">
        <f>Raw_Data!O968</f>
        <v/>
      </c>
      <c r="P968">
        <f>Raw_Data!P968</f>
        <v/>
      </c>
      <c r="Q968">
        <f>YEAR(B968)</f>
        <v/>
      </c>
      <c r="R968">
        <f>TEXT(B968,"mmm")</f>
        <v/>
      </c>
      <c r="S968" s="15">
        <f>IFERROR(N968/L968,0)</f>
        <v/>
      </c>
    </row>
    <row r="969">
      <c r="A969">
        <f>Raw_Data!A969</f>
        <v/>
      </c>
      <c r="B969" s="11">
        <f>Raw_Data!B969</f>
        <v/>
      </c>
      <c r="C969">
        <f>Raw_Data!C969</f>
        <v/>
      </c>
      <c r="D969">
        <f>Raw_Data!D969</f>
        <v/>
      </c>
      <c r="E969">
        <f>Raw_Data!E969</f>
        <v/>
      </c>
      <c r="F969">
        <f>Raw_Data!F969</f>
        <v/>
      </c>
      <c r="G969">
        <f>Raw_Data!G969</f>
        <v/>
      </c>
      <c r="H969">
        <f>Raw_Data!H969</f>
        <v/>
      </c>
      <c r="I969">
        <f>Raw_Data!I969</f>
        <v/>
      </c>
      <c r="J969" s="12">
        <f>Raw_Data!J969</f>
        <v/>
      </c>
      <c r="K969" s="13">
        <f>Raw_Data!K969</f>
        <v/>
      </c>
      <c r="L969" s="12">
        <f>Raw_Data!L969</f>
        <v/>
      </c>
      <c r="M969" s="12">
        <f>Raw_Data!M969</f>
        <v/>
      </c>
      <c r="N969" s="12">
        <f>Raw_Data!N969</f>
        <v/>
      </c>
      <c r="O969">
        <f>Raw_Data!O969</f>
        <v/>
      </c>
      <c r="P969">
        <f>Raw_Data!P969</f>
        <v/>
      </c>
      <c r="Q969">
        <f>YEAR(B969)</f>
        <v/>
      </c>
      <c r="R969">
        <f>TEXT(B969,"mmm")</f>
        <v/>
      </c>
      <c r="S969" s="15">
        <f>IFERROR(N969/L969,0)</f>
        <v/>
      </c>
    </row>
    <row r="970">
      <c r="A970">
        <f>Raw_Data!A970</f>
        <v/>
      </c>
      <c r="B970" s="11">
        <f>Raw_Data!B970</f>
        <v/>
      </c>
      <c r="C970">
        <f>Raw_Data!C970</f>
        <v/>
      </c>
      <c r="D970">
        <f>Raw_Data!D970</f>
        <v/>
      </c>
      <c r="E970">
        <f>Raw_Data!E970</f>
        <v/>
      </c>
      <c r="F970">
        <f>Raw_Data!F970</f>
        <v/>
      </c>
      <c r="G970">
        <f>Raw_Data!G970</f>
        <v/>
      </c>
      <c r="H970">
        <f>Raw_Data!H970</f>
        <v/>
      </c>
      <c r="I970">
        <f>Raw_Data!I970</f>
        <v/>
      </c>
      <c r="J970" s="12">
        <f>Raw_Data!J970</f>
        <v/>
      </c>
      <c r="K970" s="13">
        <f>Raw_Data!K970</f>
        <v/>
      </c>
      <c r="L970" s="12">
        <f>Raw_Data!L970</f>
        <v/>
      </c>
      <c r="M970" s="12">
        <f>Raw_Data!M970</f>
        <v/>
      </c>
      <c r="N970" s="12">
        <f>Raw_Data!N970</f>
        <v/>
      </c>
      <c r="O970">
        <f>Raw_Data!O970</f>
        <v/>
      </c>
      <c r="P970">
        <f>Raw_Data!P970</f>
        <v/>
      </c>
      <c r="Q970">
        <f>YEAR(B970)</f>
        <v/>
      </c>
      <c r="R970">
        <f>TEXT(B970,"mmm")</f>
        <v/>
      </c>
      <c r="S970" s="15">
        <f>IFERROR(N970/L970,0)</f>
        <v/>
      </c>
    </row>
    <row r="971">
      <c r="A971">
        <f>Raw_Data!A971</f>
        <v/>
      </c>
      <c r="B971" s="11">
        <f>Raw_Data!B971</f>
        <v/>
      </c>
      <c r="C971">
        <f>Raw_Data!C971</f>
        <v/>
      </c>
      <c r="D971">
        <f>Raw_Data!D971</f>
        <v/>
      </c>
      <c r="E971">
        <f>Raw_Data!E971</f>
        <v/>
      </c>
      <c r="F971">
        <f>Raw_Data!F971</f>
        <v/>
      </c>
      <c r="G971">
        <f>Raw_Data!G971</f>
        <v/>
      </c>
      <c r="H971">
        <f>Raw_Data!H971</f>
        <v/>
      </c>
      <c r="I971">
        <f>Raw_Data!I971</f>
        <v/>
      </c>
      <c r="J971" s="12">
        <f>Raw_Data!J971</f>
        <v/>
      </c>
      <c r="K971" s="13">
        <f>Raw_Data!K971</f>
        <v/>
      </c>
      <c r="L971" s="12">
        <f>Raw_Data!L971</f>
        <v/>
      </c>
      <c r="M971" s="12">
        <f>Raw_Data!M971</f>
        <v/>
      </c>
      <c r="N971" s="12">
        <f>Raw_Data!N971</f>
        <v/>
      </c>
      <c r="O971">
        <f>Raw_Data!O971</f>
        <v/>
      </c>
      <c r="P971">
        <f>Raw_Data!P971</f>
        <v/>
      </c>
      <c r="Q971">
        <f>YEAR(B971)</f>
        <v/>
      </c>
      <c r="R971">
        <f>TEXT(B971,"mmm")</f>
        <v/>
      </c>
      <c r="S971" s="15">
        <f>IFERROR(N971/L971,0)</f>
        <v/>
      </c>
    </row>
    <row r="972">
      <c r="A972">
        <f>Raw_Data!A972</f>
        <v/>
      </c>
      <c r="B972" s="11">
        <f>Raw_Data!B972</f>
        <v/>
      </c>
      <c r="C972">
        <f>Raw_Data!C972</f>
        <v/>
      </c>
      <c r="D972">
        <f>Raw_Data!D972</f>
        <v/>
      </c>
      <c r="E972">
        <f>Raw_Data!E972</f>
        <v/>
      </c>
      <c r="F972">
        <f>Raw_Data!F972</f>
        <v/>
      </c>
      <c r="G972">
        <f>Raw_Data!G972</f>
        <v/>
      </c>
      <c r="H972">
        <f>Raw_Data!H972</f>
        <v/>
      </c>
      <c r="I972">
        <f>Raw_Data!I972</f>
        <v/>
      </c>
      <c r="J972" s="12">
        <f>Raw_Data!J972</f>
        <v/>
      </c>
      <c r="K972" s="13">
        <f>Raw_Data!K972</f>
        <v/>
      </c>
      <c r="L972" s="12">
        <f>Raw_Data!L972</f>
        <v/>
      </c>
      <c r="M972" s="12">
        <f>Raw_Data!M972</f>
        <v/>
      </c>
      <c r="N972" s="12">
        <f>Raw_Data!N972</f>
        <v/>
      </c>
      <c r="O972">
        <f>Raw_Data!O972</f>
        <v/>
      </c>
      <c r="P972">
        <f>Raw_Data!P972</f>
        <v/>
      </c>
      <c r="Q972">
        <f>YEAR(B972)</f>
        <v/>
      </c>
      <c r="R972">
        <f>TEXT(B972,"mmm")</f>
        <v/>
      </c>
      <c r="S972" s="15">
        <f>IFERROR(N972/L972,0)</f>
        <v/>
      </c>
    </row>
    <row r="973">
      <c r="A973">
        <f>Raw_Data!A973</f>
        <v/>
      </c>
      <c r="B973" s="11">
        <f>Raw_Data!B973</f>
        <v/>
      </c>
      <c r="C973">
        <f>Raw_Data!C973</f>
        <v/>
      </c>
      <c r="D973">
        <f>Raw_Data!D973</f>
        <v/>
      </c>
      <c r="E973">
        <f>Raw_Data!E973</f>
        <v/>
      </c>
      <c r="F973">
        <f>Raw_Data!F973</f>
        <v/>
      </c>
      <c r="G973">
        <f>Raw_Data!G973</f>
        <v/>
      </c>
      <c r="H973">
        <f>Raw_Data!H973</f>
        <v/>
      </c>
      <c r="I973">
        <f>Raw_Data!I973</f>
        <v/>
      </c>
      <c r="J973" s="12">
        <f>Raw_Data!J973</f>
        <v/>
      </c>
      <c r="K973" s="13">
        <f>Raw_Data!K973</f>
        <v/>
      </c>
      <c r="L973" s="12">
        <f>Raw_Data!L973</f>
        <v/>
      </c>
      <c r="M973" s="12">
        <f>Raw_Data!M973</f>
        <v/>
      </c>
      <c r="N973" s="12">
        <f>Raw_Data!N973</f>
        <v/>
      </c>
      <c r="O973">
        <f>Raw_Data!O973</f>
        <v/>
      </c>
      <c r="P973">
        <f>Raw_Data!P973</f>
        <v/>
      </c>
      <c r="Q973">
        <f>YEAR(B973)</f>
        <v/>
      </c>
      <c r="R973">
        <f>TEXT(B973,"mmm")</f>
        <v/>
      </c>
      <c r="S973" s="15">
        <f>IFERROR(N973/L973,0)</f>
        <v/>
      </c>
    </row>
    <row r="974">
      <c r="A974">
        <f>Raw_Data!A974</f>
        <v/>
      </c>
      <c r="B974" s="11">
        <f>Raw_Data!B974</f>
        <v/>
      </c>
      <c r="C974">
        <f>Raw_Data!C974</f>
        <v/>
      </c>
      <c r="D974">
        <f>Raw_Data!D974</f>
        <v/>
      </c>
      <c r="E974">
        <f>Raw_Data!E974</f>
        <v/>
      </c>
      <c r="F974">
        <f>Raw_Data!F974</f>
        <v/>
      </c>
      <c r="G974">
        <f>Raw_Data!G974</f>
        <v/>
      </c>
      <c r="H974">
        <f>Raw_Data!H974</f>
        <v/>
      </c>
      <c r="I974">
        <f>Raw_Data!I974</f>
        <v/>
      </c>
      <c r="J974" s="12">
        <f>Raw_Data!J974</f>
        <v/>
      </c>
      <c r="K974" s="13">
        <f>Raw_Data!K974</f>
        <v/>
      </c>
      <c r="L974" s="12">
        <f>Raw_Data!L974</f>
        <v/>
      </c>
      <c r="M974" s="12">
        <f>Raw_Data!M974</f>
        <v/>
      </c>
      <c r="N974" s="12">
        <f>Raw_Data!N974</f>
        <v/>
      </c>
      <c r="O974">
        <f>Raw_Data!O974</f>
        <v/>
      </c>
      <c r="P974">
        <f>Raw_Data!P974</f>
        <v/>
      </c>
      <c r="Q974">
        <f>YEAR(B974)</f>
        <v/>
      </c>
      <c r="R974">
        <f>TEXT(B974,"mmm")</f>
        <v/>
      </c>
      <c r="S974" s="15">
        <f>IFERROR(N974/L974,0)</f>
        <v/>
      </c>
    </row>
    <row r="975">
      <c r="A975">
        <f>Raw_Data!A975</f>
        <v/>
      </c>
      <c r="B975" s="11">
        <f>Raw_Data!B975</f>
        <v/>
      </c>
      <c r="C975">
        <f>Raw_Data!C975</f>
        <v/>
      </c>
      <c r="D975">
        <f>Raw_Data!D975</f>
        <v/>
      </c>
      <c r="E975">
        <f>Raw_Data!E975</f>
        <v/>
      </c>
      <c r="F975">
        <f>Raw_Data!F975</f>
        <v/>
      </c>
      <c r="G975">
        <f>Raw_Data!G975</f>
        <v/>
      </c>
      <c r="H975">
        <f>Raw_Data!H975</f>
        <v/>
      </c>
      <c r="I975">
        <f>Raw_Data!I975</f>
        <v/>
      </c>
      <c r="J975" s="12">
        <f>Raw_Data!J975</f>
        <v/>
      </c>
      <c r="K975" s="13">
        <f>Raw_Data!K975</f>
        <v/>
      </c>
      <c r="L975" s="12">
        <f>Raw_Data!L975</f>
        <v/>
      </c>
      <c r="M975" s="12">
        <f>Raw_Data!M975</f>
        <v/>
      </c>
      <c r="N975" s="12">
        <f>Raw_Data!N975</f>
        <v/>
      </c>
      <c r="O975">
        <f>Raw_Data!O975</f>
        <v/>
      </c>
      <c r="P975">
        <f>Raw_Data!P975</f>
        <v/>
      </c>
      <c r="Q975">
        <f>YEAR(B975)</f>
        <v/>
      </c>
      <c r="R975">
        <f>TEXT(B975,"mmm")</f>
        <v/>
      </c>
      <c r="S975" s="15">
        <f>IFERROR(N975/L975,0)</f>
        <v/>
      </c>
    </row>
    <row r="976">
      <c r="A976">
        <f>Raw_Data!A976</f>
        <v/>
      </c>
      <c r="B976" s="11">
        <f>Raw_Data!B976</f>
        <v/>
      </c>
      <c r="C976">
        <f>Raw_Data!C976</f>
        <v/>
      </c>
      <c r="D976">
        <f>Raw_Data!D976</f>
        <v/>
      </c>
      <c r="E976">
        <f>Raw_Data!E976</f>
        <v/>
      </c>
      <c r="F976">
        <f>Raw_Data!F976</f>
        <v/>
      </c>
      <c r="G976">
        <f>Raw_Data!G976</f>
        <v/>
      </c>
      <c r="H976">
        <f>Raw_Data!H976</f>
        <v/>
      </c>
      <c r="I976">
        <f>Raw_Data!I976</f>
        <v/>
      </c>
      <c r="J976" s="12">
        <f>Raw_Data!J976</f>
        <v/>
      </c>
      <c r="K976" s="13">
        <f>Raw_Data!K976</f>
        <v/>
      </c>
      <c r="L976" s="12">
        <f>Raw_Data!L976</f>
        <v/>
      </c>
      <c r="M976" s="12">
        <f>Raw_Data!M976</f>
        <v/>
      </c>
      <c r="N976" s="12">
        <f>Raw_Data!N976</f>
        <v/>
      </c>
      <c r="O976">
        <f>Raw_Data!O976</f>
        <v/>
      </c>
      <c r="P976">
        <f>Raw_Data!P976</f>
        <v/>
      </c>
      <c r="Q976">
        <f>YEAR(B976)</f>
        <v/>
      </c>
      <c r="R976">
        <f>TEXT(B976,"mmm")</f>
        <v/>
      </c>
      <c r="S976" s="15">
        <f>IFERROR(N976/L976,0)</f>
        <v/>
      </c>
    </row>
    <row r="977">
      <c r="A977">
        <f>Raw_Data!A977</f>
        <v/>
      </c>
      <c r="B977" s="11">
        <f>Raw_Data!B977</f>
        <v/>
      </c>
      <c r="C977">
        <f>Raw_Data!C977</f>
        <v/>
      </c>
      <c r="D977">
        <f>Raw_Data!D977</f>
        <v/>
      </c>
      <c r="E977">
        <f>Raw_Data!E977</f>
        <v/>
      </c>
      <c r="F977">
        <f>Raw_Data!F977</f>
        <v/>
      </c>
      <c r="G977">
        <f>Raw_Data!G977</f>
        <v/>
      </c>
      <c r="H977">
        <f>Raw_Data!H977</f>
        <v/>
      </c>
      <c r="I977">
        <f>Raw_Data!I977</f>
        <v/>
      </c>
      <c r="J977" s="12">
        <f>Raw_Data!J977</f>
        <v/>
      </c>
      <c r="K977" s="13">
        <f>Raw_Data!K977</f>
        <v/>
      </c>
      <c r="L977" s="12">
        <f>Raw_Data!L977</f>
        <v/>
      </c>
      <c r="M977" s="12">
        <f>Raw_Data!M977</f>
        <v/>
      </c>
      <c r="N977" s="12">
        <f>Raw_Data!N977</f>
        <v/>
      </c>
      <c r="O977">
        <f>Raw_Data!O977</f>
        <v/>
      </c>
      <c r="P977">
        <f>Raw_Data!P977</f>
        <v/>
      </c>
      <c r="Q977">
        <f>YEAR(B977)</f>
        <v/>
      </c>
      <c r="R977">
        <f>TEXT(B977,"mmm")</f>
        <v/>
      </c>
      <c r="S977" s="15">
        <f>IFERROR(N977/L977,0)</f>
        <v/>
      </c>
    </row>
    <row r="978">
      <c r="A978">
        <f>Raw_Data!A978</f>
        <v/>
      </c>
      <c r="B978" s="11">
        <f>Raw_Data!B978</f>
        <v/>
      </c>
      <c r="C978">
        <f>Raw_Data!C978</f>
        <v/>
      </c>
      <c r="D978">
        <f>Raw_Data!D978</f>
        <v/>
      </c>
      <c r="E978">
        <f>Raw_Data!E978</f>
        <v/>
      </c>
      <c r="F978">
        <f>Raw_Data!F978</f>
        <v/>
      </c>
      <c r="G978">
        <f>Raw_Data!G978</f>
        <v/>
      </c>
      <c r="H978">
        <f>Raw_Data!H978</f>
        <v/>
      </c>
      <c r="I978">
        <f>Raw_Data!I978</f>
        <v/>
      </c>
      <c r="J978" s="12">
        <f>Raw_Data!J978</f>
        <v/>
      </c>
      <c r="K978" s="13">
        <f>Raw_Data!K978</f>
        <v/>
      </c>
      <c r="L978" s="12">
        <f>Raw_Data!L978</f>
        <v/>
      </c>
      <c r="M978" s="12">
        <f>Raw_Data!M978</f>
        <v/>
      </c>
      <c r="N978" s="12">
        <f>Raw_Data!N978</f>
        <v/>
      </c>
      <c r="O978">
        <f>Raw_Data!O978</f>
        <v/>
      </c>
      <c r="P978">
        <f>Raw_Data!P978</f>
        <v/>
      </c>
      <c r="Q978">
        <f>YEAR(B978)</f>
        <v/>
      </c>
      <c r="R978">
        <f>TEXT(B978,"mmm")</f>
        <v/>
      </c>
      <c r="S978" s="15">
        <f>IFERROR(N978/L978,0)</f>
        <v/>
      </c>
    </row>
    <row r="979">
      <c r="A979">
        <f>Raw_Data!A979</f>
        <v/>
      </c>
      <c r="B979" s="11">
        <f>Raw_Data!B979</f>
        <v/>
      </c>
      <c r="C979">
        <f>Raw_Data!C979</f>
        <v/>
      </c>
      <c r="D979">
        <f>Raw_Data!D979</f>
        <v/>
      </c>
      <c r="E979">
        <f>Raw_Data!E979</f>
        <v/>
      </c>
      <c r="F979">
        <f>Raw_Data!F979</f>
        <v/>
      </c>
      <c r="G979">
        <f>Raw_Data!G979</f>
        <v/>
      </c>
      <c r="H979">
        <f>Raw_Data!H979</f>
        <v/>
      </c>
      <c r="I979">
        <f>Raw_Data!I979</f>
        <v/>
      </c>
      <c r="J979" s="12">
        <f>Raw_Data!J979</f>
        <v/>
      </c>
      <c r="K979" s="13">
        <f>Raw_Data!K979</f>
        <v/>
      </c>
      <c r="L979" s="12">
        <f>Raw_Data!L979</f>
        <v/>
      </c>
      <c r="M979" s="12">
        <f>Raw_Data!M979</f>
        <v/>
      </c>
      <c r="N979" s="12">
        <f>Raw_Data!N979</f>
        <v/>
      </c>
      <c r="O979">
        <f>Raw_Data!O979</f>
        <v/>
      </c>
      <c r="P979">
        <f>Raw_Data!P979</f>
        <v/>
      </c>
      <c r="Q979">
        <f>YEAR(B979)</f>
        <v/>
      </c>
      <c r="R979">
        <f>TEXT(B979,"mmm")</f>
        <v/>
      </c>
      <c r="S979" s="15">
        <f>IFERROR(N979/L979,0)</f>
        <v/>
      </c>
    </row>
    <row r="980">
      <c r="A980">
        <f>Raw_Data!A980</f>
        <v/>
      </c>
      <c r="B980" s="11">
        <f>Raw_Data!B980</f>
        <v/>
      </c>
      <c r="C980">
        <f>Raw_Data!C980</f>
        <v/>
      </c>
      <c r="D980">
        <f>Raw_Data!D980</f>
        <v/>
      </c>
      <c r="E980">
        <f>Raw_Data!E980</f>
        <v/>
      </c>
      <c r="F980">
        <f>Raw_Data!F980</f>
        <v/>
      </c>
      <c r="G980">
        <f>Raw_Data!G980</f>
        <v/>
      </c>
      <c r="H980">
        <f>Raw_Data!H980</f>
        <v/>
      </c>
      <c r="I980">
        <f>Raw_Data!I980</f>
        <v/>
      </c>
      <c r="J980" s="12">
        <f>Raw_Data!J980</f>
        <v/>
      </c>
      <c r="K980" s="13">
        <f>Raw_Data!K980</f>
        <v/>
      </c>
      <c r="L980" s="12">
        <f>Raw_Data!L980</f>
        <v/>
      </c>
      <c r="M980" s="12">
        <f>Raw_Data!M980</f>
        <v/>
      </c>
      <c r="N980" s="12">
        <f>Raw_Data!N980</f>
        <v/>
      </c>
      <c r="O980">
        <f>Raw_Data!O980</f>
        <v/>
      </c>
      <c r="P980">
        <f>Raw_Data!P980</f>
        <v/>
      </c>
      <c r="Q980">
        <f>YEAR(B980)</f>
        <v/>
      </c>
      <c r="R980">
        <f>TEXT(B980,"mmm")</f>
        <v/>
      </c>
      <c r="S980" s="15">
        <f>IFERROR(N980/L980,0)</f>
        <v/>
      </c>
    </row>
    <row r="981">
      <c r="A981">
        <f>Raw_Data!A981</f>
        <v/>
      </c>
      <c r="B981" s="11">
        <f>Raw_Data!B981</f>
        <v/>
      </c>
      <c r="C981">
        <f>Raw_Data!C981</f>
        <v/>
      </c>
      <c r="D981">
        <f>Raw_Data!D981</f>
        <v/>
      </c>
      <c r="E981">
        <f>Raw_Data!E981</f>
        <v/>
      </c>
      <c r="F981">
        <f>Raw_Data!F981</f>
        <v/>
      </c>
      <c r="G981">
        <f>Raw_Data!G981</f>
        <v/>
      </c>
      <c r="H981">
        <f>Raw_Data!H981</f>
        <v/>
      </c>
      <c r="I981">
        <f>Raw_Data!I981</f>
        <v/>
      </c>
      <c r="J981" s="12">
        <f>Raw_Data!J981</f>
        <v/>
      </c>
      <c r="K981" s="13">
        <f>Raw_Data!K981</f>
        <v/>
      </c>
      <c r="L981" s="12">
        <f>Raw_Data!L981</f>
        <v/>
      </c>
      <c r="M981" s="12">
        <f>Raw_Data!M981</f>
        <v/>
      </c>
      <c r="N981" s="12">
        <f>Raw_Data!N981</f>
        <v/>
      </c>
      <c r="O981">
        <f>Raw_Data!O981</f>
        <v/>
      </c>
      <c r="P981">
        <f>Raw_Data!P981</f>
        <v/>
      </c>
      <c r="Q981">
        <f>YEAR(B981)</f>
        <v/>
      </c>
      <c r="R981">
        <f>TEXT(B981,"mmm")</f>
        <v/>
      </c>
      <c r="S981" s="15">
        <f>IFERROR(N981/L981,0)</f>
        <v/>
      </c>
    </row>
    <row r="982">
      <c r="A982">
        <f>Raw_Data!A982</f>
        <v/>
      </c>
      <c r="B982" s="11">
        <f>Raw_Data!B982</f>
        <v/>
      </c>
      <c r="C982">
        <f>Raw_Data!C982</f>
        <v/>
      </c>
      <c r="D982">
        <f>Raw_Data!D982</f>
        <v/>
      </c>
      <c r="E982">
        <f>Raw_Data!E982</f>
        <v/>
      </c>
      <c r="F982">
        <f>Raw_Data!F982</f>
        <v/>
      </c>
      <c r="G982">
        <f>Raw_Data!G982</f>
        <v/>
      </c>
      <c r="H982">
        <f>Raw_Data!H982</f>
        <v/>
      </c>
      <c r="I982">
        <f>Raw_Data!I982</f>
        <v/>
      </c>
      <c r="J982" s="12">
        <f>Raw_Data!J982</f>
        <v/>
      </c>
      <c r="K982" s="13">
        <f>Raw_Data!K982</f>
        <v/>
      </c>
      <c r="L982" s="12">
        <f>Raw_Data!L982</f>
        <v/>
      </c>
      <c r="M982" s="12">
        <f>Raw_Data!M982</f>
        <v/>
      </c>
      <c r="N982" s="12">
        <f>Raw_Data!N982</f>
        <v/>
      </c>
      <c r="O982">
        <f>Raw_Data!O982</f>
        <v/>
      </c>
      <c r="P982">
        <f>Raw_Data!P982</f>
        <v/>
      </c>
      <c r="Q982">
        <f>YEAR(B982)</f>
        <v/>
      </c>
      <c r="R982">
        <f>TEXT(B982,"mmm")</f>
        <v/>
      </c>
      <c r="S982" s="15">
        <f>IFERROR(N982/L982,0)</f>
        <v/>
      </c>
    </row>
    <row r="983">
      <c r="A983">
        <f>Raw_Data!A983</f>
        <v/>
      </c>
      <c r="B983" s="11">
        <f>Raw_Data!B983</f>
        <v/>
      </c>
      <c r="C983">
        <f>Raw_Data!C983</f>
        <v/>
      </c>
      <c r="D983">
        <f>Raw_Data!D983</f>
        <v/>
      </c>
      <c r="E983">
        <f>Raw_Data!E983</f>
        <v/>
      </c>
      <c r="F983">
        <f>Raw_Data!F983</f>
        <v/>
      </c>
      <c r="G983">
        <f>Raw_Data!G983</f>
        <v/>
      </c>
      <c r="H983">
        <f>Raw_Data!H983</f>
        <v/>
      </c>
      <c r="I983">
        <f>Raw_Data!I983</f>
        <v/>
      </c>
      <c r="J983" s="12">
        <f>Raw_Data!J983</f>
        <v/>
      </c>
      <c r="K983" s="13">
        <f>Raw_Data!K983</f>
        <v/>
      </c>
      <c r="L983" s="12">
        <f>Raw_Data!L983</f>
        <v/>
      </c>
      <c r="M983" s="12">
        <f>Raw_Data!M983</f>
        <v/>
      </c>
      <c r="N983" s="12">
        <f>Raw_Data!N983</f>
        <v/>
      </c>
      <c r="O983">
        <f>Raw_Data!O983</f>
        <v/>
      </c>
      <c r="P983">
        <f>Raw_Data!P983</f>
        <v/>
      </c>
      <c r="Q983">
        <f>YEAR(B983)</f>
        <v/>
      </c>
      <c r="R983">
        <f>TEXT(B983,"mmm")</f>
        <v/>
      </c>
      <c r="S983" s="15">
        <f>IFERROR(N983/L983,0)</f>
        <v/>
      </c>
    </row>
    <row r="984">
      <c r="A984">
        <f>Raw_Data!A984</f>
        <v/>
      </c>
      <c r="B984" s="11">
        <f>Raw_Data!B984</f>
        <v/>
      </c>
      <c r="C984">
        <f>Raw_Data!C984</f>
        <v/>
      </c>
      <c r="D984">
        <f>Raw_Data!D984</f>
        <v/>
      </c>
      <c r="E984">
        <f>Raw_Data!E984</f>
        <v/>
      </c>
      <c r="F984">
        <f>Raw_Data!F984</f>
        <v/>
      </c>
      <c r="G984">
        <f>Raw_Data!G984</f>
        <v/>
      </c>
      <c r="H984">
        <f>Raw_Data!H984</f>
        <v/>
      </c>
      <c r="I984">
        <f>Raw_Data!I984</f>
        <v/>
      </c>
      <c r="J984" s="12">
        <f>Raw_Data!J984</f>
        <v/>
      </c>
      <c r="K984" s="13">
        <f>Raw_Data!K984</f>
        <v/>
      </c>
      <c r="L984" s="12">
        <f>Raw_Data!L984</f>
        <v/>
      </c>
      <c r="M984" s="12">
        <f>Raw_Data!M984</f>
        <v/>
      </c>
      <c r="N984" s="12">
        <f>Raw_Data!N984</f>
        <v/>
      </c>
      <c r="O984">
        <f>Raw_Data!O984</f>
        <v/>
      </c>
      <c r="P984">
        <f>Raw_Data!P984</f>
        <v/>
      </c>
      <c r="Q984">
        <f>YEAR(B984)</f>
        <v/>
      </c>
      <c r="R984">
        <f>TEXT(B984,"mmm")</f>
        <v/>
      </c>
      <c r="S984" s="15">
        <f>IFERROR(N984/L984,0)</f>
        <v/>
      </c>
    </row>
    <row r="985">
      <c r="A985">
        <f>Raw_Data!A985</f>
        <v/>
      </c>
      <c r="B985" s="11">
        <f>Raw_Data!B985</f>
        <v/>
      </c>
      <c r="C985">
        <f>Raw_Data!C985</f>
        <v/>
      </c>
      <c r="D985">
        <f>Raw_Data!D985</f>
        <v/>
      </c>
      <c r="E985">
        <f>Raw_Data!E985</f>
        <v/>
      </c>
      <c r="F985">
        <f>Raw_Data!F985</f>
        <v/>
      </c>
      <c r="G985">
        <f>Raw_Data!G985</f>
        <v/>
      </c>
      <c r="H985">
        <f>Raw_Data!H985</f>
        <v/>
      </c>
      <c r="I985">
        <f>Raw_Data!I985</f>
        <v/>
      </c>
      <c r="J985" s="12">
        <f>Raw_Data!J985</f>
        <v/>
      </c>
      <c r="K985" s="13">
        <f>Raw_Data!K985</f>
        <v/>
      </c>
      <c r="L985" s="12">
        <f>Raw_Data!L985</f>
        <v/>
      </c>
      <c r="M985" s="12">
        <f>Raw_Data!M985</f>
        <v/>
      </c>
      <c r="N985" s="12">
        <f>Raw_Data!N985</f>
        <v/>
      </c>
      <c r="O985">
        <f>Raw_Data!O985</f>
        <v/>
      </c>
      <c r="P985">
        <f>Raw_Data!P985</f>
        <v/>
      </c>
      <c r="Q985">
        <f>YEAR(B985)</f>
        <v/>
      </c>
      <c r="R985">
        <f>TEXT(B985,"mmm")</f>
        <v/>
      </c>
      <c r="S985" s="15">
        <f>IFERROR(N985/L985,0)</f>
        <v/>
      </c>
    </row>
    <row r="986">
      <c r="A986">
        <f>Raw_Data!A986</f>
        <v/>
      </c>
      <c r="B986" s="11">
        <f>Raw_Data!B986</f>
        <v/>
      </c>
      <c r="C986">
        <f>Raw_Data!C986</f>
        <v/>
      </c>
      <c r="D986">
        <f>Raw_Data!D986</f>
        <v/>
      </c>
      <c r="E986">
        <f>Raw_Data!E986</f>
        <v/>
      </c>
      <c r="F986">
        <f>Raw_Data!F986</f>
        <v/>
      </c>
      <c r="G986">
        <f>Raw_Data!G986</f>
        <v/>
      </c>
      <c r="H986">
        <f>Raw_Data!H986</f>
        <v/>
      </c>
      <c r="I986">
        <f>Raw_Data!I986</f>
        <v/>
      </c>
      <c r="J986" s="12">
        <f>Raw_Data!J986</f>
        <v/>
      </c>
      <c r="K986" s="13">
        <f>Raw_Data!K986</f>
        <v/>
      </c>
      <c r="L986" s="12">
        <f>Raw_Data!L986</f>
        <v/>
      </c>
      <c r="M986" s="12">
        <f>Raw_Data!M986</f>
        <v/>
      </c>
      <c r="N986" s="12">
        <f>Raw_Data!N986</f>
        <v/>
      </c>
      <c r="O986">
        <f>Raw_Data!O986</f>
        <v/>
      </c>
      <c r="P986">
        <f>Raw_Data!P986</f>
        <v/>
      </c>
      <c r="Q986">
        <f>YEAR(B986)</f>
        <v/>
      </c>
      <c r="R986">
        <f>TEXT(B986,"mmm")</f>
        <v/>
      </c>
      <c r="S986" s="15">
        <f>IFERROR(N986/L986,0)</f>
        <v/>
      </c>
    </row>
    <row r="987">
      <c r="A987">
        <f>Raw_Data!A987</f>
        <v/>
      </c>
      <c r="B987" s="11">
        <f>Raw_Data!B987</f>
        <v/>
      </c>
      <c r="C987">
        <f>Raw_Data!C987</f>
        <v/>
      </c>
      <c r="D987">
        <f>Raw_Data!D987</f>
        <v/>
      </c>
      <c r="E987">
        <f>Raw_Data!E987</f>
        <v/>
      </c>
      <c r="F987">
        <f>Raw_Data!F987</f>
        <v/>
      </c>
      <c r="G987">
        <f>Raw_Data!G987</f>
        <v/>
      </c>
      <c r="H987">
        <f>Raw_Data!H987</f>
        <v/>
      </c>
      <c r="I987">
        <f>Raw_Data!I987</f>
        <v/>
      </c>
      <c r="J987" s="12">
        <f>Raw_Data!J987</f>
        <v/>
      </c>
      <c r="K987" s="13">
        <f>Raw_Data!K987</f>
        <v/>
      </c>
      <c r="L987" s="12">
        <f>Raw_Data!L987</f>
        <v/>
      </c>
      <c r="M987" s="12">
        <f>Raw_Data!M987</f>
        <v/>
      </c>
      <c r="N987" s="12">
        <f>Raw_Data!N987</f>
        <v/>
      </c>
      <c r="O987">
        <f>Raw_Data!O987</f>
        <v/>
      </c>
      <c r="P987">
        <f>Raw_Data!P987</f>
        <v/>
      </c>
      <c r="Q987">
        <f>YEAR(B987)</f>
        <v/>
      </c>
      <c r="R987">
        <f>TEXT(B987,"mmm")</f>
        <v/>
      </c>
      <c r="S987" s="15">
        <f>IFERROR(N987/L987,0)</f>
        <v/>
      </c>
    </row>
    <row r="988">
      <c r="A988">
        <f>Raw_Data!A988</f>
        <v/>
      </c>
      <c r="B988" s="11">
        <f>Raw_Data!B988</f>
        <v/>
      </c>
      <c r="C988">
        <f>Raw_Data!C988</f>
        <v/>
      </c>
      <c r="D988">
        <f>Raw_Data!D988</f>
        <v/>
      </c>
      <c r="E988">
        <f>Raw_Data!E988</f>
        <v/>
      </c>
      <c r="F988">
        <f>Raw_Data!F988</f>
        <v/>
      </c>
      <c r="G988">
        <f>Raw_Data!G988</f>
        <v/>
      </c>
      <c r="H988">
        <f>Raw_Data!H988</f>
        <v/>
      </c>
      <c r="I988">
        <f>Raw_Data!I988</f>
        <v/>
      </c>
      <c r="J988" s="12">
        <f>Raw_Data!J988</f>
        <v/>
      </c>
      <c r="K988" s="13">
        <f>Raw_Data!K988</f>
        <v/>
      </c>
      <c r="L988" s="12">
        <f>Raw_Data!L988</f>
        <v/>
      </c>
      <c r="M988" s="12">
        <f>Raw_Data!M988</f>
        <v/>
      </c>
      <c r="N988" s="12">
        <f>Raw_Data!N988</f>
        <v/>
      </c>
      <c r="O988">
        <f>Raw_Data!O988</f>
        <v/>
      </c>
      <c r="P988">
        <f>Raw_Data!P988</f>
        <v/>
      </c>
      <c r="Q988">
        <f>YEAR(B988)</f>
        <v/>
      </c>
      <c r="R988">
        <f>TEXT(B988,"mmm")</f>
        <v/>
      </c>
      <c r="S988" s="15">
        <f>IFERROR(N988/L988,0)</f>
        <v/>
      </c>
    </row>
    <row r="989">
      <c r="A989">
        <f>Raw_Data!A989</f>
        <v/>
      </c>
      <c r="B989" s="11">
        <f>Raw_Data!B989</f>
        <v/>
      </c>
      <c r="C989">
        <f>Raw_Data!C989</f>
        <v/>
      </c>
      <c r="D989">
        <f>Raw_Data!D989</f>
        <v/>
      </c>
      <c r="E989">
        <f>Raw_Data!E989</f>
        <v/>
      </c>
      <c r="F989">
        <f>Raw_Data!F989</f>
        <v/>
      </c>
      <c r="G989">
        <f>Raw_Data!G989</f>
        <v/>
      </c>
      <c r="H989">
        <f>Raw_Data!H989</f>
        <v/>
      </c>
      <c r="I989">
        <f>Raw_Data!I989</f>
        <v/>
      </c>
      <c r="J989" s="12">
        <f>Raw_Data!J989</f>
        <v/>
      </c>
      <c r="K989" s="13">
        <f>Raw_Data!K989</f>
        <v/>
      </c>
      <c r="L989" s="12">
        <f>Raw_Data!L989</f>
        <v/>
      </c>
      <c r="M989" s="12">
        <f>Raw_Data!M989</f>
        <v/>
      </c>
      <c r="N989" s="12">
        <f>Raw_Data!N989</f>
        <v/>
      </c>
      <c r="O989">
        <f>Raw_Data!O989</f>
        <v/>
      </c>
      <c r="P989">
        <f>Raw_Data!P989</f>
        <v/>
      </c>
      <c r="Q989">
        <f>YEAR(B989)</f>
        <v/>
      </c>
      <c r="R989">
        <f>TEXT(B989,"mmm")</f>
        <v/>
      </c>
      <c r="S989" s="15">
        <f>IFERROR(N989/L989,0)</f>
        <v/>
      </c>
    </row>
    <row r="990">
      <c r="A990">
        <f>Raw_Data!A990</f>
        <v/>
      </c>
      <c r="B990" s="11">
        <f>Raw_Data!B990</f>
        <v/>
      </c>
      <c r="C990">
        <f>Raw_Data!C990</f>
        <v/>
      </c>
      <c r="D990">
        <f>Raw_Data!D990</f>
        <v/>
      </c>
      <c r="E990">
        <f>Raw_Data!E990</f>
        <v/>
      </c>
      <c r="F990">
        <f>Raw_Data!F990</f>
        <v/>
      </c>
      <c r="G990">
        <f>Raw_Data!G990</f>
        <v/>
      </c>
      <c r="H990">
        <f>Raw_Data!H990</f>
        <v/>
      </c>
      <c r="I990">
        <f>Raw_Data!I990</f>
        <v/>
      </c>
      <c r="J990" s="12">
        <f>Raw_Data!J990</f>
        <v/>
      </c>
      <c r="K990" s="13">
        <f>Raw_Data!K990</f>
        <v/>
      </c>
      <c r="L990" s="12">
        <f>Raw_Data!L990</f>
        <v/>
      </c>
      <c r="M990" s="12">
        <f>Raw_Data!M990</f>
        <v/>
      </c>
      <c r="N990" s="12">
        <f>Raw_Data!N990</f>
        <v/>
      </c>
      <c r="O990">
        <f>Raw_Data!O990</f>
        <v/>
      </c>
      <c r="P990">
        <f>Raw_Data!P990</f>
        <v/>
      </c>
      <c r="Q990">
        <f>YEAR(B990)</f>
        <v/>
      </c>
      <c r="R990">
        <f>TEXT(B990,"mmm")</f>
        <v/>
      </c>
      <c r="S990" s="15">
        <f>IFERROR(N990/L990,0)</f>
        <v/>
      </c>
    </row>
    <row r="991">
      <c r="A991">
        <f>Raw_Data!A991</f>
        <v/>
      </c>
      <c r="B991" s="11">
        <f>Raw_Data!B991</f>
        <v/>
      </c>
      <c r="C991">
        <f>Raw_Data!C991</f>
        <v/>
      </c>
      <c r="D991">
        <f>Raw_Data!D991</f>
        <v/>
      </c>
      <c r="E991">
        <f>Raw_Data!E991</f>
        <v/>
      </c>
      <c r="F991">
        <f>Raw_Data!F991</f>
        <v/>
      </c>
      <c r="G991">
        <f>Raw_Data!G991</f>
        <v/>
      </c>
      <c r="H991">
        <f>Raw_Data!H991</f>
        <v/>
      </c>
      <c r="I991">
        <f>Raw_Data!I991</f>
        <v/>
      </c>
      <c r="J991" s="12">
        <f>Raw_Data!J991</f>
        <v/>
      </c>
      <c r="K991" s="13">
        <f>Raw_Data!K991</f>
        <v/>
      </c>
      <c r="L991" s="12">
        <f>Raw_Data!L991</f>
        <v/>
      </c>
      <c r="M991" s="12">
        <f>Raw_Data!M991</f>
        <v/>
      </c>
      <c r="N991" s="12">
        <f>Raw_Data!N991</f>
        <v/>
      </c>
      <c r="O991">
        <f>Raw_Data!O991</f>
        <v/>
      </c>
      <c r="P991">
        <f>Raw_Data!P991</f>
        <v/>
      </c>
      <c r="Q991">
        <f>YEAR(B991)</f>
        <v/>
      </c>
      <c r="R991">
        <f>TEXT(B991,"mmm")</f>
        <v/>
      </c>
      <c r="S991" s="15">
        <f>IFERROR(N991/L991,0)</f>
        <v/>
      </c>
    </row>
    <row r="992">
      <c r="A992">
        <f>Raw_Data!A992</f>
        <v/>
      </c>
      <c r="B992" s="11">
        <f>Raw_Data!B992</f>
        <v/>
      </c>
      <c r="C992">
        <f>Raw_Data!C992</f>
        <v/>
      </c>
      <c r="D992">
        <f>Raw_Data!D992</f>
        <v/>
      </c>
      <c r="E992">
        <f>Raw_Data!E992</f>
        <v/>
      </c>
      <c r="F992">
        <f>Raw_Data!F992</f>
        <v/>
      </c>
      <c r="G992">
        <f>Raw_Data!G992</f>
        <v/>
      </c>
      <c r="H992">
        <f>Raw_Data!H992</f>
        <v/>
      </c>
      <c r="I992">
        <f>Raw_Data!I992</f>
        <v/>
      </c>
      <c r="J992" s="12">
        <f>Raw_Data!J992</f>
        <v/>
      </c>
      <c r="K992" s="13">
        <f>Raw_Data!K992</f>
        <v/>
      </c>
      <c r="L992" s="12">
        <f>Raw_Data!L992</f>
        <v/>
      </c>
      <c r="M992" s="12">
        <f>Raw_Data!M992</f>
        <v/>
      </c>
      <c r="N992" s="12">
        <f>Raw_Data!N992</f>
        <v/>
      </c>
      <c r="O992">
        <f>Raw_Data!O992</f>
        <v/>
      </c>
      <c r="P992">
        <f>Raw_Data!P992</f>
        <v/>
      </c>
      <c r="Q992">
        <f>YEAR(B992)</f>
        <v/>
      </c>
      <c r="R992">
        <f>TEXT(B992,"mmm")</f>
        <v/>
      </c>
      <c r="S992" s="15">
        <f>IFERROR(N992/L992,0)</f>
        <v/>
      </c>
    </row>
    <row r="993">
      <c r="A993">
        <f>Raw_Data!A993</f>
        <v/>
      </c>
      <c r="B993" s="11">
        <f>Raw_Data!B993</f>
        <v/>
      </c>
      <c r="C993">
        <f>Raw_Data!C993</f>
        <v/>
      </c>
      <c r="D993">
        <f>Raw_Data!D993</f>
        <v/>
      </c>
      <c r="E993">
        <f>Raw_Data!E993</f>
        <v/>
      </c>
      <c r="F993">
        <f>Raw_Data!F993</f>
        <v/>
      </c>
      <c r="G993">
        <f>Raw_Data!G993</f>
        <v/>
      </c>
      <c r="H993">
        <f>Raw_Data!H993</f>
        <v/>
      </c>
      <c r="I993">
        <f>Raw_Data!I993</f>
        <v/>
      </c>
      <c r="J993" s="12">
        <f>Raw_Data!J993</f>
        <v/>
      </c>
      <c r="K993" s="13">
        <f>Raw_Data!K993</f>
        <v/>
      </c>
      <c r="L993" s="12">
        <f>Raw_Data!L993</f>
        <v/>
      </c>
      <c r="M993" s="12">
        <f>Raw_Data!M993</f>
        <v/>
      </c>
      <c r="N993" s="12">
        <f>Raw_Data!N993</f>
        <v/>
      </c>
      <c r="O993">
        <f>Raw_Data!O993</f>
        <v/>
      </c>
      <c r="P993">
        <f>Raw_Data!P993</f>
        <v/>
      </c>
      <c r="Q993">
        <f>YEAR(B993)</f>
        <v/>
      </c>
      <c r="R993">
        <f>TEXT(B993,"mmm")</f>
        <v/>
      </c>
      <c r="S993" s="15">
        <f>IFERROR(N993/L993,0)</f>
        <v/>
      </c>
    </row>
    <row r="994">
      <c r="A994">
        <f>Raw_Data!A994</f>
        <v/>
      </c>
      <c r="B994" s="11">
        <f>Raw_Data!B994</f>
        <v/>
      </c>
      <c r="C994">
        <f>Raw_Data!C994</f>
        <v/>
      </c>
      <c r="D994">
        <f>Raw_Data!D994</f>
        <v/>
      </c>
      <c r="E994">
        <f>Raw_Data!E994</f>
        <v/>
      </c>
      <c r="F994">
        <f>Raw_Data!F994</f>
        <v/>
      </c>
      <c r="G994">
        <f>Raw_Data!G994</f>
        <v/>
      </c>
      <c r="H994">
        <f>Raw_Data!H994</f>
        <v/>
      </c>
      <c r="I994">
        <f>Raw_Data!I994</f>
        <v/>
      </c>
      <c r="J994" s="12">
        <f>Raw_Data!J994</f>
        <v/>
      </c>
      <c r="K994" s="13">
        <f>Raw_Data!K994</f>
        <v/>
      </c>
      <c r="L994" s="12">
        <f>Raw_Data!L994</f>
        <v/>
      </c>
      <c r="M994" s="12">
        <f>Raw_Data!M994</f>
        <v/>
      </c>
      <c r="N994" s="12">
        <f>Raw_Data!N994</f>
        <v/>
      </c>
      <c r="O994">
        <f>Raw_Data!O994</f>
        <v/>
      </c>
      <c r="P994">
        <f>Raw_Data!P994</f>
        <v/>
      </c>
      <c r="Q994">
        <f>YEAR(B994)</f>
        <v/>
      </c>
      <c r="R994">
        <f>TEXT(B994,"mmm")</f>
        <v/>
      </c>
      <c r="S994" s="15">
        <f>IFERROR(N994/L994,0)</f>
        <v/>
      </c>
    </row>
    <row r="995">
      <c r="A995">
        <f>Raw_Data!A995</f>
        <v/>
      </c>
      <c r="B995" s="11">
        <f>Raw_Data!B995</f>
        <v/>
      </c>
      <c r="C995">
        <f>Raw_Data!C995</f>
        <v/>
      </c>
      <c r="D995">
        <f>Raw_Data!D995</f>
        <v/>
      </c>
      <c r="E995">
        <f>Raw_Data!E995</f>
        <v/>
      </c>
      <c r="F995">
        <f>Raw_Data!F995</f>
        <v/>
      </c>
      <c r="G995">
        <f>Raw_Data!G995</f>
        <v/>
      </c>
      <c r="H995">
        <f>Raw_Data!H995</f>
        <v/>
      </c>
      <c r="I995">
        <f>Raw_Data!I995</f>
        <v/>
      </c>
      <c r="J995" s="12">
        <f>Raw_Data!J995</f>
        <v/>
      </c>
      <c r="K995" s="13">
        <f>Raw_Data!K995</f>
        <v/>
      </c>
      <c r="L995" s="12">
        <f>Raw_Data!L995</f>
        <v/>
      </c>
      <c r="M995" s="12">
        <f>Raw_Data!M995</f>
        <v/>
      </c>
      <c r="N995" s="12">
        <f>Raw_Data!N995</f>
        <v/>
      </c>
      <c r="O995">
        <f>Raw_Data!O995</f>
        <v/>
      </c>
      <c r="P995">
        <f>Raw_Data!P995</f>
        <v/>
      </c>
      <c r="Q995">
        <f>YEAR(B995)</f>
        <v/>
      </c>
      <c r="R995">
        <f>TEXT(B995,"mmm")</f>
        <v/>
      </c>
      <c r="S995" s="15">
        <f>IFERROR(N995/L995,0)</f>
        <v/>
      </c>
    </row>
    <row r="996">
      <c r="A996">
        <f>Raw_Data!A996</f>
        <v/>
      </c>
      <c r="B996" s="11">
        <f>Raw_Data!B996</f>
        <v/>
      </c>
      <c r="C996">
        <f>Raw_Data!C996</f>
        <v/>
      </c>
      <c r="D996">
        <f>Raw_Data!D996</f>
        <v/>
      </c>
      <c r="E996">
        <f>Raw_Data!E996</f>
        <v/>
      </c>
      <c r="F996">
        <f>Raw_Data!F996</f>
        <v/>
      </c>
      <c r="G996">
        <f>Raw_Data!G996</f>
        <v/>
      </c>
      <c r="H996">
        <f>Raw_Data!H996</f>
        <v/>
      </c>
      <c r="I996">
        <f>Raw_Data!I996</f>
        <v/>
      </c>
      <c r="J996" s="12">
        <f>Raw_Data!J996</f>
        <v/>
      </c>
      <c r="K996" s="13">
        <f>Raw_Data!K996</f>
        <v/>
      </c>
      <c r="L996" s="12">
        <f>Raw_Data!L996</f>
        <v/>
      </c>
      <c r="M996" s="12">
        <f>Raw_Data!M996</f>
        <v/>
      </c>
      <c r="N996" s="12">
        <f>Raw_Data!N996</f>
        <v/>
      </c>
      <c r="O996">
        <f>Raw_Data!O996</f>
        <v/>
      </c>
      <c r="P996">
        <f>Raw_Data!P996</f>
        <v/>
      </c>
      <c r="Q996">
        <f>YEAR(B996)</f>
        <v/>
      </c>
      <c r="R996">
        <f>TEXT(B996,"mmm")</f>
        <v/>
      </c>
      <c r="S996" s="15">
        <f>IFERROR(N996/L996,0)</f>
        <v/>
      </c>
    </row>
    <row r="997">
      <c r="A997">
        <f>Raw_Data!A997</f>
        <v/>
      </c>
      <c r="B997" s="11">
        <f>Raw_Data!B997</f>
        <v/>
      </c>
      <c r="C997">
        <f>Raw_Data!C997</f>
        <v/>
      </c>
      <c r="D997">
        <f>Raw_Data!D997</f>
        <v/>
      </c>
      <c r="E997">
        <f>Raw_Data!E997</f>
        <v/>
      </c>
      <c r="F997">
        <f>Raw_Data!F997</f>
        <v/>
      </c>
      <c r="G997">
        <f>Raw_Data!G997</f>
        <v/>
      </c>
      <c r="H997">
        <f>Raw_Data!H997</f>
        <v/>
      </c>
      <c r="I997">
        <f>Raw_Data!I997</f>
        <v/>
      </c>
      <c r="J997" s="12">
        <f>Raw_Data!J997</f>
        <v/>
      </c>
      <c r="K997" s="13">
        <f>Raw_Data!K997</f>
        <v/>
      </c>
      <c r="L997" s="12">
        <f>Raw_Data!L997</f>
        <v/>
      </c>
      <c r="M997" s="12">
        <f>Raw_Data!M997</f>
        <v/>
      </c>
      <c r="N997" s="12">
        <f>Raw_Data!N997</f>
        <v/>
      </c>
      <c r="O997">
        <f>Raw_Data!O997</f>
        <v/>
      </c>
      <c r="P997">
        <f>Raw_Data!P997</f>
        <v/>
      </c>
      <c r="Q997">
        <f>YEAR(B997)</f>
        <v/>
      </c>
      <c r="R997">
        <f>TEXT(B997,"mmm")</f>
        <v/>
      </c>
      <c r="S997" s="15">
        <f>IFERROR(N997/L997,0)</f>
        <v/>
      </c>
    </row>
    <row r="998">
      <c r="A998">
        <f>Raw_Data!A998</f>
        <v/>
      </c>
      <c r="B998" s="11">
        <f>Raw_Data!B998</f>
        <v/>
      </c>
      <c r="C998">
        <f>Raw_Data!C998</f>
        <v/>
      </c>
      <c r="D998">
        <f>Raw_Data!D998</f>
        <v/>
      </c>
      <c r="E998">
        <f>Raw_Data!E998</f>
        <v/>
      </c>
      <c r="F998">
        <f>Raw_Data!F998</f>
        <v/>
      </c>
      <c r="G998">
        <f>Raw_Data!G998</f>
        <v/>
      </c>
      <c r="H998">
        <f>Raw_Data!H998</f>
        <v/>
      </c>
      <c r="I998">
        <f>Raw_Data!I998</f>
        <v/>
      </c>
      <c r="J998" s="12">
        <f>Raw_Data!J998</f>
        <v/>
      </c>
      <c r="K998" s="13">
        <f>Raw_Data!K998</f>
        <v/>
      </c>
      <c r="L998" s="12">
        <f>Raw_Data!L998</f>
        <v/>
      </c>
      <c r="M998" s="12">
        <f>Raw_Data!M998</f>
        <v/>
      </c>
      <c r="N998" s="12">
        <f>Raw_Data!N998</f>
        <v/>
      </c>
      <c r="O998">
        <f>Raw_Data!O998</f>
        <v/>
      </c>
      <c r="P998">
        <f>Raw_Data!P998</f>
        <v/>
      </c>
      <c r="Q998">
        <f>YEAR(B998)</f>
        <v/>
      </c>
      <c r="R998">
        <f>TEXT(B998,"mmm")</f>
        <v/>
      </c>
      <c r="S998" s="15">
        <f>IFERROR(N998/L998,0)</f>
        <v/>
      </c>
    </row>
    <row r="999">
      <c r="A999">
        <f>Raw_Data!A999</f>
        <v/>
      </c>
      <c r="B999" s="11">
        <f>Raw_Data!B999</f>
        <v/>
      </c>
      <c r="C999">
        <f>Raw_Data!C999</f>
        <v/>
      </c>
      <c r="D999">
        <f>Raw_Data!D999</f>
        <v/>
      </c>
      <c r="E999">
        <f>Raw_Data!E999</f>
        <v/>
      </c>
      <c r="F999">
        <f>Raw_Data!F999</f>
        <v/>
      </c>
      <c r="G999">
        <f>Raw_Data!G999</f>
        <v/>
      </c>
      <c r="H999">
        <f>Raw_Data!H999</f>
        <v/>
      </c>
      <c r="I999">
        <f>Raw_Data!I999</f>
        <v/>
      </c>
      <c r="J999" s="12">
        <f>Raw_Data!J999</f>
        <v/>
      </c>
      <c r="K999" s="13">
        <f>Raw_Data!K999</f>
        <v/>
      </c>
      <c r="L999" s="12">
        <f>Raw_Data!L999</f>
        <v/>
      </c>
      <c r="M999" s="12">
        <f>Raw_Data!M999</f>
        <v/>
      </c>
      <c r="N999" s="12">
        <f>Raw_Data!N999</f>
        <v/>
      </c>
      <c r="O999">
        <f>Raw_Data!O999</f>
        <v/>
      </c>
      <c r="P999">
        <f>Raw_Data!P999</f>
        <v/>
      </c>
      <c r="Q999">
        <f>YEAR(B999)</f>
        <v/>
      </c>
      <c r="R999">
        <f>TEXT(B999,"mmm")</f>
        <v/>
      </c>
      <c r="S999" s="15">
        <f>IFERROR(N999/L999,0)</f>
        <v/>
      </c>
    </row>
    <row r="1000">
      <c r="A1000">
        <f>Raw_Data!A1000</f>
        <v/>
      </c>
      <c r="B1000" s="11">
        <f>Raw_Data!B1000</f>
        <v/>
      </c>
      <c r="C1000">
        <f>Raw_Data!C1000</f>
        <v/>
      </c>
      <c r="D1000">
        <f>Raw_Data!D1000</f>
        <v/>
      </c>
      <c r="E1000">
        <f>Raw_Data!E1000</f>
        <v/>
      </c>
      <c r="F1000">
        <f>Raw_Data!F1000</f>
        <v/>
      </c>
      <c r="G1000">
        <f>Raw_Data!G1000</f>
        <v/>
      </c>
      <c r="H1000">
        <f>Raw_Data!H1000</f>
        <v/>
      </c>
      <c r="I1000">
        <f>Raw_Data!I1000</f>
        <v/>
      </c>
      <c r="J1000" s="12">
        <f>Raw_Data!J1000</f>
        <v/>
      </c>
      <c r="K1000" s="13">
        <f>Raw_Data!K1000</f>
        <v/>
      </c>
      <c r="L1000" s="12">
        <f>Raw_Data!L1000</f>
        <v/>
      </c>
      <c r="M1000" s="12">
        <f>Raw_Data!M1000</f>
        <v/>
      </c>
      <c r="N1000" s="12">
        <f>Raw_Data!N1000</f>
        <v/>
      </c>
      <c r="O1000">
        <f>Raw_Data!O1000</f>
        <v/>
      </c>
      <c r="P1000">
        <f>Raw_Data!P1000</f>
        <v/>
      </c>
      <c r="Q1000">
        <f>YEAR(B1000)</f>
        <v/>
      </c>
      <c r="R1000">
        <f>TEXT(B1000,"mmm")</f>
        <v/>
      </c>
      <c r="S1000" s="15">
        <f>IFERROR(N1000/L1000,0)</f>
        <v/>
      </c>
    </row>
    <row r="1001">
      <c r="A1001">
        <f>Raw_Data!A1001</f>
        <v/>
      </c>
      <c r="B1001" s="11">
        <f>Raw_Data!B1001</f>
        <v/>
      </c>
      <c r="C1001">
        <f>Raw_Data!C1001</f>
        <v/>
      </c>
      <c r="D1001">
        <f>Raw_Data!D1001</f>
        <v/>
      </c>
      <c r="E1001">
        <f>Raw_Data!E1001</f>
        <v/>
      </c>
      <c r="F1001">
        <f>Raw_Data!F1001</f>
        <v/>
      </c>
      <c r="G1001">
        <f>Raw_Data!G1001</f>
        <v/>
      </c>
      <c r="H1001">
        <f>Raw_Data!H1001</f>
        <v/>
      </c>
      <c r="I1001">
        <f>Raw_Data!I1001</f>
        <v/>
      </c>
      <c r="J1001" s="12">
        <f>Raw_Data!J1001</f>
        <v/>
      </c>
      <c r="K1001" s="13">
        <f>Raw_Data!K1001</f>
        <v/>
      </c>
      <c r="L1001" s="12">
        <f>Raw_Data!L1001</f>
        <v/>
      </c>
      <c r="M1001" s="12">
        <f>Raw_Data!M1001</f>
        <v/>
      </c>
      <c r="N1001" s="12">
        <f>Raw_Data!N1001</f>
        <v/>
      </c>
      <c r="O1001">
        <f>Raw_Data!O1001</f>
        <v/>
      </c>
      <c r="P1001">
        <f>Raw_Data!P1001</f>
        <v/>
      </c>
      <c r="Q1001">
        <f>YEAR(B1001)</f>
        <v/>
      </c>
      <c r="R1001">
        <f>TEXT(B1001,"mmm")</f>
        <v/>
      </c>
      <c r="S1001" s="15">
        <f>IFERROR(N1001/L1001,0)</f>
        <v/>
      </c>
    </row>
    <row r="1002">
      <c r="A1002">
        <f>Raw_Data!A1002</f>
        <v/>
      </c>
      <c r="B1002" s="11">
        <f>Raw_Data!B1002</f>
        <v/>
      </c>
      <c r="C1002">
        <f>Raw_Data!C1002</f>
        <v/>
      </c>
      <c r="D1002">
        <f>Raw_Data!D1002</f>
        <v/>
      </c>
      <c r="E1002">
        <f>Raw_Data!E1002</f>
        <v/>
      </c>
      <c r="F1002">
        <f>Raw_Data!F1002</f>
        <v/>
      </c>
      <c r="G1002">
        <f>Raw_Data!G1002</f>
        <v/>
      </c>
      <c r="H1002">
        <f>Raw_Data!H1002</f>
        <v/>
      </c>
      <c r="I1002">
        <f>Raw_Data!I1002</f>
        <v/>
      </c>
      <c r="J1002" s="12">
        <f>Raw_Data!J1002</f>
        <v/>
      </c>
      <c r="K1002" s="13">
        <f>Raw_Data!K1002</f>
        <v/>
      </c>
      <c r="L1002" s="12">
        <f>Raw_Data!L1002</f>
        <v/>
      </c>
      <c r="M1002" s="12">
        <f>Raw_Data!M1002</f>
        <v/>
      </c>
      <c r="N1002" s="12">
        <f>Raw_Data!N1002</f>
        <v/>
      </c>
      <c r="O1002">
        <f>Raw_Data!O1002</f>
        <v/>
      </c>
      <c r="P1002">
        <f>Raw_Data!P1002</f>
        <v/>
      </c>
      <c r="Q1002">
        <f>YEAR(B1002)</f>
        <v/>
      </c>
      <c r="R1002">
        <f>TEXT(B1002,"mmm")</f>
        <v/>
      </c>
      <c r="S1002" s="15">
        <f>IFERROR(N1002/L1002,0)</f>
        <v/>
      </c>
    </row>
    <row r="1003">
      <c r="A1003">
        <f>Raw_Data!A1003</f>
        <v/>
      </c>
      <c r="B1003" s="11">
        <f>Raw_Data!B1003</f>
        <v/>
      </c>
      <c r="C1003">
        <f>Raw_Data!C1003</f>
        <v/>
      </c>
      <c r="D1003">
        <f>Raw_Data!D1003</f>
        <v/>
      </c>
      <c r="E1003">
        <f>Raw_Data!E1003</f>
        <v/>
      </c>
      <c r="F1003">
        <f>Raw_Data!F1003</f>
        <v/>
      </c>
      <c r="G1003">
        <f>Raw_Data!G1003</f>
        <v/>
      </c>
      <c r="H1003">
        <f>Raw_Data!H1003</f>
        <v/>
      </c>
      <c r="I1003">
        <f>Raw_Data!I1003</f>
        <v/>
      </c>
      <c r="J1003" s="12">
        <f>Raw_Data!J1003</f>
        <v/>
      </c>
      <c r="K1003" s="13">
        <f>Raw_Data!K1003</f>
        <v/>
      </c>
      <c r="L1003" s="12">
        <f>Raw_Data!L1003</f>
        <v/>
      </c>
      <c r="M1003" s="12">
        <f>Raw_Data!M1003</f>
        <v/>
      </c>
      <c r="N1003" s="12">
        <f>Raw_Data!N1003</f>
        <v/>
      </c>
      <c r="O1003">
        <f>Raw_Data!O1003</f>
        <v/>
      </c>
      <c r="P1003">
        <f>Raw_Data!P1003</f>
        <v/>
      </c>
      <c r="Q1003">
        <f>YEAR(B1003)</f>
        <v/>
      </c>
      <c r="R1003">
        <f>TEXT(B1003,"mmm")</f>
        <v/>
      </c>
      <c r="S1003" s="15">
        <f>IFERROR(N1003/L1003,0)</f>
        <v/>
      </c>
    </row>
    <row r="1004">
      <c r="A1004">
        <f>Raw_Data!A1004</f>
        <v/>
      </c>
      <c r="B1004" s="11">
        <f>Raw_Data!B1004</f>
        <v/>
      </c>
      <c r="C1004">
        <f>Raw_Data!C1004</f>
        <v/>
      </c>
      <c r="D1004">
        <f>Raw_Data!D1004</f>
        <v/>
      </c>
      <c r="E1004">
        <f>Raw_Data!E1004</f>
        <v/>
      </c>
      <c r="F1004">
        <f>Raw_Data!F1004</f>
        <v/>
      </c>
      <c r="G1004">
        <f>Raw_Data!G1004</f>
        <v/>
      </c>
      <c r="H1004">
        <f>Raw_Data!H1004</f>
        <v/>
      </c>
      <c r="I1004">
        <f>Raw_Data!I1004</f>
        <v/>
      </c>
      <c r="J1004" s="12">
        <f>Raw_Data!J1004</f>
        <v/>
      </c>
      <c r="K1004" s="13">
        <f>Raw_Data!K1004</f>
        <v/>
      </c>
      <c r="L1004" s="12">
        <f>Raw_Data!L1004</f>
        <v/>
      </c>
      <c r="M1004" s="12">
        <f>Raw_Data!M1004</f>
        <v/>
      </c>
      <c r="N1004" s="12">
        <f>Raw_Data!N1004</f>
        <v/>
      </c>
      <c r="O1004">
        <f>Raw_Data!O1004</f>
        <v/>
      </c>
      <c r="P1004">
        <f>Raw_Data!P1004</f>
        <v/>
      </c>
      <c r="Q1004">
        <f>YEAR(B1004)</f>
        <v/>
      </c>
      <c r="R1004">
        <f>TEXT(B1004,"mmm")</f>
        <v/>
      </c>
      <c r="S1004" s="15">
        <f>IFERROR(N1004/L1004,0)</f>
        <v/>
      </c>
    </row>
    <row r="1005">
      <c r="A1005">
        <f>Raw_Data!A1005</f>
        <v/>
      </c>
      <c r="B1005" s="11">
        <f>Raw_Data!B1005</f>
        <v/>
      </c>
      <c r="C1005">
        <f>Raw_Data!C1005</f>
        <v/>
      </c>
      <c r="D1005">
        <f>Raw_Data!D1005</f>
        <v/>
      </c>
      <c r="E1005">
        <f>Raw_Data!E1005</f>
        <v/>
      </c>
      <c r="F1005">
        <f>Raw_Data!F1005</f>
        <v/>
      </c>
      <c r="G1005">
        <f>Raw_Data!G1005</f>
        <v/>
      </c>
      <c r="H1005">
        <f>Raw_Data!H1005</f>
        <v/>
      </c>
      <c r="I1005">
        <f>Raw_Data!I1005</f>
        <v/>
      </c>
      <c r="J1005" s="12">
        <f>Raw_Data!J1005</f>
        <v/>
      </c>
      <c r="K1005" s="13">
        <f>Raw_Data!K1005</f>
        <v/>
      </c>
      <c r="L1005" s="12">
        <f>Raw_Data!L1005</f>
        <v/>
      </c>
      <c r="M1005" s="12">
        <f>Raw_Data!M1005</f>
        <v/>
      </c>
      <c r="N1005" s="12">
        <f>Raw_Data!N1005</f>
        <v/>
      </c>
      <c r="O1005">
        <f>Raw_Data!O1005</f>
        <v/>
      </c>
      <c r="P1005">
        <f>Raw_Data!P1005</f>
        <v/>
      </c>
      <c r="Q1005">
        <f>YEAR(B1005)</f>
        <v/>
      </c>
      <c r="R1005">
        <f>TEXT(B1005,"mmm")</f>
        <v/>
      </c>
      <c r="S1005" s="15">
        <f>IFERROR(N1005/L1005,0)</f>
        <v/>
      </c>
    </row>
    <row r="1006">
      <c r="A1006">
        <f>Raw_Data!A1006</f>
        <v/>
      </c>
      <c r="B1006" s="11">
        <f>Raw_Data!B1006</f>
        <v/>
      </c>
      <c r="C1006">
        <f>Raw_Data!C1006</f>
        <v/>
      </c>
      <c r="D1006">
        <f>Raw_Data!D1006</f>
        <v/>
      </c>
      <c r="E1006">
        <f>Raw_Data!E1006</f>
        <v/>
      </c>
      <c r="F1006">
        <f>Raw_Data!F1006</f>
        <v/>
      </c>
      <c r="G1006">
        <f>Raw_Data!G1006</f>
        <v/>
      </c>
      <c r="H1006">
        <f>Raw_Data!H1006</f>
        <v/>
      </c>
      <c r="I1006">
        <f>Raw_Data!I1006</f>
        <v/>
      </c>
      <c r="J1006" s="12">
        <f>Raw_Data!J1006</f>
        <v/>
      </c>
      <c r="K1006" s="13">
        <f>Raw_Data!K1006</f>
        <v/>
      </c>
      <c r="L1006" s="12">
        <f>Raw_Data!L1006</f>
        <v/>
      </c>
      <c r="M1006" s="12">
        <f>Raw_Data!M1006</f>
        <v/>
      </c>
      <c r="N1006" s="12">
        <f>Raw_Data!N1006</f>
        <v/>
      </c>
      <c r="O1006">
        <f>Raw_Data!O1006</f>
        <v/>
      </c>
      <c r="P1006">
        <f>Raw_Data!P1006</f>
        <v/>
      </c>
      <c r="Q1006">
        <f>YEAR(B1006)</f>
        <v/>
      </c>
      <c r="R1006">
        <f>TEXT(B1006,"mmm")</f>
        <v/>
      </c>
      <c r="S1006" s="15">
        <f>IFERROR(N1006/L1006,0)</f>
        <v/>
      </c>
    </row>
    <row r="1007">
      <c r="A1007">
        <f>Raw_Data!A1007</f>
        <v/>
      </c>
      <c r="B1007" s="11">
        <f>Raw_Data!B1007</f>
        <v/>
      </c>
      <c r="C1007">
        <f>Raw_Data!C1007</f>
        <v/>
      </c>
      <c r="D1007">
        <f>Raw_Data!D1007</f>
        <v/>
      </c>
      <c r="E1007">
        <f>Raw_Data!E1007</f>
        <v/>
      </c>
      <c r="F1007">
        <f>Raw_Data!F1007</f>
        <v/>
      </c>
      <c r="G1007">
        <f>Raw_Data!G1007</f>
        <v/>
      </c>
      <c r="H1007">
        <f>Raw_Data!H1007</f>
        <v/>
      </c>
      <c r="I1007">
        <f>Raw_Data!I1007</f>
        <v/>
      </c>
      <c r="J1007" s="12">
        <f>Raw_Data!J1007</f>
        <v/>
      </c>
      <c r="K1007" s="13">
        <f>Raw_Data!K1007</f>
        <v/>
      </c>
      <c r="L1007" s="12">
        <f>Raw_Data!L1007</f>
        <v/>
      </c>
      <c r="M1007" s="12">
        <f>Raw_Data!M1007</f>
        <v/>
      </c>
      <c r="N1007" s="12">
        <f>Raw_Data!N1007</f>
        <v/>
      </c>
      <c r="O1007">
        <f>Raw_Data!O1007</f>
        <v/>
      </c>
      <c r="P1007">
        <f>Raw_Data!P1007</f>
        <v/>
      </c>
      <c r="Q1007">
        <f>YEAR(B1007)</f>
        <v/>
      </c>
      <c r="R1007">
        <f>TEXT(B1007,"mmm")</f>
        <v/>
      </c>
      <c r="S1007" s="15">
        <f>IFERROR(N1007/L1007,0)</f>
        <v/>
      </c>
    </row>
    <row r="1008">
      <c r="A1008">
        <f>Raw_Data!A1008</f>
        <v/>
      </c>
      <c r="B1008" s="11">
        <f>Raw_Data!B1008</f>
        <v/>
      </c>
      <c r="C1008">
        <f>Raw_Data!C1008</f>
        <v/>
      </c>
      <c r="D1008">
        <f>Raw_Data!D1008</f>
        <v/>
      </c>
      <c r="E1008">
        <f>Raw_Data!E1008</f>
        <v/>
      </c>
      <c r="F1008">
        <f>Raw_Data!F1008</f>
        <v/>
      </c>
      <c r="G1008">
        <f>Raw_Data!G1008</f>
        <v/>
      </c>
      <c r="H1008">
        <f>Raw_Data!H1008</f>
        <v/>
      </c>
      <c r="I1008">
        <f>Raw_Data!I1008</f>
        <v/>
      </c>
      <c r="J1008" s="12">
        <f>Raw_Data!J1008</f>
        <v/>
      </c>
      <c r="K1008" s="13">
        <f>Raw_Data!K1008</f>
        <v/>
      </c>
      <c r="L1008" s="12">
        <f>Raw_Data!L1008</f>
        <v/>
      </c>
      <c r="M1008" s="12">
        <f>Raw_Data!M1008</f>
        <v/>
      </c>
      <c r="N1008" s="12">
        <f>Raw_Data!N1008</f>
        <v/>
      </c>
      <c r="O1008">
        <f>Raw_Data!O1008</f>
        <v/>
      </c>
      <c r="P1008">
        <f>Raw_Data!P1008</f>
        <v/>
      </c>
      <c r="Q1008">
        <f>YEAR(B1008)</f>
        <v/>
      </c>
      <c r="R1008">
        <f>TEXT(B1008,"mmm")</f>
        <v/>
      </c>
      <c r="S1008" s="15">
        <f>IFERROR(N1008/L1008,0)</f>
        <v/>
      </c>
    </row>
    <row r="1009">
      <c r="A1009">
        <f>Raw_Data!A1009</f>
        <v/>
      </c>
      <c r="B1009" s="11">
        <f>Raw_Data!B1009</f>
        <v/>
      </c>
      <c r="C1009">
        <f>Raw_Data!C1009</f>
        <v/>
      </c>
      <c r="D1009">
        <f>Raw_Data!D1009</f>
        <v/>
      </c>
      <c r="E1009">
        <f>Raw_Data!E1009</f>
        <v/>
      </c>
      <c r="F1009">
        <f>Raw_Data!F1009</f>
        <v/>
      </c>
      <c r="G1009">
        <f>Raw_Data!G1009</f>
        <v/>
      </c>
      <c r="H1009">
        <f>Raw_Data!H1009</f>
        <v/>
      </c>
      <c r="I1009">
        <f>Raw_Data!I1009</f>
        <v/>
      </c>
      <c r="J1009" s="12">
        <f>Raw_Data!J1009</f>
        <v/>
      </c>
      <c r="K1009" s="13">
        <f>Raw_Data!K1009</f>
        <v/>
      </c>
      <c r="L1009" s="12">
        <f>Raw_Data!L1009</f>
        <v/>
      </c>
      <c r="M1009" s="12">
        <f>Raw_Data!M1009</f>
        <v/>
      </c>
      <c r="N1009" s="12">
        <f>Raw_Data!N1009</f>
        <v/>
      </c>
      <c r="O1009">
        <f>Raw_Data!O1009</f>
        <v/>
      </c>
      <c r="P1009">
        <f>Raw_Data!P1009</f>
        <v/>
      </c>
      <c r="Q1009">
        <f>YEAR(B1009)</f>
        <v/>
      </c>
      <c r="R1009">
        <f>TEXT(B1009,"mmm")</f>
        <v/>
      </c>
      <c r="S1009" s="15">
        <f>IFERROR(N1009/L1009,0)</f>
        <v/>
      </c>
    </row>
    <row r="1010">
      <c r="A1010">
        <f>Raw_Data!A1010</f>
        <v/>
      </c>
      <c r="B1010" s="11">
        <f>Raw_Data!B1010</f>
        <v/>
      </c>
      <c r="C1010">
        <f>Raw_Data!C1010</f>
        <v/>
      </c>
      <c r="D1010">
        <f>Raw_Data!D1010</f>
        <v/>
      </c>
      <c r="E1010">
        <f>Raw_Data!E1010</f>
        <v/>
      </c>
      <c r="F1010">
        <f>Raw_Data!F1010</f>
        <v/>
      </c>
      <c r="G1010">
        <f>Raw_Data!G1010</f>
        <v/>
      </c>
      <c r="H1010">
        <f>Raw_Data!H1010</f>
        <v/>
      </c>
      <c r="I1010">
        <f>Raw_Data!I1010</f>
        <v/>
      </c>
      <c r="J1010" s="12">
        <f>Raw_Data!J1010</f>
        <v/>
      </c>
      <c r="K1010" s="13">
        <f>Raw_Data!K1010</f>
        <v/>
      </c>
      <c r="L1010" s="12">
        <f>Raw_Data!L1010</f>
        <v/>
      </c>
      <c r="M1010" s="12">
        <f>Raw_Data!M1010</f>
        <v/>
      </c>
      <c r="N1010" s="12">
        <f>Raw_Data!N1010</f>
        <v/>
      </c>
      <c r="O1010">
        <f>Raw_Data!O1010</f>
        <v/>
      </c>
      <c r="P1010">
        <f>Raw_Data!P1010</f>
        <v/>
      </c>
      <c r="Q1010">
        <f>YEAR(B1010)</f>
        <v/>
      </c>
      <c r="R1010">
        <f>TEXT(B1010,"mmm")</f>
        <v/>
      </c>
      <c r="S1010" s="15">
        <f>IFERROR(N1010/L1010,0)</f>
        <v/>
      </c>
    </row>
    <row r="1011">
      <c r="A1011">
        <f>Raw_Data!A1011</f>
        <v/>
      </c>
      <c r="B1011" s="11">
        <f>Raw_Data!B1011</f>
        <v/>
      </c>
      <c r="C1011">
        <f>Raw_Data!C1011</f>
        <v/>
      </c>
      <c r="D1011">
        <f>Raw_Data!D1011</f>
        <v/>
      </c>
      <c r="E1011">
        <f>Raw_Data!E1011</f>
        <v/>
      </c>
      <c r="F1011">
        <f>Raw_Data!F1011</f>
        <v/>
      </c>
      <c r="G1011">
        <f>Raw_Data!G1011</f>
        <v/>
      </c>
      <c r="H1011">
        <f>Raw_Data!H1011</f>
        <v/>
      </c>
      <c r="I1011">
        <f>Raw_Data!I1011</f>
        <v/>
      </c>
      <c r="J1011" s="12">
        <f>Raw_Data!J1011</f>
        <v/>
      </c>
      <c r="K1011" s="13">
        <f>Raw_Data!K1011</f>
        <v/>
      </c>
      <c r="L1011" s="12">
        <f>Raw_Data!L1011</f>
        <v/>
      </c>
      <c r="M1011" s="12">
        <f>Raw_Data!M1011</f>
        <v/>
      </c>
      <c r="N1011" s="12">
        <f>Raw_Data!N1011</f>
        <v/>
      </c>
      <c r="O1011">
        <f>Raw_Data!O1011</f>
        <v/>
      </c>
      <c r="P1011">
        <f>Raw_Data!P1011</f>
        <v/>
      </c>
      <c r="Q1011">
        <f>YEAR(B1011)</f>
        <v/>
      </c>
      <c r="R1011">
        <f>TEXT(B1011,"mmm")</f>
        <v/>
      </c>
      <c r="S1011" s="15">
        <f>IFERROR(N1011/L1011,0)</f>
        <v/>
      </c>
    </row>
    <row r="1012">
      <c r="A1012">
        <f>Raw_Data!A1012</f>
        <v/>
      </c>
      <c r="B1012" s="11">
        <f>Raw_Data!B1012</f>
        <v/>
      </c>
      <c r="C1012">
        <f>Raw_Data!C1012</f>
        <v/>
      </c>
      <c r="D1012">
        <f>Raw_Data!D1012</f>
        <v/>
      </c>
      <c r="E1012">
        <f>Raw_Data!E1012</f>
        <v/>
      </c>
      <c r="F1012">
        <f>Raw_Data!F1012</f>
        <v/>
      </c>
      <c r="G1012">
        <f>Raw_Data!G1012</f>
        <v/>
      </c>
      <c r="H1012">
        <f>Raw_Data!H1012</f>
        <v/>
      </c>
      <c r="I1012">
        <f>Raw_Data!I1012</f>
        <v/>
      </c>
      <c r="J1012" s="12">
        <f>Raw_Data!J1012</f>
        <v/>
      </c>
      <c r="K1012" s="13">
        <f>Raw_Data!K1012</f>
        <v/>
      </c>
      <c r="L1012" s="12">
        <f>Raw_Data!L1012</f>
        <v/>
      </c>
      <c r="M1012" s="12">
        <f>Raw_Data!M1012</f>
        <v/>
      </c>
      <c r="N1012" s="12">
        <f>Raw_Data!N1012</f>
        <v/>
      </c>
      <c r="O1012">
        <f>Raw_Data!O1012</f>
        <v/>
      </c>
      <c r="P1012">
        <f>Raw_Data!P1012</f>
        <v/>
      </c>
      <c r="Q1012">
        <f>YEAR(B1012)</f>
        <v/>
      </c>
      <c r="R1012">
        <f>TEXT(B1012,"mmm")</f>
        <v/>
      </c>
      <c r="S1012" s="15">
        <f>IFERROR(N1012/L1012,0)</f>
        <v/>
      </c>
    </row>
    <row r="1013">
      <c r="A1013">
        <f>Raw_Data!A1013</f>
        <v/>
      </c>
      <c r="B1013" s="11">
        <f>Raw_Data!B1013</f>
        <v/>
      </c>
      <c r="C1013">
        <f>Raw_Data!C1013</f>
        <v/>
      </c>
      <c r="D1013">
        <f>Raw_Data!D1013</f>
        <v/>
      </c>
      <c r="E1013">
        <f>Raw_Data!E1013</f>
        <v/>
      </c>
      <c r="F1013">
        <f>Raw_Data!F1013</f>
        <v/>
      </c>
      <c r="G1013">
        <f>Raw_Data!G1013</f>
        <v/>
      </c>
      <c r="H1013">
        <f>Raw_Data!H1013</f>
        <v/>
      </c>
      <c r="I1013">
        <f>Raw_Data!I1013</f>
        <v/>
      </c>
      <c r="J1013" s="12">
        <f>Raw_Data!J1013</f>
        <v/>
      </c>
      <c r="K1013" s="13">
        <f>Raw_Data!K1013</f>
        <v/>
      </c>
      <c r="L1013" s="12">
        <f>Raw_Data!L1013</f>
        <v/>
      </c>
      <c r="M1013" s="12">
        <f>Raw_Data!M1013</f>
        <v/>
      </c>
      <c r="N1013" s="12">
        <f>Raw_Data!N1013</f>
        <v/>
      </c>
      <c r="O1013">
        <f>Raw_Data!O1013</f>
        <v/>
      </c>
      <c r="P1013">
        <f>Raw_Data!P1013</f>
        <v/>
      </c>
      <c r="Q1013">
        <f>YEAR(B1013)</f>
        <v/>
      </c>
      <c r="R1013">
        <f>TEXT(B1013,"mmm")</f>
        <v/>
      </c>
      <c r="S1013" s="15">
        <f>IFERROR(N1013/L1013,0)</f>
        <v/>
      </c>
    </row>
    <row r="1014">
      <c r="A1014">
        <f>Raw_Data!A1014</f>
        <v/>
      </c>
      <c r="B1014" s="11">
        <f>Raw_Data!B1014</f>
        <v/>
      </c>
      <c r="C1014">
        <f>Raw_Data!C1014</f>
        <v/>
      </c>
      <c r="D1014">
        <f>Raw_Data!D1014</f>
        <v/>
      </c>
      <c r="E1014">
        <f>Raw_Data!E1014</f>
        <v/>
      </c>
      <c r="F1014">
        <f>Raw_Data!F1014</f>
        <v/>
      </c>
      <c r="G1014">
        <f>Raw_Data!G1014</f>
        <v/>
      </c>
      <c r="H1014">
        <f>Raw_Data!H1014</f>
        <v/>
      </c>
      <c r="I1014">
        <f>Raw_Data!I1014</f>
        <v/>
      </c>
      <c r="J1014" s="12">
        <f>Raw_Data!J1014</f>
        <v/>
      </c>
      <c r="K1014" s="13">
        <f>Raw_Data!K1014</f>
        <v/>
      </c>
      <c r="L1014" s="12">
        <f>Raw_Data!L1014</f>
        <v/>
      </c>
      <c r="M1014" s="12">
        <f>Raw_Data!M1014</f>
        <v/>
      </c>
      <c r="N1014" s="12">
        <f>Raw_Data!N1014</f>
        <v/>
      </c>
      <c r="O1014">
        <f>Raw_Data!O1014</f>
        <v/>
      </c>
      <c r="P1014">
        <f>Raw_Data!P1014</f>
        <v/>
      </c>
      <c r="Q1014">
        <f>YEAR(B1014)</f>
        <v/>
      </c>
      <c r="R1014">
        <f>TEXT(B1014,"mmm")</f>
        <v/>
      </c>
      <c r="S1014" s="15">
        <f>IFERROR(N1014/L1014,0)</f>
        <v/>
      </c>
    </row>
    <row r="1015">
      <c r="A1015">
        <f>Raw_Data!A1015</f>
        <v/>
      </c>
      <c r="B1015" s="11">
        <f>Raw_Data!B1015</f>
        <v/>
      </c>
      <c r="C1015">
        <f>Raw_Data!C1015</f>
        <v/>
      </c>
      <c r="D1015">
        <f>Raw_Data!D1015</f>
        <v/>
      </c>
      <c r="E1015">
        <f>Raw_Data!E1015</f>
        <v/>
      </c>
      <c r="F1015">
        <f>Raw_Data!F1015</f>
        <v/>
      </c>
      <c r="G1015">
        <f>Raw_Data!G1015</f>
        <v/>
      </c>
      <c r="H1015">
        <f>Raw_Data!H1015</f>
        <v/>
      </c>
      <c r="I1015">
        <f>Raw_Data!I1015</f>
        <v/>
      </c>
      <c r="J1015" s="12">
        <f>Raw_Data!J1015</f>
        <v/>
      </c>
      <c r="K1015" s="13">
        <f>Raw_Data!K1015</f>
        <v/>
      </c>
      <c r="L1015" s="12">
        <f>Raw_Data!L1015</f>
        <v/>
      </c>
      <c r="M1015" s="12">
        <f>Raw_Data!M1015</f>
        <v/>
      </c>
      <c r="N1015" s="12">
        <f>Raw_Data!N1015</f>
        <v/>
      </c>
      <c r="O1015">
        <f>Raw_Data!O1015</f>
        <v/>
      </c>
      <c r="P1015">
        <f>Raw_Data!P1015</f>
        <v/>
      </c>
      <c r="Q1015">
        <f>YEAR(B1015)</f>
        <v/>
      </c>
      <c r="R1015">
        <f>TEXT(B1015,"mmm")</f>
        <v/>
      </c>
      <c r="S1015" s="15">
        <f>IFERROR(N1015/L1015,0)</f>
        <v/>
      </c>
    </row>
    <row r="1016">
      <c r="A1016">
        <f>Raw_Data!A1016</f>
        <v/>
      </c>
      <c r="B1016" s="11">
        <f>Raw_Data!B1016</f>
        <v/>
      </c>
      <c r="C1016">
        <f>Raw_Data!C1016</f>
        <v/>
      </c>
      <c r="D1016">
        <f>Raw_Data!D1016</f>
        <v/>
      </c>
      <c r="E1016">
        <f>Raw_Data!E1016</f>
        <v/>
      </c>
      <c r="F1016">
        <f>Raw_Data!F1016</f>
        <v/>
      </c>
      <c r="G1016">
        <f>Raw_Data!G1016</f>
        <v/>
      </c>
      <c r="H1016">
        <f>Raw_Data!H1016</f>
        <v/>
      </c>
      <c r="I1016">
        <f>Raw_Data!I1016</f>
        <v/>
      </c>
      <c r="J1016" s="12">
        <f>Raw_Data!J1016</f>
        <v/>
      </c>
      <c r="K1016" s="13">
        <f>Raw_Data!K1016</f>
        <v/>
      </c>
      <c r="L1016" s="12">
        <f>Raw_Data!L1016</f>
        <v/>
      </c>
      <c r="M1016" s="12">
        <f>Raw_Data!M1016</f>
        <v/>
      </c>
      <c r="N1016" s="12">
        <f>Raw_Data!N1016</f>
        <v/>
      </c>
      <c r="O1016">
        <f>Raw_Data!O1016</f>
        <v/>
      </c>
      <c r="P1016">
        <f>Raw_Data!P1016</f>
        <v/>
      </c>
      <c r="Q1016">
        <f>YEAR(B1016)</f>
        <v/>
      </c>
      <c r="R1016">
        <f>TEXT(B1016,"mmm")</f>
        <v/>
      </c>
      <c r="S1016" s="15">
        <f>IFERROR(N1016/L1016,0)</f>
        <v/>
      </c>
    </row>
    <row r="1017">
      <c r="A1017">
        <f>Raw_Data!A1017</f>
        <v/>
      </c>
      <c r="B1017" s="11">
        <f>Raw_Data!B1017</f>
        <v/>
      </c>
      <c r="C1017">
        <f>Raw_Data!C1017</f>
        <v/>
      </c>
      <c r="D1017">
        <f>Raw_Data!D1017</f>
        <v/>
      </c>
      <c r="E1017">
        <f>Raw_Data!E1017</f>
        <v/>
      </c>
      <c r="F1017">
        <f>Raw_Data!F1017</f>
        <v/>
      </c>
      <c r="G1017">
        <f>Raw_Data!G1017</f>
        <v/>
      </c>
      <c r="H1017">
        <f>Raw_Data!H1017</f>
        <v/>
      </c>
      <c r="I1017">
        <f>Raw_Data!I1017</f>
        <v/>
      </c>
      <c r="J1017" s="12">
        <f>Raw_Data!J1017</f>
        <v/>
      </c>
      <c r="K1017" s="13">
        <f>Raw_Data!K1017</f>
        <v/>
      </c>
      <c r="L1017" s="12">
        <f>Raw_Data!L1017</f>
        <v/>
      </c>
      <c r="M1017" s="12">
        <f>Raw_Data!M1017</f>
        <v/>
      </c>
      <c r="N1017" s="12">
        <f>Raw_Data!N1017</f>
        <v/>
      </c>
      <c r="O1017">
        <f>Raw_Data!O1017</f>
        <v/>
      </c>
      <c r="P1017">
        <f>Raw_Data!P1017</f>
        <v/>
      </c>
      <c r="Q1017">
        <f>YEAR(B1017)</f>
        <v/>
      </c>
      <c r="R1017">
        <f>TEXT(B1017,"mmm")</f>
        <v/>
      </c>
      <c r="S1017" s="15">
        <f>IFERROR(N1017/L1017,0)</f>
        <v/>
      </c>
    </row>
    <row r="1018">
      <c r="A1018">
        <f>Raw_Data!A1018</f>
        <v/>
      </c>
      <c r="B1018" s="11">
        <f>Raw_Data!B1018</f>
        <v/>
      </c>
      <c r="C1018">
        <f>Raw_Data!C1018</f>
        <v/>
      </c>
      <c r="D1018">
        <f>Raw_Data!D1018</f>
        <v/>
      </c>
      <c r="E1018">
        <f>Raw_Data!E1018</f>
        <v/>
      </c>
      <c r="F1018">
        <f>Raw_Data!F1018</f>
        <v/>
      </c>
      <c r="G1018">
        <f>Raw_Data!G1018</f>
        <v/>
      </c>
      <c r="H1018">
        <f>Raw_Data!H1018</f>
        <v/>
      </c>
      <c r="I1018">
        <f>Raw_Data!I1018</f>
        <v/>
      </c>
      <c r="J1018" s="12">
        <f>Raw_Data!J1018</f>
        <v/>
      </c>
      <c r="K1018" s="13">
        <f>Raw_Data!K1018</f>
        <v/>
      </c>
      <c r="L1018" s="12">
        <f>Raw_Data!L1018</f>
        <v/>
      </c>
      <c r="M1018" s="12">
        <f>Raw_Data!M1018</f>
        <v/>
      </c>
      <c r="N1018" s="12">
        <f>Raw_Data!N1018</f>
        <v/>
      </c>
      <c r="O1018">
        <f>Raw_Data!O1018</f>
        <v/>
      </c>
      <c r="P1018">
        <f>Raw_Data!P1018</f>
        <v/>
      </c>
      <c r="Q1018">
        <f>YEAR(B1018)</f>
        <v/>
      </c>
      <c r="R1018">
        <f>TEXT(B1018,"mmm")</f>
        <v/>
      </c>
      <c r="S1018" s="15">
        <f>IFERROR(N1018/L1018,0)</f>
        <v/>
      </c>
    </row>
    <row r="1019">
      <c r="A1019">
        <f>Raw_Data!A1019</f>
        <v/>
      </c>
      <c r="B1019" s="11">
        <f>Raw_Data!B1019</f>
        <v/>
      </c>
      <c r="C1019">
        <f>Raw_Data!C1019</f>
        <v/>
      </c>
      <c r="D1019">
        <f>Raw_Data!D1019</f>
        <v/>
      </c>
      <c r="E1019">
        <f>Raw_Data!E1019</f>
        <v/>
      </c>
      <c r="F1019">
        <f>Raw_Data!F1019</f>
        <v/>
      </c>
      <c r="G1019">
        <f>Raw_Data!G1019</f>
        <v/>
      </c>
      <c r="H1019">
        <f>Raw_Data!H1019</f>
        <v/>
      </c>
      <c r="I1019">
        <f>Raw_Data!I1019</f>
        <v/>
      </c>
      <c r="J1019" s="12">
        <f>Raw_Data!J1019</f>
        <v/>
      </c>
      <c r="K1019" s="13">
        <f>Raw_Data!K1019</f>
        <v/>
      </c>
      <c r="L1019" s="12">
        <f>Raw_Data!L1019</f>
        <v/>
      </c>
      <c r="M1019" s="12">
        <f>Raw_Data!M1019</f>
        <v/>
      </c>
      <c r="N1019" s="12">
        <f>Raw_Data!N1019</f>
        <v/>
      </c>
      <c r="O1019">
        <f>Raw_Data!O1019</f>
        <v/>
      </c>
      <c r="P1019">
        <f>Raw_Data!P1019</f>
        <v/>
      </c>
      <c r="Q1019">
        <f>YEAR(B1019)</f>
        <v/>
      </c>
      <c r="R1019">
        <f>TEXT(B1019,"mmm")</f>
        <v/>
      </c>
      <c r="S1019" s="15">
        <f>IFERROR(N1019/L1019,0)</f>
        <v/>
      </c>
    </row>
    <row r="1020">
      <c r="A1020">
        <f>Raw_Data!A1020</f>
        <v/>
      </c>
      <c r="B1020" s="11">
        <f>Raw_Data!B1020</f>
        <v/>
      </c>
      <c r="C1020">
        <f>Raw_Data!C1020</f>
        <v/>
      </c>
      <c r="D1020">
        <f>Raw_Data!D1020</f>
        <v/>
      </c>
      <c r="E1020">
        <f>Raw_Data!E1020</f>
        <v/>
      </c>
      <c r="F1020">
        <f>Raw_Data!F1020</f>
        <v/>
      </c>
      <c r="G1020">
        <f>Raw_Data!G1020</f>
        <v/>
      </c>
      <c r="H1020">
        <f>Raw_Data!H1020</f>
        <v/>
      </c>
      <c r="I1020">
        <f>Raw_Data!I1020</f>
        <v/>
      </c>
      <c r="J1020" s="12">
        <f>Raw_Data!J1020</f>
        <v/>
      </c>
      <c r="K1020" s="13">
        <f>Raw_Data!K1020</f>
        <v/>
      </c>
      <c r="L1020" s="12">
        <f>Raw_Data!L1020</f>
        <v/>
      </c>
      <c r="M1020" s="12">
        <f>Raw_Data!M1020</f>
        <v/>
      </c>
      <c r="N1020" s="12">
        <f>Raw_Data!N1020</f>
        <v/>
      </c>
      <c r="O1020">
        <f>Raw_Data!O1020</f>
        <v/>
      </c>
      <c r="P1020">
        <f>Raw_Data!P1020</f>
        <v/>
      </c>
      <c r="Q1020">
        <f>YEAR(B1020)</f>
        <v/>
      </c>
      <c r="R1020">
        <f>TEXT(B1020,"mmm")</f>
        <v/>
      </c>
      <c r="S1020" s="15">
        <f>IFERROR(N1020/L1020,0)</f>
        <v/>
      </c>
    </row>
    <row r="1021">
      <c r="A1021">
        <f>Raw_Data!A1021</f>
        <v/>
      </c>
      <c r="B1021" s="11">
        <f>Raw_Data!B1021</f>
        <v/>
      </c>
      <c r="C1021">
        <f>Raw_Data!C1021</f>
        <v/>
      </c>
      <c r="D1021">
        <f>Raw_Data!D1021</f>
        <v/>
      </c>
      <c r="E1021">
        <f>Raw_Data!E1021</f>
        <v/>
      </c>
      <c r="F1021">
        <f>Raw_Data!F1021</f>
        <v/>
      </c>
      <c r="G1021">
        <f>Raw_Data!G1021</f>
        <v/>
      </c>
      <c r="H1021">
        <f>Raw_Data!H1021</f>
        <v/>
      </c>
      <c r="I1021">
        <f>Raw_Data!I1021</f>
        <v/>
      </c>
      <c r="J1021" s="12">
        <f>Raw_Data!J1021</f>
        <v/>
      </c>
      <c r="K1021" s="13">
        <f>Raw_Data!K1021</f>
        <v/>
      </c>
      <c r="L1021" s="12">
        <f>Raw_Data!L1021</f>
        <v/>
      </c>
      <c r="M1021" s="12">
        <f>Raw_Data!M1021</f>
        <v/>
      </c>
      <c r="N1021" s="12">
        <f>Raw_Data!N1021</f>
        <v/>
      </c>
      <c r="O1021">
        <f>Raw_Data!O1021</f>
        <v/>
      </c>
      <c r="P1021">
        <f>Raw_Data!P1021</f>
        <v/>
      </c>
      <c r="Q1021">
        <f>YEAR(B1021)</f>
        <v/>
      </c>
      <c r="R1021">
        <f>TEXT(B1021,"mmm")</f>
        <v/>
      </c>
      <c r="S1021" s="15">
        <f>IFERROR(N1021/L1021,0)</f>
        <v/>
      </c>
    </row>
    <row r="1022">
      <c r="A1022">
        <f>Raw_Data!A1022</f>
        <v/>
      </c>
      <c r="B1022" s="11">
        <f>Raw_Data!B1022</f>
        <v/>
      </c>
      <c r="C1022">
        <f>Raw_Data!C1022</f>
        <v/>
      </c>
      <c r="D1022">
        <f>Raw_Data!D1022</f>
        <v/>
      </c>
      <c r="E1022">
        <f>Raw_Data!E1022</f>
        <v/>
      </c>
      <c r="F1022">
        <f>Raw_Data!F1022</f>
        <v/>
      </c>
      <c r="G1022">
        <f>Raw_Data!G1022</f>
        <v/>
      </c>
      <c r="H1022">
        <f>Raw_Data!H1022</f>
        <v/>
      </c>
      <c r="I1022">
        <f>Raw_Data!I1022</f>
        <v/>
      </c>
      <c r="J1022" s="12">
        <f>Raw_Data!J1022</f>
        <v/>
      </c>
      <c r="K1022" s="13">
        <f>Raw_Data!K1022</f>
        <v/>
      </c>
      <c r="L1022" s="12">
        <f>Raw_Data!L1022</f>
        <v/>
      </c>
      <c r="M1022" s="12">
        <f>Raw_Data!M1022</f>
        <v/>
      </c>
      <c r="N1022" s="12">
        <f>Raw_Data!N1022</f>
        <v/>
      </c>
      <c r="O1022">
        <f>Raw_Data!O1022</f>
        <v/>
      </c>
      <c r="P1022">
        <f>Raw_Data!P1022</f>
        <v/>
      </c>
      <c r="Q1022">
        <f>YEAR(B1022)</f>
        <v/>
      </c>
      <c r="R1022">
        <f>TEXT(B1022,"mmm")</f>
        <v/>
      </c>
      <c r="S1022" s="15">
        <f>IFERROR(N1022/L1022,0)</f>
        <v/>
      </c>
    </row>
    <row r="1023">
      <c r="A1023">
        <f>Raw_Data!A1023</f>
        <v/>
      </c>
      <c r="B1023" s="11">
        <f>Raw_Data!B1023</f>
        <v/>
      </c>
      <c r="C1023">
        <f>Raw_Data!C1023</f>
        <v/>
      </c>
      <c r="D1023">
        <f>Raw_Data!D1023</f>
        <v/>
      </c>
      <c r="E1023">
        <f>Raw_Data!E1023</f>
        <v/>
      </c>
      <c r="F1023">
        <f>Raw_Data!F1023</f>
        <v/>
      </c>
      <c r="G1023">
        <f>Raw_Data!G1023</f>
        <v/>
      </c>
      <c r="H1023">
        <f>Raw_Data!H1023</f>
        <v/>
      </c>
      <c r="I1023">
        <f>Raw_Data!I1023</f>
        <v/>
      </c>
      <c r="J1023" s="12">
        <f>Raw_Data!J1023</f>
        <v/>
      </c>
      <c r="K1023" s="13">
        <f>Raw_Data!K1023</f>
        <v/>
      </c>
      <c r="L1023" s="12">
        <f>Raw_Data!L1023</f>
        <v/>
      </c>
      <c r="M1023" s="12">
        <f>Raw_Data!M1023</f>
        <v/>
      </c>
      <c r="N1023" s="12">
        <f>Raw_Data!N1023</f>
        <v/>
      </c>
      <c r="O1023">
        <f>Raw_Data!O1023</f>
        <v/>
      </c>
      <c r="P1023">
        <f>Raw_Data!P1023</f>
        <v/>
      </c>
      <c r="Q1023">
        <f>YEAR(B1023)</f>
        <v/>
      </c>
      <c r="R1023">
        <f>TEXT(B1023,"mmm")</f>
        <v/>
      </c>
      <c r="S1023" s="15">
        <f>IFERROR(N1023/L1023,0)</f>
        <v/>
      </c>
    </row>
    <row r="1024">
      <c r="A1024">
        <f>Raw_Data!A1024</f>
        <v/>
      </c>
      <c r="B1024" s="11">
        <f>Raw_Data!B1024</f>
        <v/>
      </c>
      <c r="C1024">
        <f>Raw_Data!C1024</f>
        <v/>
      </c>
      <c r="D1024">
        <f>Raw_Data!D1024</f>
        <v/>
      </c>
      <c r="E1024">
        <f>Raw_Data!E1024</f>
        <v/>
      </c>
      <c r="F1024">
        <f>Raw_Data!F1024</f>
        <v/>
      </c>
      <c r="G1024">
        <f>Raw_Data!G1024</f>
        <v/>
      </c>
      <c r="H1024">
        <f>Raw_Data!H1024</f>
        <v/>
      </c>
      <c r="I1024">
        <f>Raw_Data!I1024</f>
        <v/>
      </c>
      <c r="J1024" s="12">
        <f>Raw_Data!J1024</f>
        <v/>
      </c>
      <c r="K1024" s="13">
        <f>Raw_Data!K1024</f>
        <v/>
      </c>
      <c r="L1024" s="12">
        <f>Raw_Data!L1024</f>
        <v/>
      </c>
      <c r="M1024" s="12">
        <f>Raw_Data!M1024</f>
        <v/>
      </c>
      <c r="N1024" s="12">
        <f>Raw_Data!N1024</f>
        <v/>
      </c>
      <c r="O1024">
        <f>Raw_Data!O1024</f>
        <v/>
      </c>
      <c r="P1024">
        <f>Raw_Data!P1024</f>
        <v/>
      </c>
      <c r="Q1024">
        <f>YEAR(B1024)</f>
        <v/>
      </c>
      <c r="R1024">
        <f>TEXT(B1024,"mmm")</f>
        <v/>
      </c>
      <c r="S1024" s="15">
        <f>IFERROR(N1024/L1024,0)</f>
        <v/>
      </c>
    </row>
    <row r="1025">
      <c r="A1025">
        <f>Raw_Data!A1025</f>
        <v/>
      </c>
      <c r="B1025" s="11">
        <f>Raw_Data!B1025</f>
        <v/>
      </c>
      <c r="C1025">
        <f>Raw_Data!C1025</f>
        <v/>
      </c>
      <c r="D1025">
        <f>Raw_Data!D1025</f>
        <v/>
      </c>
      <c r="E1025">
        <f>Raw_Data!E1025</f>
        <v/>
      </c>
      <c r="F1025">
        <f>Raw_Data!F1025</f>
        <v/>
      </c>
      <c r="G1025">
        <f>Raw_Data!G1025</f>
        <v/>
      </c>
      <c r="H1025">
        <f>Raw_Data!H1025</f>
        <v/>
      </c>
      <c r="I1025">
        <f>Raw_Data!I1025</f>
        <v/>
      </c>
      <c r="J1025" s="12">
        <f>Raw_Data!J1025</f>
        <v/>
      </c>
      <c r="K1025" s="13">
        <f>Raw_Data!K1025</f>
        <v/>
      </c>
      <c r="L1025" s="12">
        <f>Raw_Data!L1025</f>
        <v/>
      </c>
      <c r="M1025" s="12">
        <f>Raw_Data!M1025</f>
        <v/>
      </c>
      <c r="N1025" s="12">
        <f>Raw_Data!N1025</f>
        <v/>
      </c>
      <c r="O1025">
        <f>Raw_Data!O1025</f>
        <v/>
      </c>
      <c r="P1025">
        <f>Raw_Data!P1025</f>
        <v/>
      </c>
      <c r="Q1025">
        <f>YEAR(B1025)</f>
        <v/>
      </c>
      <c r="R1025">
        <f>TEXT(B1025,"mmm")</f>
        <v/>
      </c>
      <c r="S1025" s="15">
        <f>IFERROR(N1025/L1025,0)</f>
        <v/>
      </c>
    </row>
    <row r="1026">
      <c r="A1026">
        <f>Raw_Data!A1026</f>
        <v/>
      </c>
      <c r="B1026" s="11">
        <f>Raw_Data!B1026</f>
        <v/>
      </c>
      <c r="C1026">
        <f>Raw_Data!C1026</f>
        <v/>
      </c>
      <c r="D1026">
        <f>Raw_Data!D1026</f>
        <v/>
      </c>
      <c r="E1026">
        <f>Raw_Data!E1026</f>
        <v/>
      </c>
      <c r="F1026">
        <f>Raw_Data!F1026</f>
        <v/>
      </c>
      <c r="G1026">
        <f>Raw_Data!G1026</f>
        <v/>
      </c>
      <c r="H1026">
        <f>Raw_Data!H1026</f>
        <v/>
      </c>
      <c r="I1026">
        <f>Raw_Data!I1026</f>
        <v/>
      </c>
      <c r="J1026" s="12">
        <f>Raw_Data!J1026</f>
        <v/>
      </c>
      <c r="K1026" s="13">
        <f>Raw_Data!K1026</f>
        <v/>
      </c>
      <c r="L1026" s="12">
        <f>Raw_Data!L1026</f>
        <v/>
      </c>
      <c r="M1026" s="12">
        <f>Raw_Data!M1026</f>
        <v/>
      </c>
      <c r="N1026" s="12">
        <f>Raw_Data!N1026</f>
        <v/>
      </c>
      <c r="O1026">
        <f>Raw_Data!O1026</f>
        <v/>
      </c>
      <c r="P1026">
        <f>Raw_Data!P1026</f>
        <v/>
      </c>
      <c r="Q1026">
        <f>YEAR(B1026)</f>
        <v/>
      </c>
      <c r="R1026">
        <f>TEXT(B1026,"mmm")</f>
        <v/>
      </c>
      <c r="S1026" s="15">
        <f>IFERROR(N1026/L1026,0)</f>
        <v/>
      </c>
    </row>
    <row r="1027">
      <c r="A1027">
        <f>Raw_Data!A1027</f>
        <v/>
      </c>
      <c r="B1027" s="11">
        <f>Raw_Data!B1027</f>
        <v/>
      </c>
      <c r="C1027">
        <f>Raw_Data!C1027</f>
        <v/>
      </c>
      <c r="D1027">
        <f>Raw_Data!D1027</f>
        <v/>
      </c>
      <c r="E1027">
        <f>Raw_Data!E1027</f>
        <v/>
      </c>
      <c r="F1027">
        <f>Raw_Data!F1027</f>
        <v/>
      </c>
      <c r="G1027">
        <f>Raw_Data!G1027</f>
        <v/>
      </c>
      <c r="H1027">
        <f>Raw_Data!H1027</f>
        <v/>
      </c>
      <c r="I1027">
        <f>Raw_Data!I1027</f>
        <v/>
      </c>
      <c r="J1027" s="12">
        <f>Raw_Data!J1027</f>
        <v/>
      </c>
      <c r="K1027" s="13">
        <f>Raw_Data!K1027</f>
        <v/>
      </c>
      <c r="L1027" s="12">
        <f>Raw_Data!L1027</f>
        <v/>
      </c>
      <c r="M1027" s="12">
        <f>Raw_Data!M1027</f>
        <v/>
      </c>
      <c r="N1027" s="12">
        <f>Raw_Data!N1027</f>
        <v/>
      </c>
      <c r="O1027">
        <f>Raw_Data!O1027</f>
        <v/>
      </c>
      <c r="P1027">
        <f>Raw_Data!P1027</f>
        <v/>
      </c>
      <c r="Q1027">
        <f>YEAR(B1027)</f>
        <v/>
      </c>
      <c r="R1027">
        <f>TEXT(B1027,"mmm")</f>
        <v/>
      </c>
      <c r="S1027" s="15">
        <f>IFERROR(N1027/L1027,0)</f>
        <v/>
      </c>
    </row>
    <row r="1028">
      <c r="A1028">
        <f>Raw_Data!A1028</f>
        <v/>
      </c>
      <c r="B1028" s="11">
        <f>Raw_Data!B1028</f>
        <v/>
      </c>
      <c r="C1028">
        <f>Raw_Data!C1028</f>
        <v/>
      </c>
      <c r="D1028">
        <f>Raw_Data!D1028</f>
        <v/>
      </c>
      <c r="E1028">
        <f>Raw_Data!E1028</f>
        <v/>
      </c>
      <c r="F1028">
        <f>Raw_Data!F1028</f>
        <v/>
      </c>
      <c r="G1028">
        <f>Raw_Data!G1028</f>
        <v/>
      </c>
      <c r="H1028">
        <f>Raw_Data!H1028</f>
        <v/>
      </c>
      <c r="I1028">
        <f>Raw_Data!I1028</f>
        <v/>
      </c>
      <c r="J1028" s="12">
        <f>Raw_Data!J1028</f>
        <v/>
      </c>
      <c r="K1028" s="13">
        <f>Raw_Data!K1028</f>
        <v/>
      </c>
      <c r="L1028" s="12">
        <f>Raw_Data!L1028</f>
        <v/>
      </c>
      <c r="M1028" s="12">
        <f>Raw_Data!M1028</f>
        <v/>
      </c>
      <c r="N1028" s="12">
        <f>Raw_Data!N1028</f>
        <v/>
      </c>
      <c r="O1028">
        <f>Raw_Data!O1028</f>
        <v/>
      </c>
      <c r="P1028">
        <f>Raw_Data!P1028</f>
        <v/>
      </c>
      <c r="Q1028">
        <f>YEAR(B1028)</f>
        <v/>
      </c>
      <c r="R1028">
        <f>TEXT(B1028,"mmm")</f>
        <v/>
      </c>
      <c r="S1028" s="15">
        <f>IFERROR(N1028/L1028,0)</f>
        <v/>
      </c>
    </row>
    <row r="1029">
      <c r="A1029">
        <f>Raw_Data!A1029</f>
        <v/>
      </c>
      <c r="B1029" s="11">
        <f>Raw_Data!B1029</f>
        <v/>
      </c>
      <c r="C1029">
        <f>Raw_Data!C1029</f>
        <v/>
      </c>
      <c r="D1029">
        <f>Raw_Data!D1029</f>
        <v/>
      </c>
      <c r="E1029">
        <f>Raw_Data!E1029</f>
        <v/>
      </c>
      <c r="F1029">
        <f>Raw_Data!F1029</f>
        <v/>
      </c>
      <c r="G1029">
        <f>Raw_Data!G1029</f>
        <v/>
      </c>
      <c r="H1029">
        <f>Raw_Data!H1029</f>
        <v/>
      </c>
      <c r="I1029">
        <f>Raw_Data!I1029</f>
        <v/>
      </c>
      <c r="J1029" s="12">
        <f>Raw_Data!J1029</f>
        <v/>
      </c>
      <c r="K1029" s="13">
        <f>Raw_Data!K1029</f>
        <v/>
      </c>
      <c r="L1029" s="12">
        <f>Raw_Data!L1029</f>
        <v/>
      </c>
      <c r="M1029" s="12">
        <f>Raw_Data!M1029</f>
        <v/>
      </c>
      <c r="N1029" s="12">
        <f>Raw_Data!N1029</f>
        <v/>
      </c>
      <c r="O1029">
        <f>Raw_Data!O1029</f>
        <v/>
      </c>
      <c r="P1029">
        <f>Raw_Data!P1029</f>
        <v/>
      </c>
      <c r="Q1029">
        <f>YEAR(B1029)</f>
        <v/>
      </c>
      <c r="R1029">
        <f>TEXT(B1029,"mmm")</f>
        <v/>
      </c>
      <c r="S1029" s="15">
        <f>IFERROR(N1029/L1029,0)</f>
        <v/>
      </c>
    </row>
    <row r="1030">
      <c r="A1030">
        <f>Raw_Data!A1030</f>
        <v/>
      </c>
      <c r="B1030" s="11">
        <f>Raw_Data!B1030</f>
        <v/>
      </c>
      <c r="C1030">
        <f>Raw_Data!C1030</f>
        <v/>
      </c>
      <c r="D1030">
        <f>Raw_Data!D1030</f>
        <v/>
      </c>
      <c r="E1030">
        <f>Raw_Data!E1030</f>
        <v/>
      </c>
      <c r="F1030">
        <f>Raw_Data!F1030</f>
        <v/>
      </c>
      <c r="G1030">
        <f>Raw_Data!G1030</f>
        <v/>
      </c>
      <c r="H1030">
        <f>Raw_Data!H1030</f>
        <v/>
      </c>
      <c r="I1030">
        <f>Raw_Data!I1030</f>
        <v/>
      </c>
      <c r="J1030" s="12">
        <f>Raw_Data!J1030</f>
        <v/>
      </c>
      <c r="K1030" s="13">
        <f>Raw_Data!K1030</f>
        <v/>
      </c>
      <c r="L1030" s="12">
        <f>Raw_Data!L1030</f>
        <v/>
      </c>
      <c r="M1030" s="12">
        <f>Raw_Data!M1030</f>
        <v/>
      </c>
      <c r="N1030" s="12">
        <f>Raw_Data!N1030</f>
        <v/>
      </c>
      <c r="O1030">
        <f>Raw_Data!O1030</f>
        <v/>
      </c>
      <c r="P1030">
        <f>Raw_Data!P1030</f>
        <v/>
      </c>
      <c r="Q1030">
        <f>YEAR(B1030)</f>
        <v/>
      </c>
      <c r="R1030">
        <f>TEXT(B1030,"mmm")</f>
        <v/>
      </c>
      <c r="S1030" s="15">
        <f>IFERROR(N1030/L1030,0)</f>
        <v/>
      </c>
    </row>
    <row r="1031">
      <c r="A1031">
        <f>Raw_Data!A1031</f>
        <v/>
      </c>
      <c r="B1031" s="11">
        <f>Raw_Data!B1031</f>
        <v/>
      </c>
      <c r="C1031">
        <f>Raw_Data!C1031</f>
        <v/>
      </c>
      <c r="D1031">
        <f>Raw_Data!D1031</f>
        <v/>
      </c>
      <c r="E1031">
        <f>Raw_Data!E1031</f>
        <v/>
      </c>
      <c r="F1031">
        <f>Raw_Data!F1031</f>
        <v/>
      </c>
      <c r="G1031">
        <f>Raw_Data!G1031</f>
        <v/>
      </c>
      <c r="H1031">
        <f>Raw_Data!H1031</f>
        <v/>
      </c>
      <c r="I1031">
        <f>Raw_Data!I1031</f>
        <v/>
      </c>
      <c r="J1031" s="12">
        <f>Raw_Data!J1031</f>
        <v/>
      </c>
      <c r="K1031" s="13">
        <f>Raw_Data!K1031</f>
        <v/>
      </c>
      <c r="L1031" s="12">
        <f>Raw_Data!L1031</f>
        <v/>
      </c>
      <c r="M1031" s="12">
        <f>Raw_Data!M1031</f>
        <v/>
      </c>
      <c r="N1031" s="12">
        <f>Raw_Data!N1031</f>
        <v/>
      </c>
      <c r="O1031">
        <f>Raw_Data!O1031</f>
        <v/>
      </c>
      <c r="P1031">
        <f>Raw_Data!P1031</f>
        <v/>
      </c>
      <c r="Q1031">
        <f>YEAR(B1031)</f>
        <v/>
      </c>
      <c r="R1031">
        <f>TEXT(B1031,"mmm")</f>
        <v/>
      </c>
      <c r="S1031" s="15">
        <f>IFERROR(N1031/L1031,0)</f>
        <v/>
      </c>
    </row>
    <row r="1032">
      <c r="A1032">
        <f>Raw_Data!A1032</f>
        <v/>
      </c>
      <c r="B1032" s="11">
        <f>Raw_Data!B1032</f>
        <v/>
      </c>
      <c r="C1032">
        <f>Raw_Data!C1032</f>
        <v/>
      </c>
      <c r="D1032">
        <f>Raw_Data!D1032</f>
        <v/>
      </c>
      <c r="E1032">
        <f>Raw_Data!E1032</f>
        <v/>
      </c>
      <c r="F1032">
        <f>Raw_Data!F1032</f>
        <v/>
      </c>
      <c r="G1032">
        <f>Raw_Data!G1032</f>
        <v/>
      </c>
      <c r="H1032">
        <f>Raw_Data!H1032</f>
        <v/>
      </c>
      <c r="I1032">
        <f>Raw_Data!I1032</f>
        <v/>
      </c>
      <c r="J1032" s="12">
        <f>Raw_Data!J1032</f>
        <v/>
      </c>
      <c r="K1032" s="13">
        <f>Raw_Data!K1032</f>
        <v/>
      </c>
      <c r="L1032" s="12">
        <f>Raw_Data!L1032</f>
        <v/>
      </c>
      <c r="M1032" s="12">
        <f>Raw_Data!M1032</f>
        <v/>
      </c>
      <c r="N1032" s="12">
        <f>Raw_Data!N1032</f>
        <v/>
      </c>
      <c r="O1032">
        <f>Raw_Data!O1032</f>
        <v/>
      </c>
      <c r="P1032">
        <f>Raw_Data!P1032</f>
        <v/>
      </c>
      <c r="Q1032">
        <f>YEAR(B1032)</f>
        <v/>
      </c>
      <c r="R1032">
        <f>TEXT(B1032,"mmm")</f>
        <v/>
      </c>
      <c r="S1032" s="15">
        <f>IFERROR(N1032/L1032,0)</f>
        <v/>
      </c>
    </row>
    <row r="1033">
      <c r="A1033">
        <f>Raw_Data!A1033</f>
        <v/>
      </c>
      <c r="B1033" s="11">
        <f>Raw_Data!B1033</f>
        <v/>
      </c>
      <c r="C1033">
        <f>Raw_Data!C1033</f>
        <v/>
      </c>
      <c r="D1033">
        <f>Raw_Data!D1033</f>
        <v/>
      </c>
      <c r="E1033">
        <f>Raw_Data!E1033</f>
        <v/>
      </c>
      <c r="F1033">
        <f>Raw_Data!F1033</f>
        <v/>
      </c>
      <c r="G1033">
        <f>Raw_Data!G1033</f>
        <v/>
      </c>
      <c r="H1033">
        <f>Raw_Data!H1033</f>
        <v/>
      </c>
      <c r="I1033">
        <f>Raw_Data!I1033</f>
        <v/>
      </c>
      <c r="J1033" s="12">
        <f>Raw_Data!J1033</f>
        <v/>
      </c>
      <c r="K1033" s="13">
        <f>Raw_Data!K1033</f>
        <v/>
      </c>
      <c r="L1033" s="12">
        <f>Raw_Data!L1033</f>
        <v/>
      </c>
      <c r="M1033" s="12">
        <f>Raw_Data!M1033</f>
        <v/>
      </c>
      <c r="N1033" s="12">
        <f>Raw_Data!N1033</f>
        <v/>
      </c>
      <c r="O1033">
        <f>Raw_Data!O1033</f>
        <v/>
      </c>
      <c r="P1033">
        <f>Raw_Data!P1033</f>
        <v/>
      </c>
      <c r="Q1033">
        <f>YEAR(B1033)</f>
        <v/>
      </c>
      <c r="R1033">
        <f>TEXT(B1033,"mmm")</f>
        <v/>
      </c>
      <c r="S1033" s="15">
        <f>IFERROR(N1033/L1033,0)</f>
        <v/>
      </c>
    </row>
    <row r="1034">
      <c r="A1034">
        <f>Raw_Data!A1034</f>
        <v/>
      </c>
      <c r="B1034" s="11">
        <f>Raw_Data!B1034</f>
        <v/>
      </c>
      <c r="C1034">
        <f>Raw_Data!C1034</f>
        <v/>
      </c>
      <c r="D1034">
        <f>Raw_Data!D1034</f>
        <v/>
      </c>
      <c r="E1034">
        <f>Raw_Data!E1034</f>
        <v/>
      </c>
      <c r="F1034">
        <f>Raw_Data!F1034</f>
        <v/>
      </c>
      <c r="G1034">
        <f>Raw_Data!G1034</f>
        <v/>
      </c>
      <c r="H1034">
        <f>Raw_Data!H1034</f>
        <v/>
      </c>
      <c r="I1034">
        <f>Raw_Data!I1034</f>
        <v/>
      </c>
      <c r="J1034" s="12">
        <f>Raw_Data!J1034</f>
        <v/>
      </c>
      <c r="K1034" s="13">
        <f>Raw_Data!K1034</f>
        <v/>
      </c>
      <c r="L1034" s="12">
        <f>Raw_Data!L1034</f>
        <v/>
      </c>
      <c r="M1034" s="12">
        <f>Raw_Data!M1034</f>
        <v/>
      </c>
      <c r="N1034" s="12">
        <f>Raw_Data!N1034</f>
        <v/>
      </c>
      <c r="O1034">
        <f>Raw_Data!O1034</f>
        <v/>
      </c>
      <c r="P1034">
        <f>Raw_Data!P1034</f>
        <v/>
      </c>
      <c r="Q1034">
        <f>YEAR(B1034)</f>
        <v/>
      </c>
      <c r="R1034">
        <f>TEXT(B1034,"mmm")</f>
        <v/>
      </c>
      <c r="S1034" s="15">
        <f>IFERROR(N1034/L1034,0)</f>
        <v/>
      </c>
    </row>
    <row r="1035">
      <c r="A1035">
        <f>Raw_Data!A1035</f>
        <v/>
      </c>
      <c r="B1035" s="11">
        <f>Raw_Data!B1035</f>
        <v/>
      </c>
      <c r="C1035">
        <f>Raw_Data!C1035</f>
        <v/>
      </c>
      <c r="D1035">
        <f>Raw_Data!D1035</f>
        <v/>
      </c>
      <c r="E1035">
        <f>Raw_Data!E1035</f>
        <v/>
      </c>
      <c r="F1035">
        <f>Raw_Data!F1035</f>
        <v/>
      </c>
      <c r="G1035">
        <f>Raw_Data!G1035</f>
        <v/>
      </c>
      <c r="H1035">
        <f>Raw_Data!H1035</f>
        <v/>
      </c>
      <c r="I1035">
        <f>Raw_Data!I1035</f>
        <v/>
      </c>
      <c r="J1035" s="12">
        <f>Raw_Data!J1035</f>
        <v/>
      </c>
      <c r="K1035" s="13">
        <f>Raw_Data!K1035</f>
        <v/>
      </c>
      <c r="L1035" s="12">
        <f>Raw_Data!L1035</f>
        <v/>
      </c>
      <c r="M1035" s="12">
        <f>Raw_Data!M1035</f>
        <v/>
      </c>
      <c r="N1035" s="12">
        <f>Raw_Data!N1035</f>
        <v/>
      </c>
      <c r="O1035">
        <f>Raw_Data!O1035</f>
        <v/>
      </c>
      <c r="P1035">
        <f>Raw_Data!P1035</f>
        <v/>
      </c>
      <c r="Q1035">
        <f>YEAR(B1035)</f>
        <v/>
      </c>
      <c r="R1035">
        <f>TEXT(B1035,"mmm")</f>
        <v/>
      </c>
      <c r="S1035" s="15">
        <f>IFERROR(N1035/L1035,0)</f>
        <v/>
      </c>
    </row>
    <row r="1036">
      <c r="A1036">
        <f>Raw_Data!A1036</f>
        <v/>
      </c>
      <c r="B1036" s="11">
        <f>Raw_Data!B1036</f>
        <v/>
      </c>
      <c r="C1036">
        <f>Raw_Data!C1036</f>
        <v/>
      </c>
      <c r="D1036">
        <f>Raw_Data!D1036</f>
        <v/>
      </c>
      <c r="E1036">
        <f>Raw_Data!E1036</f>
        <v/>
      </c>
      <c r="F1036">
        <f>Raw_Data!F1036</f>
        <v/>
      </c>
      <c r="G1036">
        <f>Raw_Data!G1036</f>
        <v/>
      </c>
      <c r="H1036">
        <f>Raw_Data!H1036</f>
        <v/>
      </c>
      <c r="I1036">
        <f>Raw_Data!I1036</f>
        <v/>
      </c>
      <c r="J1036" s="12">
        <f>Raw_Data!J1036</f>
        <v/>
      </c>
      <c r="K1036" s="13">
        <f>Raw_Data!K1036</f>
        <v/>
      </c>
      <c r="L1036" s="12">
        <f>Raw_Data!L1036</f>
        <v/>
      </c>
      <c r="M1036" s="12">
        <f>Raw_Data!M1036</f>
        <v/>
      </c>
      <c r="N1036" s="12">
        <f>Raw_Data!N1036</f>
        <v/>
      </c>
      <c r="O1036">
        <f>Raw_Data!O1036</f>
        <v/>
      </c>
      <c r="P1036">
        <f>Raw_Data!P1036</f>
        <v/>
      </c>
      <c r="Q1036">
        <f>YEAR(B1036)</f>
        <v/>
      </c>
      <c r="R1036">
        <f>TEXT(B1036,"mmm")</f>
        <v/>
      </c>
      <c r="S1036" s="15">
        <f>IFERROR(N1036/L1036,0)</f>
        <v/>
      </c>
    </row>
    <row r="1037">
      <c r="A1037">
        <f>Raw_Data!A1037</f>
        <v/>
      </c>
      <c r="B1037" s="11">
        <f>Raw_Data!B1037</f>
        <v/>
      </c>
      <c r="C1037">
        <f>Raw_Data!C1037</f>
        <v/>
      </c>
      <c r="D1037">
        <f>Raw_Data!D1037</f>
        <v/>
      </c>
      <c r="E1037">
        <f>Raw_Data!E1037</f>
        <v/>
      </c>
      <c r="F1037">
        <f>Raw_Data!F1037</f>
        <v/>
      </c>
      <c r="G1037">
        <f>Raw_Data!G1037</f>
        <v/>
      </c>
      <c r="H1037">
        <f>Raw_Data!H1037</f>
        <v/>
      </c>
      <c r="I1037">
        <f>Raw_Data!I1037</f>
        <v/>
      </c>
      <c r="J1037" s="12">
        <f>Raw_Data!J1037</f>
        <v/>
      </c>
      <c r="K1037" s="13">
        <f>Raw_Data!K1037</f>
        <v/>
      </c>
      <c r="L1037" s="12">
        <f>Raw_Data!L1037</f>
        <v/>
      </c>
      <c r="M1037" s="12">
        <f>Raw_Data!M1037</f>
        <v/>
      </c>
      <c r="N1037" s="12">
        <f>Raw_Data!N1037</f>
        <v/>
      </c>
      <c r="O1037">
        <f>Raw_Data!O1037</f>
        <v/>
      </c>
      <c r="P1037">
        <f>Raw_Data!P1037</f>
        <v/>
      </c>
      <c r="Q1037">
        <f>YEAR(B1037)</f>
        <v/>
      </c>
      <c r="R1037">
        <f>TEXT(B1037,"mmm")</f>
        <v/>
      </c>
      <c r="S1037" s="15">
        <f>IFERROR(N1037/L1037,0)</f>
        <v/>
      </c>
    </row>
    <row r="1038">
      <c r="A1038">
        <f>Raw_Data!A1038</f>
        <v/>
      </c>
      <c r="B1038" s="11">
        <f>Raw_Data!B1038</f>
        <v/>
      </c>
      <c r="C1038">
        <f>Raw_Data!C1038</f>
        <v/>
      </c>
      <c r="D1038">
        <f>Raw_Data!D1038</f>
        <v/>
      </c>
      <c r="E1038">
        <f>Raw_Data!E1038</f>
        <v/>
      </c>
      <c r="F1038">
        <f>Raw_Data!F1038</f>
        <v/>
      </c>
      <c r="G1038">
        <f>Raw_Data!G1038</f>
        <v/>
      </c>
      <c r="H1038">
        <f>Raw_Data!H1038</f>
        <v/>
      </c>
      <c r="I1038">
        <f>Raw_Data!I1038</f>
        <v/>
      </c>
      <c r="J1038" s="12">
        <f>Raw_Data!J1038</f>
        <v/>
      </c>
      <c r="K1038" s="13">
        <f>Raw_Data!K1038</f>
        <v/>
      </c>
      <c r="L1038" s="12">
        <f>Raw_Data!L1038</f>
        <v/>
      </c>
      <c r="M1038" s="12">
        <f>Raw_Data!M1038</f>
        <v/>
      </c>
      <c r="N1038" s="12">
        <f>Raw_Data!N1038</f>
        <v/>
      </c>
      <c r="O1038">
        <f>Raw_Data!O1038</f>
        <v/>
      </c>
      <c r="P1038">
        <f>Raw_Data!P1038</f>
        <v/>
      </c>
      <c r="Q1038">
        <f>YEAR(B1038)</f>
        <v/>
      </c>
      <c r="R1038">
        <f>TEXT(B1038,"mmm")</f>
        <v/>
      </c>
      <c r="S1038" s="15">
        <f>IFERROR(N1038/L1038,0)</f>
        <v/>
      </c>
    </row>
    <row r="1039">
      <c r="A1039">
        <f>Raw_Data!A1039</f>
        <v/>
      </c>
      <c r="B1039" s="11">
        <f>Raw_Data!B1039</f>
        <v/>
      </c>
      <c r="C1039">
        <f>Raw_Data!C1039</f>
        <v/>
      </c>
      <c r="D1039">
        <f>Raw_Data!D1039</f>
        <v/>
      </c>
      <c r="E1039">
        <f>Raw_Data!E1039</f>
        <v/>
      </c>
      <c r="F1039">
        <f>Raw_Data!F1039</f>
        <v/>
      </c>
      <c r="G1039">
        <f>Raw_Data!G1039</f>
        <v/>
      </c>
      <c r="H1039">
        <f>Raw_Data!H1039</f>
        <v/>
      </c>
      <c r="I1039">
        <f>Raw_Data!I1039</f>
        <v/>
      </c>
      <c r="J1039" s="12">
        <f>Raw_Data!J1039</f>
        <v/>
      </c>
      <c r="K1039" s="13">
        <f>Raw_Data!K1039</f>
        <v/>
      </c>
      <c r="L1039" s="12">
        <f>Raw_Data!L1039</f>
        <v/>
      </c>
      <c r="M1039" s="12">
        <f>Raw_Data!M1039</f>
        <v/>
      </c>
      <c r="N1039" s="12">
        <f>Raw_Data!N1039</f>
        <v/>
      </c>
      <c r="O1039">
        <f>Raw_Data!O1039</f>
        <v/>
      </c>
      <c r="P1039">
        <f>Raw_Data!P1039</f>
        <v/>
      </c>
      <c r="Q1039">
        <f>YEAR(B1039)</f>
        <v/>
      </c>
      <c r="R1039">
        <f>TEXT(B1039,"mmm")</f>
        <v/>
      </c>
      <c r="S1039" s="15">
        <f>IFERROR(N1039/L1039,0)</f>
        <v/>
      </c>
    </row>
    <row r="1040">
      <c r="A1040">
        <f>Raw_Data!A1040</f>
        <v/>
      </c>
      <c r="B1040" s="11">
        <f>Raw_Data!B1040</f>
        <v/>
      </c>
      <c r="C1040">
        <f>Raw_Data!C1040</f>
        <v/>
      </c>
      <c r="D1040">
        <f>Raw_Data!D1040</f>
        <v/>
      </c>
      <c r="E1040">
        <f>Raw_Data!E1040</f>
        <v/>
      </c>
      <c r="F1040">
        <f>Raw_Data!F1040</f>
        <v/>
      </c>
      <c r="G1040">
        <f>Raw_Data!G1040</f>
        <v/>
      </c>
      <c r="H1040">
        <f>Raw_Data!H1040</f>
        <v/>
      </c>
      <c r="I1040">
        <f>Raw_Data!I1040</f>
        <v/>
      </c>
      <c r="J1040" s="12">
        <f>Raw_Data!J1040</f>
        <v/>
      </c>
      <c r="K1040" s="13">
        <f>Raw_Data!K1040</f>
        <v/>
      </c>
      <c r="L1040" s="12">
        <f>Raw_Data!L1040</f>
        <v/>
      </c>
      <c r="M1040" s="12">
        <f>Raw_Data!M1040</f>
        <v/>
      </c>
      <c r="N1040" s="12">
        <f>Raw_Data!N1040</f>
        <v/>
      </c>
      <c r="O1040">
        <f>Raw_Data!O1040</f>
        <v/>
      </c>
      <c r="P1040">
        <f>Raw_Data!P1040</f>
        <v/>
      </c>
      <c r="Q1040">
        <f>YEAR(B1040)</f>
        <v/>
      </c>
      <c r="R1040">
        <f>TEXT(B1040,"mmm")</f>
        <v/>
      </c>
      <c r="S1040" s="15">
        <f>IFERROR(N1040/L1040,0)</f>
        <v/>
      </c>
    </row>
    <row r="1041">
      <c r="A1041">
        <f>Raw_Data!A1041</f>
        <v/>
      </c>
      <c r="B1041" s="11">
        <f>Raw_Data!B1041</f>
        <v/>
      </c>
      <c r="C1041">
        <f>Raw_Data!C1041</f>
        <v/>
      </c>
      <c r="D1041">
        <f>Raw_Data!D1041</f>
        <v/>
      </c>
      <c r="E1041">
        <f>Raw_Data!E1041</f>
        <v/>
      </c>
      <c r="F1041">
        <f>Raw_Data!F1041</f>
        <v/>
      </c>
      <c r="G1041">
        <f>Raw_Data!G1041</f>
        <v/>
      </c>
      <c r="H1041">
        <f>Raw_Data!H1041</f>
        <v/>
      </c>
      <c r="I1041">
        <f>Raw_Data!I1041</f>
        <v/>
      </c>
      <c r="J1041" s="12">
        <f>Raw_Data!J1041</f>
        <v/>
      </c>
      <c r="K1041" s="13">
        <f>Raw_Data!K1041</f>
        <v/>
      </c>
      <c r="L1041" s="12">
        <f>Raw_Data!L1041</f>
        <v/>
      </c>
      <c r="M1041" s="12">
        <f>Raw_Data!M1041</f>
        <v/>
      </c>
      <c r="N1041" s="12">
        <f>Raw_Data!N1041</f>
        <v/>
      </c>
      <c r="O1041">
        <f>Raw_Data!O1041</f>
        <v/>
      </c>
      <c r="P1041">
        <f>Raw_Data!P1041</f>
        <v/>
      </c>
      <c r="Q1041">
        <f>YEAR(B1041)</f>
        <v/>
      </c>
      <c r="R1041">
        <f>TEXT(B1041,"mmm")</f>
        <v/>
      </c>
      <c r="S1041" s="15">
        <f>IFERROR(N1041/L1041,0)</f>
        <v/>
      </c>
    </row>
    <row r="1042">
      <c r="A1042">
        <f>Raw_Data!A1042</f>
        <v/>
      </c>
      <c r="B1042" s="11">
        <f>Raw_Data!B1042</f>
        <v/>
      </c>
      <c r="C1042">
        <f>Raw_Data!C1042</f>
        <v/>
      </c>
      <c r="D1042">
        <f>Raw_Data!D1042</f>
        <v/>
      </c>
      <c r="E1042">
        <f>Raw_Data!E1042</f>
        <v/>
      </c>
      <c r="F1042">
        <f>Raw_Data!F1042</f>
        <v/>
      </c>
      <c r="G1042">
        <f>Raw_Data!G1042</f>
        <v/>
      </c>
      <c r="H1042">
        <f>Raw_Data!H1042</f>
        <v/>
      </c>
      <c r="I1042">
        <f>Raw_Data!I1042</f>
        <v/>
      </c>
      <c r="J1042" s="12">
        <f>Raw_Data!J1042</f>
        <v/>
      </c>
      <c r="K1042" s="13">
        <f>Raw_Data!K1042</f>
        <v/>
      </c>
      <c r="L1042" s="12">
        <f>Raw_Data!L1042</f>
        <v/>
      </c>
      <c r="M1042" s="12">
        <f>Raw_Data!M1042</f>
        <v/>
      </c>
      <c r="N1042" s="12">
        <f>Raw_Data!N1042</f>
        <v/>
      </c>
      <c r="O1042">
        <f>Raw_Data!O1042</f>
        <v/>
      </c>
      <c r="P1042">
        <f>Raw_Data!P1042</f>
        <v/>
      </c>
      <c r="Q1042">
        <f>YEAR(B1042)</f>
        <v/>
      </c>
      <c r="R1042">
        <f>TEXT(B1042,"mmm")</f>
        <v/>
      </c>
      <c r="S1042" s="15">
        <f>IFERROR(N1042/L1042,0)</f>
        <v/>
      </c>
    </row>
    <row r="1043">
      <c r="A1043">
        <f>Raw_Data!A1043</f>
        <v/>
      </c>
      <c r="B1043" s="11">
        <f>Raw_Data!B1043</f>
        <v/>
      </c>
      <c r="C1043">
        <f>Raw_Data!C1043</f>
        <v/>
      </c>
      <c r="D1043">
        <f>Raw_Data!D1043</f>
        <v/>
      </c>
      <c r="E1043">
        <f>Raw_Data!E1043</f>
        <v/>
      </c>
      <c r="F1043">
        <f>Raw_Data!F1043</f>
        <v/>
      </c>
      <c r="G1043">
        <f>Raw_Data!G1043</f>
        <v/>
      </c>
      <c r="H1043">
        <f>Raw_Data!H1043</f>
        <v/>
      </c>
      <c r="I1043">
        <f>Raw_Data!I1043</f>
        <v/>
      </c>
      <c r="J1043" s="12">
        <f>Raw_Data!J1043</f>
        <v/>
      </c>
      <c r="K1043" s="13">
        <f>Raw_Data!K1043</f>
        <v/>
      </c>
      <c r="L1043" s="12">
        <f>Raw_Data!L1043</f>
        <v/>
      </c>
      <c r="M1043" s="12">
        <f>Raw_Data!M1043</f>
        <v/>
      </c>
      <c r="N1043" s="12">
        <f>Raw_Data!N1043</f>
        <v/>
      </c>
      <c r="O1043">
        <f>Raw_Data!O1043</f>
        <v/>
      </c>
      <c r="P1043">
        <f>Raw_Data!P1043</f>
        <v/>
      </c>
      <c r="Q1043">
        <f>YEAR(B1043)</f>
        <v/>
      </c>
      <c r="R1043">
        <f>TEXT(B1043,"mmm")</f>
        <v/>
      </c>
      <c r="S1043" s="15">
        <f>IFERROR(N1043/L1043,0)</f>
        <v/>
      </c>
    </row>
    <row r="1044">
      <c r="A1044">
        <f>Raw_Data!A1044</f>
        <v/>
      </c>
      <c r="B1044" s="11">
        <f>Raw_Data!B1044</f>
        <v/>
      </c>
      <c r="C1044">
        <f>Raw_Data!C1044</f>
        <v/>
      </c>
      <c r="D1044">
        <f>Raw_Data!D1044</f>
        <v/>
      </c>
      <c r="E1044">
        <f>Raw_Data!E1044</f>
        <v/>
      </c>
      <c r="F1044">
        <f>Raw_Data!F1044</f>
        <v/>
      </c>
      <c r="G1044">
        <f>Raw_Data!G1044</f>
        <v/>
      </c>
      <c r="H1044">
        <f>Raw_Data!H1044</f>
        <v/>
      </c>
      <c r="I1044">
        <f>Raw_Data!I1044</f>
        <v/>
      </c>
      <c r="J1044" s="12">
        <f>Raw_Data!J1044</f>
        <v/>
      </c>
      <c r="K1044" s="13">
        <f>Raw_Data!K1044</f>
        <v/>
      </c>
      <c r="L1044" s="12">
        <f>Raw_Data!L1044</f>
        <v/>
      </c>
      <c r="M1044" s="12">
        <f>Raw_Data!M1044</f>
        <v/>
      </c>
      <c r="N1044" s="12">
        <f>Raw_Data!N1044</f>
        <v/>
      </c>
      <c r="O1044">
        <f>Raw_Data!O1044</f>
        <v/>
      </c>
      <c r="P1044">
        <f>Raw_Data!P1044</f>
        <v/>
      </c>
      <c r="Q1044">
        <f>YEAR(B1044)</f>
        <v/>
      </c>
      <c r="R1044">
        <f>TEXT(B1044,"mmm")</f>
        <v/>
      </c>
      <c r="S1044" s="15">
        <f>IFERROR(N1044/L1044,0)</f>
        <v/>
      </c>
    </row>
    <row r="1045">
      <c r="A1045">
        <f>Raw_Data!A1045</f>
        <v/>
      </c>
      <c r="B1045" s="11">
        <f>Raw_Data!B1045</f>
        <v/>
      </c>
      <c r="C1045">
        <f>Raw_Data!C1045</f>
        <v/>
      </c>
      <c r="D1045">
        <f>Raw_Data!D1045</f>
        <v/>
      </c>
      <c r="E1045">
        <f>Raw_Data!E1045</f>
        <v/>
      </c>
      <c r="F1045">
        <f>Raw_Data!F1045</f>
        <v/>
      </c>
      <c r="G1045">
        <f>Raw_Data!G1045</f>
        <v/>
      </c>
      <c r="H1045">
        <f>Raw_Data!H1045</f>
        <v/>
      </c>
      <c r="I1045">
        <f>Raw_Data!I1045</f>
        <v/>
      </c>
      <c r="J1045" s="12">
        <f>Raw_Data!J1045</f>
        <v/>
      </c>
      <c r="K1045" s="13">
        <f>Raw_Data!K1045</f>
        <v/>
      </c>
      <c r="L1045" s="12">
        <f>Raw_Data!L1045</f>
        <v/>
      </c>
      <c r="M1045" s="12">
        <f>Raw_Data!M1045</f>
        <v/>
      </c>
      <c r="N1045" s="12">
        <f>Raw_Data!N1045</f>
        <v/>
      </c>
      <c r="O1045">
        <f>Raw_Data!O1045</f>
        <v/>
      </c>
      <c r="P1045">
        <f>Raw_Data!P1045</f>
        <v/>
      </c>
      <c r="Q1045">
        <f>YEAR(B1045)</f>
        <v/>
      </c>
      <c r="R1045">
        <f>TEXT(B1045,"mmm")</f>
        <v/>
      </c>
      <c r="S1045" s="15">
        <f>IFERROR(N1045/L1045,0)</f>
        <v/>
      </c>
    </row>
    <row r="1046">
      <c r="A1046">
        <f>Raw_Data!A1046</f>
        <v/>
      </c>
      <c r="B1046" s="11">
        <f>Raw_Data!B1046</f>
        <v/>
      </c>
      <c r="C1046">
        <f>Raw_Data!C1046</f>
        <v/>
      </c>
      <c r="D1046">
        <f>Raw_Data!D1046</f>
        <v/>
      </c>
      <c r="E1046">
        <f>Raw_Data!E1046</f>
        <v/>
      </c>
      <c r="F1046">
        <f>Raw_Data!F1046</f>
        <v/>
      </c>
      <c r="G1046">
        <f>Raw_Data!G1046</f>
        <v/>
      </c>
      <c r="H1046">
        <f>Raw_Data!H1046</f>
        <v/>
      </c>
      <c r="I1046">
        <f>Raw_Data!I1046</f>
        <v/>
      </c>
      <c r="J1046" s="12">
        <f>Raw_Data!J1046</f>
        <v/>
      </c>
      <c r="K1046" s="13">
        <f>Raw_Data!K1046</f>
        <v/>
      </c>
      <c r="L1046" s="12">
        <f>Raw_Data!L1046</f>
        <v/>
      </c>
      <c r="M1046" s="12">
        <f>Raw_Data!M1046</f>
        <v/>
      </c>
      <c r="N1046" s="12">
        <f>Raw_Data!N1046</f>
        <v/>
      </c>
      <c r="O1046">
        <f>Raw_Data!O1046</f>
        <v/>
      </c>
      <c r="P1046">
        <f>Raw_Data!P1046</f>
        <v/>
      </c>
      <c r="Q1046">
        <f>YEAR(B1046)</f>
        <v/>
      </c>
      <c r="R1046">
        <f>TEXT(B1046,"mmm")</f>
        <v/>
      </c>
      <c r="S1046" s="15">
        <f>IFERROR(N1046/L1046,0)</f>
        <v/>
      </c>
    </row>
    <row r="1047">
      <c r="A1047">
        <f>Raw_Data!A1047</f>
        <v/>
      </c>
      <c r="B1047" s="11">
        <f>Raw_Data!B1047</f>
        <v/>
      </c>
      <c r="C1047">
        <f>Raw_Data!C1047</f>
        <v/>
      </c>
      <c r="D1047">
        <f>Raw_Data!D1047</f>
        <v/>
      </c>
      <c r="E1047">
        <f>Raw_Data!E1047</f>
        <v/>
      </c>
      <c r="F1047">
        <f>Raw_Data!F1047</f>
        <v/>
      </c>
      <c r="G1047">
        <f>Raw_Data!G1047</f>
        <v/>
      </c>
      <c r="H1047">
        <f>Raw_Data!H1047</f>
        <v/>
      </c>
      <c r="I1047">
        <f>Raw_Data!I1047</f>
        <v/>
      </c>
      <c r="J1047" s="12">
        <f>Raw_Data!J1047</f>
        <v/>
      </c>
      <c r="K1047" s="13">
        <f>Raw_Data!K1047</f>
        <v/>
      </c>
      <c r="L1047" s="12">
        <f>Raw_Data!L1047</f>
        <v/>
      </c>
      <c r="M1047" s="12">
        <f>Raw_Data!M1047</f>
        <v/>
      </c>
      <c r="N1047" s="12">
        <f>Raw_Data!N1047</f>
        <v/>
      </c>
      <c r="O1047">
        <f>Raw_Data!O1047</f>
        <v/>
      </c>
      <c r="P1047">
        <f>Raw_Data!P1047</f>
        <v/>
      </c>
      <c r="Q1047">
        <f>YEAR(B1047)</f>
        <v/>
      </c>
      <c r="R1047">
        <f>TEXT(B1047,"mmm")</f>
        <v/>
      </c>
      <c r="S1047" s="15">
        <f>IFERROR(N1047/L1047,0)</f>
        <v/>
      </c>
    </row>
    <row r="1048">
      <c r="A1048">
        <f>Raw_Data!A1048</f>
        <v/>
      </c>
      <c r="B1048" s="11">
        <f>Raw_Data!B1048</f>
        <v/>
      </c>
      <c r="C1048">
        <f>Raw_Data!C1048</f>
        <v/>
      </c>
      <c r="D1048">
        <f>Raw_Data!D1048</f>
        <v/>
      </c>
      <c r="E1048">
        <f>Raw_Data!E1048</f>
        <v/>
      </c>
      <c r="F1048">
        <f>Raw_Data!F1048</f>
        <v/>
      </c>
      <c r="G1048">
        <f>Raw_Data!G1048</f>
        <v/>
      </c>
      <c r="H1048">
        <f>Raw_Data!H1048</f>
        <v/>
      </c>
      <c r="I1048">
        <f>Raw_Data!I1048</f>
        <v/>
      </c>
      <c r="J1048" s="12">
        <f>Raw_Data!J1048</f>
        <v/>
      </c>
      <c r="K1048" s="13">
        <f>Raw_Data!K1048</f>
        <v/>
      </c>
      <c r="L1048" s="12">
        <f>Raw_Data!L1048</f>
        <v/>
      </c>
      <c r="M1048" s="12">
        <f>Raw_Data!M1048</f>
        <v/>
      </c>
      <c r="N1048" s="12">
        <f>Raw_Data!N1048</f>
        <v/>
      </c>
      <c r="O1048">
        <f>Raw_Data!O1048</f>
        <v/>
      </c>
      <c r="P1048">
        <f>Raw_Data!P1048</f>
        <v/>
      </c>
      <c r="Q1048">
        <f>YEAR(B1048)</f>
        <v/>
      </c>
      <c r="R1048">
        <f>TEXT(B1048,"mmm")</f>
        <v/>
      </c>
      <c r="S1048" s="15">
        <f>IFERROR(N1048/L1048,0)</f>
        <v/>
      </c>
    </row>
    <row r="1049">
      <c r="A1049">
        <f>Raw_Data!A1049</f>
        <v/>
      </c>
      <c r="B1049" s="11">
        <f>Raw_Data!B1049</f>
        <v/>
      </c>
      <c r="C1049">
        <f>Raw_Data!C1049</f>
        <v/>
      </c>
      <c r="D1049">
        <f>Raw_Data!D1049</f>
        <v/>
      </c>
      <c r="E1049">
        <f>Raw_Data!E1049</f>
        <v/>
      </c>
      <c r="F1049">
        <f>Raw_Data!F1049</f>
        <v/>
      </c>
      <c r="G1049">
        <f>Raw_Data!G1049</f>
        <v/>
      </c>
      <c r="H1049">
        <f>Raw_Data!H1049</f>
        <v/>
      </c>
      <c r="I1049">
        <f>Raw_Data!I1049</f>
        <v/>
      </c>
      <c r="J1049" s="12">
        <f>Raw_Data!J1049</f>
        <v/>
      </c>
      <c r="K1049" s="13">
        <f>Raw_Data!K1049</f>
        <v/>
      </c>
      <c r="L1049" s="12">
        <f>Raw_Data!L1049</f>
        <v/>
      </c>
      <c r="M1049" s="12">
        <f>Raw_Data!M1049</f>
        <v/>
      </c>
      <c r="N1049" s="12">
        <f>Raw_Data!N1049</f>
        <v/>
      </c>
      <c r="O1049">
        <f>Raw_Data!O1049</f>
        <v/>
      </c>
      <c r="P1049">
        <f>Raw_Data!P1049</f>
        <v/>
      </c>
      <c r="Q1049">
        <f>YEAR(B1049)</f>
        <v/>
      </c>
      <c r="R1049">
        <f>TEXT(B1049,"mmm")</f>
        <v/>
      </c>
      <c r="S1049" s="15">
        <f>IFERROR(N1049/L1049,0)</f>
        <v/>
      </c>
    </row>
    <row r="1050">
      <c r="A1050">
        <f>Raw_Data!A1050</f>
        <v/>
      </c>
      <c r="B1050" s="11">
        <f>Raw_Data!B1050</f>
        <v/>
      </c>
      <c r="C1050">
        <f>Raw_Data!C1050</f>
        <v/>
      </c>
      <c r="D1050">
        <f>Raw_Data!D1050</f>
        <v/>
      </c>
      <c r="E1050">
        <f>Raw_Data!E1050</f>
        <v/>
      </c>
      <c r="F1050">
        <f>Raw_Data!F1050</f>
        <v/>
      </c>
      <c r="G1050">
        <f>Raw_Data!G1050</f>
        <v/>
      </c>
      <c r="H1050">
        <f>Raw_Data!H1050</f>
        <v/>
      </c>
      <c r="I1050">
        <f>Raw_Data!I1050</f>
        <v/>
      </c>
      <c r="J1050" s="12">
        <f>Raw_Data!J1050</f>
        <v/>
      </c>
      <c r="K1050" s="13">
        <f>Raw_Data!K1050</f>
        <v/>
      </c>
      <c r="L1050" s="12">
        <f>Raw_Data!L1050</f>
        <v/>
      </c>
      <c r="M1050" s="12">
        <f>Raw_Data!M1050</f>
        <v/>
      </c>
      <c r="N1050" s="12">
        <f>Raw_Data!N1050</f>
        <v/>
      </c>
      <c r="O1050">
        <f>Raw_Data!O1050</f>
        <v/>
      </c>
      <c r="P1050">
        <f>Raw_Data!P1050</f>
        <v/>
      </c>
      <c r="Q1050">
        <f>YEAR(B1050)</f>
        <v/>
      </c>
      <c r="R1050">
        <f>TEXT(B1050,"mmm")</f>
        <v/>
      </c>
      <c r="S1050" s="15">
        <f>IFERROR(N1050/L1050,0)</f>
        <v/>
      </c>
    </row>
    <row r="1051">
      <c r="A1051">
        <f>Raw_Data!A1051</f>
        <v/>
      </c>
      <c r="B1051" s="11">
        <f>Raw_Data!B1051</f>
        <v/>
      </c>
      <c r="C1051">
        <f>Raw_Data!C1051</f>
        <v/>
      </c>
      <c r="D1051">
        <f>Raw_Data!D1051</f>
        <v/>
      </c>
      <c r="E1051">
        <f>Raw_Data!E1051</f>
        <v/>
      </c>
      <c r="F1051">
        <f>Raw_Data!F1051</f>
        <v/>
      </c>
      <c r="G1051">
        <f>Raw_Data!G1051</f>
        <v/>
      </c>
      <c r="H1051">
        <f>Raw_Data!H1051</f>
        <v/>
      </c>
      <c r="I1051">
        <f>Raw_Data!I1051</f>
        <v/>
      </c>
      <c r="J1051" s="12">
        <f>Raw_Data!J1051</f>
        <v/>
      </c>
      <c r="K1051" s="13">
        <f>Raw_Data!K1051</f>
        <v/>
      </c>
      <c r="L1051" s="12">
        <f>Raw_Data!L1051</f>
        <v/>
      </c>
      <c r="M1051" s="12">
        <f>Raw_Data!M1051</f>
        <v/>
      </c>
      <c r="N1051" s="12">
        <f>Raw_Data!N1051</f>
        <v/>
      </c>
      <c r="O1051">
        <f>Raw_Data!O1051</f>
        <v/>
      </c>
      <c r="P1051">
        <f>Raw_Data!P1051</f>
        <v/>
      </c>
      <c r="Q1051">
        <f>YEAR(B1051)</f>
        <v/>
      </c>
      <c r="R1051">
        <f>TEXT(B1051,"mmm")</f>
        <v/>
      </c>
      <c r="S1051" s="15">
        <f>IFERROR(N1051/L1051,0)</f>
        <v/>
      </c>
    </row>
    <row r="1052">
      <c r="A1052">
        <f>Raw_Data!A1052</f>
        <v/>
      </c>
      <c r="B1052" s="11">
        <f>Raw_Data!B1052</f>
        <v/>
      </c>
      <c r="C1052">
        <f>Raw_Data!C1052</f>
        <v/>
      </c>
      <c r="D1052">
        <f>Raw_Data!D1052</f>
        <v/>
      </c>
      <c r="E1052">
        <f>Raw_Data!E1052</f>
        <v/>
      </c>
      <c r="F1052">
        <f>Raw_Data!F1052</f>
        <v/>
      </c>
      <c r="G1052">
        <f>Raw_Data!G1052</f>
        <v/>
      </c>
      <c r="H1052">
        <f>Raw_Data!H1052</f>
        <v/>
      </c>
      <c r="I1052">
        <f>Raw_Data!I1052</f>
        <v/>
      </c>
      <c r="J1052" s="12">
        <f>Raw_Data!J1052</f>
        <v/>
      </c>
      <c r="K1052" s="13">
        <f>Raw_Data!K1052</f>
        <v/>
      </c>
      <c r="L1052" s="12">
        <f>Raw_Data!L1052</f>
        <v/>
      </c>
      <c r="M1052" s="12">
        <f>Raw_Data!M1052</f>
        <v/>
      </c>
      <c r="N1052" s="12">
        <f>Raw_Data!N1052</f>
        <v/>
      </c>
      <c r="O1052">
        <f>Raw_Data!O1052</f>
        <v/>
      </c>
      <c r="P1052">
        <f>Raw_Data!P1052</f>
        <v/>
      </c>
      <c r="Q1052">
        <f>YEAR(B1052)</f>
        <v/>
      </c>
      <c r="R1052">
        <f>TEXT(B1052,"mmm")</f>
        <v/>
      </c>
      <c r="S1052" s="15">
        <f>IFERROR(N1052/L1052,0)</f>
        <v/>
      </c>
    </row>
    <row r="1053">
      <c r="A1053">
        <f>Raw_Data!A1053</f>
        <v/>
      </c>
      <c r="B1053" s="11">
        <f>Raw_Data!B1053</f>
        <v/>
      </c>
      <c r="C1053">
        <f>Raw_Data!C1053</f>
        <v/>
      </c>
      <c r="D1053">
        <f>Raw_Data!D1053</f>
        <v/>
      </c>
      <c r="E1053">
        <f>Raw_Data!E1053</f>
        <v/>
      </c>
      <c r="F1053">
        <f>Raw_Data!F1053</f>
        <v/>
      </c>
      <c r="G1053">
        <f>Raw_Data!G1053</f>
        <v/>
      </c>
      <c r="H1053">
        <f>Raw_Data!H1053</f>
        <v/>
      </c>
      <c r="I1053">
        <f>Raw_Data!I1053</f>
        <v/>
      </c>
      <c r="J1053" s="12">
        <f>Raw_Data!J1053</f>
        <v/>
      </c>
      <c r="K1053" s="13">
        <f>Raw_Data!K1053</f>
        <v/>
      </c>
      <c r="L1053" s="12">
        <f>Raw_Data!L1053</f>
        <v/>
      </c>
      <c r="M1053" s="12">
        <f>Raw_Data!M1053</f>
        <v/>
      </c>
      <c r="N1053" s="12">
        <f>Raw_Data!N1053</f>
        <v/>
      </c>
      <c r="O1053">
        <f>Raw_Data!O1053</f>
        <v/>
      </c>
      <c r="P1053">
        <f>Raw_Data!P1053</f>
        <v/>
      </c>
      <c r="Q1053">
        <f>YEAR(B1053)</f>
        <v/>
      </c>
      <c r="R1053">
        <f>TEXT(B1053,"mmm")</f>
        <v/>
      </c>
      <c r="S1053" s="15">
        <f>IFERROR(N1053/L1053,0)</f>
        <v/>
      </c>
    </row>
    <row r="1054">
      <c r="A1054">
        <f>Raw_Data!A1054</f>
        <v/>
      </c>
      <c r="B1054" s="11">
        <f>Raw_Data!B1054</f>
        <v/>
      </c>
      <c r="C1054">
        <f>Raw_Data!C1054</f>
        <v/>
      </c>
      <c r="D1054">
        <f>Raw_Data!D1054</f>
        <v/>
      </c>
      <c r="E1054">
        <f>Raw_Data!E1054</f>
        <v/>
      </c>
      <c r="F1054">
        <f>Raw_Data!F1054</f>
        <v/>
      </c>
      <c r="G1054">
        <f>Raw_Data!G1054</f>
        <v/>
      </c>
      <c r="H1054">
        <f>Raw_Data!H1054</f>
        <v/>
      </c>
      <c r="I1054">
        <f>Raw_Data!I1054</f>
        <v/>
      </c>
      <c r="J1054" s="12">
        <f>Raw_Data!J1054</f>
        <v/>
      </c>
      <c r="K1054" s="13">
        <f>Raw_Data!K1054</f>
        <v/>
      </c>
      <c r="L1054" s="12">
        <f>Raw_Data!L1054</f>
        <v/>
      </c>
      <c r="M1054" s="12">
        <f>Raw_Data!M1054</f>
        <v/>
      </c>
      <c r="N1054" s="12">
        <f>Raw_Data!N1054</f>
        <v/>
      </c>
      <c r="O1054">
        <f>Raw_Data!O1054</f>
        <v/>
      </c>
      <c r="P1054">
        <f>Raw_Data!P1054</f>
        <v/>
      </c>
      <c r="Q1054">
        <f>YEAR(B1054)</f>
        <v/>
      </c>
      <c r="R1054">
        <f>TEXT(B1054,"mmm")</f>
        <v/>
      </c>
      <c r="S1054" s="15">
        <f>IFERROR(N1054/L1054,0)</f>
        <v/>
      </c>
    </row>
    <row r="1055">
      <c r="A1055">
        <f>Raw_Data!A1055</f>
        <v/>
      </c>
      <c r="B1055" s="11">
        <f>Raw_Data!B1055</f>
        <v/>
      </c>
      <c r="C1055">
        <f>Raw_Data!C1055</f>
        <v/>
      </c>
      <c r="D1055">
        <f>Raw_Data!D1055</f>
        <v/>
      </c>
      <c r="E1055">
        <f>Raw_Data!E1055</f>
        <v/>
      </c>
      <c r="F1055">
        <f>Raw_Data!F1055</f>
        <v/>
      </c>
      <c r="G1055">
        <f>Raw_Data!G1055</f>
        <v/>
      </c>
      <c r="H1055">
        <f>Raw_Data!H1055</f>
        <v/>
      </c>
      <c r="I1055">
        <f>Raw_Data!I1055</f>
        <v/>
      </c>
      <c r="J1055" s="12">
        <f>Raw_Data!J1055</f>
        <v/>
      </c>
      <c r="K1055" s="13">
        <f>Raw_Data!K1055</f>
        <v/>
      </c>
      <c r="L1055" s="12">
        <f>Raw_Data!L1055</f>
        <v/>
      </c>
      <c r="M1055" s="12">
        <f>Raw_Data!M1055</f>
        <v/>
      </c>
      <c r="N1055" s="12">
        <f>Raw_Data!N1055</f>
        <v/>
      </c>
      <c r="O1055">
        <f>Raw_Data!O1055</f>
        <v/>
      </c>
      <c r="P1055">
        <f>Raw_Data!P1055</f>
        <v/>
      </c>
      <c r="Q1055">
        <f>YEAR(B1055)</f>
        <v/>
      </c>
      <c r="R1055">
        <f>TEXT(B1055,"mmm")</f>
        <v/>
      </c>
      <c r="S1055" s="15">
        <f>IFERROR(N1055/L1055,0)</f>
        <v/>
      </c>
    </row>
    <row r="1056">
      <c r="A1056">
        <f>Raw_Data!A1056</f>
        <v/>
      </c>
      <c r="B1056" s="11">
        <f>Raw_Data!B1056</f>
        <v/>
      </c>
      <c r="C1056">
        <f>Raw_Data!C1056</f>
        <v/>
      </c>
      <c r="D1056">
        <f>Raw_Data!D1056</f>
        <v/>
      </c>
      <c r="E1056">
        <f>Raw_Data!E1056</f>
        <v/>
      </c>
      <c r="F1056">
        <f>Raw_Data!F1056</f>
        <v/>
      </c>
      <c r="G1056">
        <f>Raw_Data!G1056</f>
        <v/>
      </c>
      <c r="H1056">
        <f>Raw_Data!H1056</f>
        <v/>
      </c>
      <c r="I1056">
        <f>Raw_Data!I1056</f>
        <v/>
      </c>
      <c r="J1056" s="12">
        <f>Raw_Data!J1056</f>
        <v/>
      </c>
      <c r="K1056" s="13">
        <f>Raw_Data!K1056</f>
        <v/>
      </c>
      <c r="L1056" s="12">
        <f>Raw_Data!L1056</f>
        <v/>
      </c>
      <c r="M1056" s="12">
        <f>Raw_Data!M1056</f>
        <v/>
      </c>
      <c r="N1056" s="12">
        <f>Raw_Data!N1056</f>
        <v/>
      </c>
      <c r="O1056">
        <f>Raw_Data!O1056</f>
        <v/>
      </c>
      <c r="P1056">
        <f>Raw_Data!P1056</f>
        <v/>
      </c>
      <c r="Q1056">
        <f>YEAR(B1056)</f>
        <v/>
      </c>
      <c r="R1056">
        <f>TEXT(B1056,"mmm")</f>
        <v/>
      </c>
      <c r="S1056" s="15">
        <f>IFERROR(N1056/L1056,0)</f>
        <v/>
      </c>
    </row>
    <row r="1057">
      <c r="A1057">
        <f>Raw_Data!A1057</f>
        <v/>
      </c>
      <c r="B1057" s="11">
        <f>Raw_Data!B1057</f>
        <v/>
      </c>
      <c r="C1057">
        <f>Raw_Data!C1057</f>
        <v/>
      </c>
      <c r="D1057">
        <f>Raw_Data!D1057</f>
        <v/>
      </c>
      <c r="E1057">
        <f>Raw_Data!E1057</f>
        <v/>
      </c>
      <c r="F1057">
        <f>Raw_Data!F1057</f>
        <v/>
      </c>
      <c r="G1057">
        <f>Raw_Data!G1057</f>
        <v/>
      </c>
      <c r="H1057">
        <f>Raw_Data!H1057</f>
        <v/>
      </c>
      <c r="I1057">
        <f>Raw_Data!I1057</f>
        <v/>
      </c>
      <c r="J1057" s="12">
        <f>Raw_Data!J1057</f>
        <v/>
      </c>
      <c r="K1057" s="13">
        <f>Raw_Data!K1057</f>
        <v/>
      </c>
      <c r="L1057" s="12">
        <f>Raw_Data!L1057</f>
        <v/>
      </c>
      <c r="M1057" s="12">
        <f>Raw_Data!M1057</f>
        <v/>
      </c>
      <c r="N1057" s="12">
        <f>Raw_Data!N1057</f>
        <v/>
      </c>
      <c r="O1057">
        <f>Raw_Data!O1057</f>
        <v/>
      </c>
      <c r="P1057">
        <f>Raw_Data!P1057</f>
        <v/>
      </c>
      <c r="Q1057">
        <f>YEAR(B1057)</f>
        <v/>
      </c>
      <c r="R1057">
        <f>TEXT(B1057,"mmm")</f>
        <v/>
      </c>
      <c r="S1057" s="15">
        <f>IFERROR(N1057/L1057,0)</f>
        <v/>
      </c>
    </row>
    <row r="1058">
      <c r="A1058">
        <f>Raw_Data!A1058</f>
        <v/>
      </c>
      <c r="B1058" s="11">
        <f>Raw_Data!B1058</f>
        <v/>
      </c>
      <c r="C1058">
        <f>Raw_Data!C1058</f>
        <v/>
      </c>
      <c r="D1058">
        <f>Raw_Data!D1058</f>
        <v/>
      </c>
      <c r="E1058">
        <f>Raw_Data!E1058</f>
        <v/>
      </c>
      <c r="F1058">
        <f>Raw_Data!F1058</f>
        <v/>
      </c>
      <c r="G1058">
        <f>Raw_Data!G1058</f>
        <v/>
      </c>
      <c r="H1058">
        <f>Raw_Data!H1058</f>
        <v/>
      </c>
      <c r="I1058">
        <f>Raw_Data!I1058</f>
        <v/>
      </c>
      <c r="J1058" s="12">
        <f>Raw_Data!J1058</f>
        <v/>
      </c>
      <c r="K1058" s="13">
        <f>Raw_Data!K1058</f>
        <v/>
      </c>
      <c r="L1058" s="12">
        <f>Raw_Data!L1058</f>
        <v/>
      </c>
      <c r="M1058" s="12">
        <f>Raw_Data!M1058</f>
        <v/>
      </c>
      <c r="N1058" s="12">
        <f>Raw_Data!N1058</f>
        <v/>
      </c>
      <c r="O1058">
        <f>Raw_Data!O1058</f>
        <v/>
      </c>
      <c r="P1058">
        <f>Raw_Data!P1058</f>
        <v/>
      </c>
      <c r="Q1058">
        <f>YEAR(B1058)</f>
        <v/>
      </c>
      <c r="R1058">
        <f>TEXT(B1058,"mmm")</f>
        <v/>
      </c>
      <c r="S1058" s="15">
        <f>IFERROR(N1058/L1058,0)</f>
        <v/>
      </c>
    </row>
    <row r="1059">
      <c r="A1059">
        <f>Raw_Data!A1059</f>
        <v/>
      </c>
      <c r="B1059" s="11">
        <f>Raw_Data!B1059</f>
        <v/>
      </c>
      <c r="C1059">
        <f>Raw_Data!C1059</f>
        <v/>
      </c>
      <c r="D1059">
        <f>Raw_Data!D1059</f>
        <v/>
      </c>
      <c r="E1059">
        <f>Raw_Data!E1059</f>
        <v/>
      </c>
      <c r="F1059">
        <f>Raw_Data!F1059</f>
        <v/>
      </c>
      <c r="G1059">
        <f>Raw_Data!G1059</f>
        <v/>
      </c>
      <c r="H1059">
        <f>Raw_Data!H1059</f>
        <v/>
      </c>
      <c r="I1059">
        <f>Raw_Data!I1059</f>
        <v/>
      </c>
      <c r="J1059" s="12">
        <f>Raw_Data!J1059</f>
        <v/>
      </c>
      <c r="K1059" s="13">
        <f>Raw_Data!K1059</f>
        <v/>
      </c>
      <c r="L1059" s="12">
        <f>Raw_Data!L1059</f>
        <v/>
      </c>
      <c r="M1059" s="12">
        <f>Raw_Data!M1059</f>
        <v/>
      </c>
      <c r="N1059" s="12">
        <f>Raw_Data!N1059</f>
        <v/>
      </c>
      <c r="O1059">
        <f>Raw_Data!O1059</f>
        <v/>
      </c>
      <c r="P1059">
        <f>Raw_Data!P1059</f>
        <v/>
      </c>
      <c r="Q1059">
        <f>YEAR(B1059)</f>
        <v/>
      </c>
      <c r="R1059">
        <f>TEXT(B1059,"mmm")</f>
        <v/>
      </c>
      <c r="S1059" s="15">
        <f>IFERROR(N1059/L1059,0)</f>
        <v/>
      </c>
    </row>
    <row r="1060">
      <c r="A1060">
        <f>Raw_Data!A1060</f>
        <v/>
      </c>
      <c r="B1060" s="11">
        <f>Raw_Data!B1060</f>
        <v/>
      </c>
      <c r="C1060">
        <f>Raw_Data!C1060</f>
        <v/>
      </c>
      <c r="D1060">
        <f>Raw_Data!D1060</f>
        <v/>
      </c>
      <c r="E1060">
        <f>Raw_Data!E1060</f>
        <v/>
      </c>
      <c r="F1060">
        <f>Raw_Data!F1060</f>
        <v/>
      </c>
      <c r="G1060">
        <f>Raw_Data!G1060</f>
        <v/>
      </c>
      <c r="H1060">
        <f>Raw_Data!H1060</f>
        <v/>
      </c>
      <c r="I1060">
        <f>Raw_Data!I1060</f>
        <v/>
      </c>
      <c r="J1060" s="12">
        <f>Raw_Data!J1060</f>
        <v/>
      </c>
      <c r="K1060" s="13">
        <f>Raw_Data!K1060</f>
        <v/>
      </c>
      <c r="L1060" s="12">
        <f>Raw_Data!L1060</f>
        <v/>
      </c>
      <c r="M1060" s="12">
        <f>Raw_Data!M1060</f>
        <v/>
      </c>
      <c r="N1060" s="12">
        <f>Raw_Data!N1060</f>
        <v/>
      </c>
      <c r="O1060">
        <f>Raw_Data!O1060</f>
        <v/>
      </c>
      <c r="P1060">
        <f>Raw_Data!P1060</f>
        <v/>
      </c>
      <c r="Q1060">
        <f>YEAR(B1060)</f>
        <v/>
      </c>
      <c r="R1060">
        <f>TEXT(B1060,"mmm")</f>
        <v/>
      </c>
      <c r="S1060" s="15">
        <f>IFERROR(N1060/L1060,0)</f>
        <v/>
      </c>
    </row>
    <row r="1061">
      <c r="A1061">
        <f>Raw_Data!A1061</f>
        <v/>
      </c>
      <c r="B1061" s="11">
        <f>Raw_Data!B1061</f>
        <v/>
      </c>
      <c r="C1061">
        <f>Raw_Data!C1061</f>
        <v/>
      </c>
      <c r="D1061">
        <f>Raw_Data!D1061</f>
        <v/>
      </c>
      <c r="E1061">
        <f>Raw_Data!E1061</f>
        <v/>
      </c>
      <c r="F1061">
        <f>Raw_Data!F1061</f>
        <v/>
      </c>
      <c r="G1061">
        <f>Raw_Data!G1061</f>
        <v/>
      </c>
      <c r="H1061">
        <f>Raw_Data!H1061</f>
        <v/>
      </c>
      <c r="I1061">
        <f>Raw_Data!I1061</f>
        <v/>
      </c>
      <c r="J1061" s="12">
        <f>Raw_Data!J1061</f>
        <v/>
      </c>
      <c r="K1061" s="13">
        <f>Raw_Data!K1061</f>
        <v/>
      </c>
      <c r="L1061" s="12">
        <f>Raw_Data!L1061</f>
        <v/>
      </c>
      <c r="M1061" s="12">
        <f>Raw_Data!M1061</f>
        <v/>
      </c>
      <c r="N1061" s="12">
        <f>Raw_Data!N1061</f>
        <v/>
      </c>
      <c r="O1061">
        <f>Raw_Data!O1061</f>
        <v/>
      </c>
      <c r="P1061">
        <f>Raw_Data!P1061</f>
        <v/>
      </c>
      <c r="Q1061">
        <f>YEAR(B1061)</f>
        <v/>
      </c>
      <c r="R1061">
        <f>TEXT(B1061,"mmm")</f>
        <v/>
      </c>
      <c r="S1061" s="15">
        <f>IFERROR(N1061/L1061,0)</f>
        <v/>
      </c>
    </row>
    <row r="1062">
      <c r="A1062">
        <f>Raw_Data!A1062</f>
        <v/>
      </c>
      <c r="B1062" s="11">
        <f>Raw_Data!B1062</f>
        <v/>
      </c>
      <c r="C1062">
        <f>Raw_Data!C1062</f>
        <v/>
      </c>
      <c r="D1062">
        <f>Raw_Data!D1062</f>
        <v/>
      </c>
      <c r="E1062">
        <f>Raw_Data!E1062</f>
        <v/>
      </c>
      <c r="F1062">
        <f>Raw_Data!F1062</f>
        <v/>
      </c>
      <c r="G1062">
        <f>Raw_Data!G1062</f>
        <v/>
      </c>
      <c r="H1062">
        <f>Raw_Data!H1062</f>
        <v/>
      </c>
      <c r="I1062">
        <f>Raw_Data!I1062</f>
        <v/>
      </c>
      <c r="J1062" s="12">
        <f>Raw_Data!J1062</f>
        <v/>
      </c>
      <c r="K1062" s="13">
        <f>Raw_Data!K1062</f>
        <v/>
      </c>
      <c r="L1062" s="12">
        <f>Raw_Data!L1062</f>
        <v/>
      </c>
      <c r="M1062" s="12">
        <f>Raw_Data!M1062</f>
        <v/>
      </c>
      <c r="N1062" s="12">
        <f>Raw_Data!N1062</f>
        <v/>
      </c>
      <c r="O1062">
        <f>Raw_Data!O1062</f>
        <v/>
      </c>
      <c r="P1062">
        <f>Raw_Data!P1062</f>
        <v/>
      </c>
      <c r="Q1062">
        <f>YEAR(B1062)</f>
        <v/>
      </c>
      <c r="R1062">
        <f>TEXT(B1062,"mmm")</f>
        <v/>
      </c>
      <c r="S1062" s="15">
        <f>IFERROR(N1062/L1062,0)</f>
        <v/>
      </c>
    </row>
    <row r="1063">
      <c r="A1063">
        <f>Raw_Data!A1063</f>
        <v/>
      </c>
      <c r="B1063" s="11">
        <f>Raw_Data!B1063</f>
        <v/>
      </c>
      <c r="C1063">
        <f>Raw_Data!C1063</f>
        <v/>
      </c>
      <c r="D1063">
        <f>Raw_Data!D1063</f>
        <v/>
      </c>
      <c r="E1063">
        <f>Raw_Data!E1063</f>
        <v/>
      </c>
      <c r="F1063">
        <f>Raw_Data!F1063</f>
        <v/>
      </c>
      <c r="G1063">
        <f>Raw_Data!G1063</f>
        <v/>
      </c>
      <c r="H1063">
        <f>Raw_Data!H1063</f>
        <v/>
      </c>
      <c r="I1063">
        <f>Raw_Data!I1063</f>
        <v/>
      </c>
      <c r="J1063" s="12">
        <f>Raw_Data!J1063</f>
        <v/>
      </c>
      <c r="K1063" s="13">
        <f>Raw_Data!K1063</f>
        <v/>
      </c>
      <c r="L1063" s="12">
        <f>Raw_Data!L1063</f>
        <v/>
      </c>
      <c r="M1063" s="12">
        <f>Raw_Data!M1063</f>
        <v/>
      </c>
      <c r="N1063" s="12">
        <f>Raw_Data!N1063</f>
        <v/>
      </c>
      <c r="O1063">
        <f>Raw_Data!O1063</f>
        <v/>
      </c>
      <c r="P1063">
        <f>Raw_Data!P1063</f>
        <v/>
      </c>
      <c r="Q1063">
        <f>YEAR(B1063)</f>
        <v/>
      </c>
      <c r="R1063">
        <f>TEXT(B1063,"mmm")</f>
        <v/>
      </c>
      <c r="S1063" s="15">
        <f>IFERROR(N1063/L1063,0)</f>
        <v/>
      </c>
    </row>
    <row r="1064">
      <c r="A1064">
        <f>Raw_Data!A1064</f>
        <v/>
      </c>
      <c r="B1064" s="11">
        <f>Raw_Data!B1064</f>
        <v/>
      </c>
      <c r="C1064">
        <f>Raw_Data!C1064</f>
        <v/>
      </c>
      <c r="D1064">
        <f>Raw_Data!D1064</f>
        <v/>
      </c>
      <c r="E1064">
        <f>Raw_Data!E1064</f>
        <v/>
      </c>
      <c r="F1064">
        <f>Raw_Data!F1064</f>
        <v/>
      </c>
      <c r="G1064">
        <f>Raw_Data!G1064</f>
        <v/>
      </c>
      <c r="H1064">
        <f>Raw_Data!H1064</f>
        <v/>
      </c>
      <c r="I1064">
        <f>Raw_Data!I1064</f>
        <v/>
      </c>
      <c r="J1064" s="12">
        <f>Raw_Data!J1064</f>
        <v/>
      </c>
      <c r="K1064" s="13">
        <f>Raw_Data!K1064</f>
        <v/>
      </c>
      <c r="L1064" s="12">
        <f>Raw_Data!L1064</f>
        <v/>
      </c>
      <c r="M1064" s="12">
        <f>Raw_Data!M1064</f>
        <v/>
      </c>
      <c r="N1064" s="12">
        <f>Raw_Data!N1064</f>
        <v/>
      </c>
      <c r="O1064">
        <f>Raw_Data!O1064</f>
        <v/>
      </c>
      <c r="P1064">
        <f>Raw_Data!P1064</f>
        <v/>
      </c>
      <c r="Q1064">
        <f>YEAR(B1064)</f>
        <v/>
      </c>
      <c r="R1064">
        <f>TEXT(B1064,"mmm")</f>
        <v/>
      </c>
      <c r="S1064" s="15">
        <f>IFERROR(N1064/L1064,0)</f>
        <v/>
      </c>
    </row>
    <row r="1065">
      <c r="A1065">
        <f>Raw_Data!A1065</f>
        <v/>
      </c>
      <c r="B1065" s="11">
        <f>Raw_Data!B1065</f>
        <v/>
      </c>
      <c r="C1065">
        <f>Raw_Data!C1065</f>
        <v/>
      </c>
      <c r="D1065">
        <f>Raw_Data!D1065</f>
        <v/>
      </c>
      <c r="E1065">
        <f>Raw_Data!E1065</f>
        <v/>
      </c>
      <c r="F1065">
        <f>Raw_Data!F1065</f>
        <v/>
      </c>
      <c r="G1065">
        <f>Raw_Data!G1065</f>
        <v/>
      </c>
      <c r="H1065">
        <f>Raw_Data!H1065</f>
        <v/>
      </c>
      <c r="I1065">
        <f>Raw_Data!I1065</f>
        <v/>
      </c>
      <c r="J1065" s="12">
        <f>Raw_Data!J1065</f>
        <v/>
      </c>
      <c r="K1065" s="13">
        <f>Raw_Data!K1065</f>
        <v/>
      </c>
      <c r="L1065" s="12">
        <f>Raw_Data!L1065</f>
        <v/>
      </c>
      <c r="M1065" s="12">
        <f>Raw_Data!M1065</f>
        <v/>
      </c>
      <c r="N1065" s="12">
        <f>Raw_Data!N1065</f>
        <v/>
      </c>
      <c r="O1065">
        <f>Raw_Data!O1065</f>
        <v/>
      </c>
      <c r="P1065">
        <f>Raw_Data!P1065</f>
        <v/>
      </c>
      <c r="Q1065">
        <f>YEAR(B1065)</f>
        <v/>
      </c>
      <c r="R1065">
        <f>TEXT(B1065,"mmm")</f>
        <v/>
      </c>
      <c r="S1065" s="15">
        <f>IFERROR(N1065/L1065,0)</f>
        <v/>
      </c>
    </row>
    <row r="1066">
      <c r="A1066">
        <f>Raw_Data!A1066</f>
        <v/>
      </c>
      <c r="B1066" s="11">
        <f>Raw_Data!B1066</f>
        <v/>
      </c>
      <c r="C1066">
        <f>Raw_Data!C1066</f>
        <v/>
      </c>
      <c r="D1066">
        <f>Raw_Data!D1066</f>
        <v/>
      </c>
      <c r="E1066">
        <f>Raw_Data!E1066</f>
        <v/>
      </c>
      <c r="F1066">
        <f>Raw_Data!F1066</f>
        <v/>
      </c>
      <c r="G1066">
        <f>Raw_Data!G1066</f>
        <v/>
      </c>
      <c r="H1066">
        <f>Raw_Data!H1066</f>
        <v/>
      </c>
      <c r="I1066">
        <f>Raw_Data!I1066</f>
        <v/>
      </c>
      <c r="J1066" s="12">
        <f>Raw_Data!J1066</f>
        <v/>
      </c>
      <c r="K1066" s="13">
        <f>Raw_Data!K1066</f>
        <v/>
      </c>
      <c r="L1066" s="12">
        <f>Raw_Data!L1066</f>
        <v/>
      </c>
      <c r="M1066" s="12">
        <f>Raw_Data!M1066</f>
        <v/>
      </c>
      <c r="N1066" s="12">
        <f>Raw_Data!N1066</f>
        <v/>
      </c>
      <c r="O1066">
        <f>Raw_Data!O1066</f>
        <v/>
      </c>
      <c r="P1066">
        <f>Raw_Data!P1066</f>
        <v/>
      </c>
      <c r="Q1066">
        <f>YEAR(B1066)</f>
        <v/>
      </c>
      <c r="R1066">
        <f>TEXT(B1066,"mmm")</f>
        <v/>
      </c>
      <c r="S1066" s="15">
        <f>IFERROR(N1066/L1066,0)</f>
        <v/>
      </c>
    </row>
    <row r="1067">
      <c r="A1067">
        <f>Raw_Data!A1067</f>
        <v/>
      </c>
      <c r="B1067" s="11">
        <f>Raw_Data!B1067</f>
        <v/>
      </c>
      <c r="C1067">
        <f>Raw_Data!C1067</f>
        <v/>
      </c>
      <c r="D1067">
        <f>Raw_Data!D1067</f>
        <v/>
      </c>
      <c r="E1067">
        <f>Raw_Data!E1067</f>
        <v/>
      </c>
      <c r="F1067">
        <f>Raw_Data!F1067</f>
        <v/>
      </c>
      <c r="G1067">
        <f>Raw_Data!G1067</f>
        <v/>
      </c>
      <c r="H1067">
        <f>Raw_Data!H1067</f>
        <v/>
      </c>
      <c r="I1067">
        <f>Raw_Data!I1067</f>
        <v/>
      </c>
      <c r="J1067" s="12">
        <f>Raw_Data!J1067</f>
        <v/>
      </c>
      <c r="K1067" s="13">
        <f>Raw_Data!K1067</f>
        <v/>
      </c>
      <c r="L1067" s="12">
        <f>Raw_Data!L1067</f>
        <v/>
      </c>
      <c r="M1067" s="12">
        <f>Raw_Data!M1067</f>
        <v/>
      </c>
      <c r="N1067" s="12">
        <f>Raw_Data!N1067</f>
        <v/>
      </c>
      <c r="O1067">
        <f>Raw_Data!O1067</f>
        <v/>
      </c>
      <c r="P1067">
        <f>Raw_Data!P1067</f>
        <v/>
      </c>
      <c r="Q1067">
        <f>YEAR(B1067)</f>
        <v/>
      </c>
      <c r="R1067">
        <f>TEXT(B1067,"mmm")</f>
        <v/>
      </c>
      <c r="S1067" s="15">
        <f>IFERROR(N1067/L1067,0)</f>
        <v/>
      </c>
    </row>
    <row r="1068">
      <c r="A1068">
        <f>Raw_Data!A1068</f>
        <v/>
      </c>
      <c r="B1068" s="11">
        <f>Raw_Data!B1068</f>
        <v/>
      </c>
      <c r="C1068">
        <f>Raw_Data!C1068</f>
        <v/>
      </c>
      <c r="D1068">
        <f>Raw_Data!D1068</f>
        <v/>
      </c>
      <c r="E1068">
        <f>Raw_Data!E1068</f>
        <v/>
      </c>
      <c r="F1068">
        <f>Raw_Data!F1068</f>
        <v/>
      </c>
      <c r="G1068">
        <f>Raw_Data!G1068</f>
        <v/>
      </c>
      <c r="H1068">
        <f>Raw_Data!H1068</f>
        <v/>
      </c>
      <c r="I1068">
        <f>Raw_Data!I1068</f>
        <v/>
      </c>
      <c r="J1068" s="12">
        <f>Raw_Data!J1068</f>
        <v/>
      </c>
      <c r="K1068" s="13">
        <f>Raw_Data!K1068</f>
        <v/>
      </c>
      <c r="L1068" s="12">
        <f>Raw_Data!L1068</f>
        <v/>
      </c>
      <c r="M1068" s="12">
        <f>Raw_Data!M1068</f>
        <v/>
      </c>
      <c r="N1068" s="12">
        <f>Raw_Data!N1068</f>
        <v/>
      </c>
      <c r="O1068">
        <f>Raw_Data!O1068</f>
        <v/>
      </c>
      <c r="P1068">
        <f>Raw_Data!P1068</f>
        <v/>
      </c>
      <c r="Q1068">
        <f>YEAR(B1068)</f>
        <v/>
      </c>
      <c r="R1068">
        <f>TEXT(B1068,"mmm")</f>
        <v/>
      </c>
      <c r="S1068" s="15">
        <f>IFERROR(N1068/L1068,0)</f>
        <v/>
      </c>
    </row>
    <row r="1069">
      <c r="A1069">
        <f>Raw_Data!A1069</f>
        <v/>
      </c>
      <c r="B1069" s="11">
        <f>Raw_Data!B1069</f>
        <v/>
      </c>
      <c r="C1069">
        <f>Raw_Data!C1069</f>
        <v/>
      </c>
      <c r="D1069">
        <f>Raw_Data!D1069</f>
        <v/>
      </c>
      <c r="E1069">
        <f>Raw_Data!E1069</f>
        <v/>
      </c>
      <c r="F1069">
        <f>Raw_Data!F1069</f>
        <v/>
      </c>
      <c r="G1069">
        <f>Raw_Data!G1069</f>
        <v/>
      </c>
      <c r="H1069">
        <f>Raw_Data!H1069</f>
        <v/>
      </c>
      <c r="I1069">
        <f>Raw_Data!I1069</f>
        <v/>
      </c>
      <c r="J1069" s="12">
        <f>Raw_Data!J1069</f>
        <v/>
      </c>
      <c r="K1069" s="13">
        <f>Raw_Data!K1069</f>
        <v/>
      </c>
      <c r="L1069" s="12">
        <f>Raw_Data!L1069</f>
        <v/>
      </c>
      <c r="M1069" s="12">
        <f>Raw_Data!M1069</f>
        <v/>
      </c>
      <c r="N1069" s="12">
        <f>Raw_Data!N1069</f>
        <v/>
      </c>
      <c r="O1069">
        <f>Raw_Data!O1069</f>
        <v/>
      </c>
      <c r="P1069">
        <f>Raw_Data!P1069</f>
        <v/>
      </c>
      <c r="Q1069">
        <f>YEAR(B1069)</f>
        <v/>
      </c>
      <c r="R1069">
        <f>TEXT(B1069,"mmm")</f>
        <v/>
      </c>
      <c r="S1069" s="15">
        <f>IFERROR(N1069/L1069,0)</f>
        <v/>
      </c>
    </row>
    <row r="1070">
      <c r="A1070">
        <f>Raw_Data!A1070</f>
        <v/>
      </c>
      <c r="B1070" s="11">
        <f>Raw_Data!B1070</f>
        <v/>
      </c>
      <c r="C1070">
        <f>Raw_Data!C1070</f>
        <v/>
      </c>
      <c r="D1070">
        <f>Raw_Data!D1070</f>
        <v/>
      </c>
      <c r="E1070">
        <f>Raw_Data!E1070</f>
        <v/>
      </c>
      <c r="F1070">
        <f>Raw_Data!F1070</f>
        <v/>
      </c>
      <c r="G1070">
        <f>Raw_Data!G1070</f>
        <v/>
      </c>
      <c r="H1070">
        <f>Raw_Data!H1070</f>
        <v/>
      </c>
      <c r="I1070">
        <f>Raw_Data!I1070</f>
        <v/>
      </c>
      <c r="J1070" s="12">
        <f>Raw_Data!J1070</f>
        <v/>
      </c>
      <c r="K1070" s="13">
        <f>Raw_Data!K1070</f>
        <v/>
      </c>
      <c r="L1070" s="12">
        <f>Raw_Data!L1070</f>
        <v/>
      </c>
      <c r="M1070" s="12">
        <f>Raw_Data!M1070</f>
        <v/>
      </c>
      <c r="N1070" s="12">
        <f>Raw_Data!N1070</f>
        <v/>
      </c>
      <c r="O1070">
        <f>Raw_Data!O1070</f>
        <v/>
      </c>
      <c r="P1070">
        <f>Raw_Data!P1070</f>
        <v/>
      </c>
      <c r="Q1070">
        <f>YEAR(B1070)</f>
        <v/>
      </c>
      <c r="R1070">
        <f>TEXT(B1070,"mmm")</f>
        <v/>
      </c>
      <c r="S1070" s="15">
        <f>IFERROR(N1070/L1070,0)</f>
        <v/>
      </c>
    </row>
    <row r="1071">
      <c r="A1071">
        <f>Raw_Data!A1071</f>
        <v/>
      </c>
      <c r="B1071" s="11">
        <f>Raw_Data!B1071</f>
        <v/>
      </c>
      <c r="C1071">
        <f>Raw_Data!C1071</f>
        <v/>
      </c>
      <c r="D1071">
        <f>Raw_Data!D1071</f>
        <v/>
      </c>
      <c r="E1071">
        <f>Raw_Data!E1071</f>
        <v/>
      </c>
      <c r="F1071">
        <f>Raw_Data!F1071</f>
        <v/>
      </c>
      <c r="G1071">
        <f>Raw_Data!G1071</f>
        <v/>
      </c>
      <c r="H1071">
        <f>Raw_Data!H1071</f>
        <v/>
      </c>
      <c r="I1071">
        <f>Raw_Data!I1071</f>
        <v/>
      </c>
      <c r="J1071" s="12">
        <f>Raw_Data!J1071</f>
        <v/>
      </c>
      <c r="K1071" s="13">
        <f>Raw_Data!K1071</f>
        <v/>
      </c>
      <c r="L1071" s="12">
        <f>Raw_Data!L1071</f>
        <v/>
      </c>
      <c r="M1071" s="12">
        <f>Raw_Data!M1071</f>
        <v/>
      </c>
      <c r="N1071" s="12">
        <f>Raw_Data!N1071</f>
        <v/>
      </c>
      <c r="O1071">
        <f>Raw_Data!O1071</f>
        <v/>
      </c>
      <c r="P1071">
        <f>Raw_Data!P1071</f>
        <v/>
      </c>
      <c r="Q1071">
        <f>YEAR(B1071)</f>
        <v/>
      </c>
      <c r="R1071">
        <f>TEXT(B1071,"mmm")</f>
        <v/>
      </c>
      <c r="S1071" s="15">
        <f>IFERROR(N1071/L1071,0)</f>
        <v/>
      </c>
    </row>
    <row r="1072">
      <c r="A1072">
        <f>Raw_Data!A1072</f>
        <v/>
      </c>
      <c r="B1072" s="11">
        <f>Raw_Data!B1072</f>
        <v/>
      </c>
      <c r="C1072">
        <f>Raw_Data!C1072</f>
        <v/>
      </c>
      <c r="D1072">
        <f>Raw_Data!D1072</f>
        <v/>
      </c>
      <c r="E1072">
        <f>Raw_Data!E1072</f>
        <v/>
      </c>
      <c r="F1072">
        <f>Raw_Data!F1072</f>
        <v/>
      </c>
      <c r="G1072">
        <f>Raw_Data!G1072</f>
        <v/>
      </c>
      <c r="H1072">
        <f>Raw_Data!H1072</f>
        <v/>
      </c>
      <c r="I1072">
        <f>Raw_Data!I1072</f>
        <v/>
      </c>
      <c r="J1072" s="12">
        <f>Raw_Data!J1072</f>
        <v/>
      </c>
      <c r="K1072" s="13">
        <f>Raw_Data!K1072</f>
        <v/>
      </c>
      <c r="L1072" s="12">
        <f>Raw_Data!L1072</f>
        <v/>
      </c>
      <c r="M1072" s="12">
        <f>Raw_Data!M1072</f>
        <v/>
      </c>
      <c r="N1072" s="12">
        <f>Raw_Data!N1072</f>
        <v/>
      </c>
      <c r="O1072">
        <f>Raw_Data!O1072</f>
        <v/>
      </c>
      <c r="P1072">
        <f>Raw_Data!P1072</f>
        <v/>
      </c>
      <c r="Q1072">
        <f>YEAR(B1072)</f>
        <v/>
      </c>
      <c r="R1072">
        <f>TEXT(B1072,"mmm")</f>
        <v/>
      </c>
      <c r="S1072" s="15">
        <f>IFERROR(N1072/L1072,0)</f>
        <v/>
      </c>
    </row>
    <row r="1073">
      <c r="A1073">
        <f>Raw_Data!A1073</f>
        <v/>
      </c>
      <c r="B1073" s="11">
        <f>Raw_Data!B1073</f>
        <v/>
      </c>
      <c r="C1073">
        <f>Raw_Data!C1073</f>
        <v/>
      </c>
      <c r="D1073">
        <f>Raw_Data!D1073</f>
        <v/>
      </c>
      <c r="E1073">
        <f>Raw_Data!E1073</f>
        <v/>
      </c>
      <c r="F1073">
        <f>Raw_Data!F1073</f>
        <v/>
      </c>
      <c r="G1073">
        <f>Raw_Data!G1073</f>
        <v/>
      </c>
      <c r="H1073">
        <f>Raw_Data!H1073</f>
        <v/>
      </c>
      <c r="I1073">
        <f>Raw_Data!I1073</f>
        <v/>
      </c>
      <c r="J1073" s="12">
        <f>Raw_Data!J1073</f>
        <v/>
      </c>
      <c r="K1073" s="13">
        <f>Raw_Data!K1073</f>
        <v/>
      </c>
      <c r="L1073" s="12">
        <f>Raw_Data!L1073</f>
        <v/>
      </c>
      <c r="M1073" s="12">
        <f>Raw_Data!M1073</f>
        <v/>
      </c>
      <c r="N1073" s="12">
        <f>Raw_Data!N1073</f>
        <v/>
      </c>
      <c r="O1073">
        <f>Raw_Data!O1073</f>
        <v/>
      </c>
      <c r="P1073">
        <f>Raw_Data!P1073</f>
        <v/>
      </c>
      <c r="Q1073">
        <f>YEAR(B1073)</f>
        <v/>
      </c>
      <c r="R1073">
        <f>TEXT(B1073,"mmm")</f>
        <v/>
      </c>
      <c r="S1073" s="15">
        <f>IFERROR(N1073/L1073,0)</f>
        <v/>
      </c>
    </row>
    <row r="1074">
      <c r="A1074">
        <f>Raw_Data!A1074</f>
        <v/>
      </c>
      <c r="B1074" s="11">
        <f>Raw_Data!B1074</f>
        <v/>
      </c>
      <c r="C1074">
        <f>Raw_Data!C1074</f>
        <v/>
      </c>
      <c r="D1074">
        <f>Raw_Data!D1074</f>
        <v/>
      </c>
      <c r="E1074">
        <f>Raw_Data!E1074</f>
        <v/>
      </c>
      <c r="F1074">
        <f>Raw_Data!F1074</f>
        <v/>
      </c>
      <c r="G1074">
        <f>Raw_Data!G1074</f>
        <v/>
      </c>
      <c r="H1074">
        <f>Raw_Data!H1074</f>
        <v/>
      </c>
      <c r="I1074">
        <f>Raw_Data!I1074</f>
        <v/>
      </c>
      <c r="J1074" s="12">
        <f>Raw_Data!J1074</f>
        <v/>
      </c>
      <c r="K1074" s="13">
        <f>Raw_Data!K1074</f>
        <v/>
      </c>
      <c r="L1074" s="12">
        <f>Raw_Data!L1074</f>
        <v/>
      </c>
      <c r="M1074" s="12">
        <f>Raw_Data!M1074</f>
        <v/>
      </c>
      <c r="N1074" s="12">
        <f>Raw_Data!N1074</f>
        <v/>
      </c>
      <c r="O1074">
        <f>Raw_Data!O1074</f>
        <v/>
      </c>
      <c r="P1074">
        <f>Raw_Data!P1074</f>
        <v/>
      </c>
      <c r="Q1074">
        <f>YEAR(B1074)</f>
        <v/>
      </c>
      <c r="R1074">
        <f>TEXT(B1074,"mmm")</f>
        <v/>
      </c>
      <c r="S1074" s="15">
        <f>IFERROR(N1074/L1074,0)</f>
        <v/>
      </c>
    </row>
    <row r="1075">
      <c r="A1075">
        <f>Raw_Data!A1075</f>
        <v/>
      </c>
      <c r="B1075" s="11">
        <f>Raw_Data!B1075</f>
        <v/>
      </c>
      <c r="C1075">
        <f>Raw_Data!C1075</f>
        <v/>
      </c>
      <c r="D1075">
        <f>Raw_Data!D1075</f>
        <v/>
      </c>
      <c r="E1075">
        <f>Raw_Data!E1075</f>
        <v/>
      </c>
      <c r="F1075">
        <f>Raw_Data!F1075</f>
        <v/>
      </c>
      <c r="G1075">
        <f>Raw_Data!G1075</f>
        <v/>
      </c>
      <c r="H1075">
        <f>Raw_Data!H1075</f>
        <v/>
      </c>
      <c r="I1075">
        <f>Raw_Data!I1075</f>
        <v/>
      </c>
      <c r="J1075" s="12">
        <f>Raw_Data!J1075</f>
        <v/>
      </c>
      <c r="K1075" s="13">
        <f>Raw_Data!K1075</f>
        <v/>
      </c>
      <c r="L1075" s="12">
        <f>Raw_Data!L1075</f>
        <v/>
      </c>
      <c r="M1075" s="12">
        <f>Raw_Data!M1075</f>
        <v/>
      </c>
      <c r="N1075" s="12">
        <f>Raw_Data!N1075</f>
        <v/>
      </c>
      <c r="O1075">
        <f>Raw_Data!O1075</f>
        <v/>
      </c>
      <c r="P1075">
        <f>Raw_Data!P1075</f>
        <v/>
      </c>
      <c r="Q1075">
        <f>YEAR(B1075)</f>
        <v/>
      </c>
      <c r="R1075">
        <f>TEXT(B1075,"mmm")</f>
        <v/>
      </c>
      <c r="S1075" s="15">
        <f>IFERROR(N1075/L1075,0)</f>
        <v/>
      </c>
    </row>
    <row r="1076">
      <c r="A1076">
        <f>Raw_Data!A1076</f>
        <v/>
      </c>
      <c r="B1076" s="11">
        <f>Raw_Data!B1076</f>
        <v/>
      </c>
      <c r="C1076">
        <f>Raw_Data!C1076</f>
        <v/>
      </c>
      <c r="D1076">
        <f>Raw_Data!D1076</f>
        <v/>
      </c>
      <c r="E1076">
        <f>Raw_Data!E1076</f>
        <v/>
      </c>
      <c r="F1076">
        <f>Raw_Data!F1076</f>
        <v/>
      </c>
      <c r="G1076">
        <f>Raw_Data!G1076</f>
        <v/>
      </c>
      <c r="H1076">
        <f>Raw_Data!H1076</f>
        <v/>
      </c>
      <c r="I1076">
        <f>Raw_Data!I1076</f>
        <v/>
      </c>
      <c r="J1076" s="12">
        <f>Raw_Data!J1076</f>
        <v/>
      </c>
      <c r="K1076" s="13">
        <f>Raw_Data!K1076</f>
        <v/>
      </c>
      <c r="L1076" s="12">
        <f>Raw_Data!L1076</f>
        <v/>
      </c>
      <c r="M1076" s="12">
        <f>Raw_Data!M1076</f>
        <v/>
      </c>
      <c r="N1076" s="12">
        <f>Raw_Data!N1076</f>
        <v/>
      </c>
      <c r="O1076">
        <f>Raw_Data!O1076</f>
        <v/>
      </c>
      <c r="P1076">
        <f>Raw_Data!P1076</f>
        <v/>
      </c>
      <c r="Q1076">
        <f>YEAR(B1076)</f>
        <v/>
      </c>
      <c r="R1076">
        <f>TEXT(B1076,"mmm")</f>
        <v/>
      </c>
      <c r="S1076" s="15">
        <f>IFERROR(N1076/L1076,0)</f>
        <v/>
      </c>
    </row>
    <row r="1077">
      <c r="A1077">
        <f>Raw_Data!A1077</f>
        <v/>
      </c>
      <c r="B1077" s="11">
        <f>Raw_Data!B1077</f>
        <v/>
      </c>
      <c r="C1077">
        <f>Raw_Data!C1077</f>
        <v/>
      </c>
      <c r="D1077">
        <f>Raw_Data!D1077</f>
        <v/>
      </c>
      <c r="E1077">
        <f>Raw_Data!E1077</f>
        <v/>
      </c>
      <c r="F1077">
        <f>Raw_Data!F1077</f>
        <v/>
      </c>
      <c r="G1077">
        <f>Raw_Data!G1077</f>
        <v/>
      </c>
      <c r="H1077">
        <f>Raw_Data!H1077</f>
        <v/>
      </c>
      <c r="I1077">
        <f>Raw_Data!I1077</f>
        <v/>
      </c>
      <c r="J1077" s="12">
        <f>Raw_Data!J1077</f>
        <v/>
      </c>
      <c r="K1077" s="13">
        <f>Raw_Data!K1077</f>
        <v/>
      </c>
      <c r="L1077" s="12">
        <f>Raw_Data!L1077</f>
        <v/>
      </c>
      <c r="M1077" s="12">
        <f>Raw_Data!M1077</f>
        <v/>
      </c>
      <c r="N1077" s="12">
        <f>Raw_Data!N1077</f>
        <v/>
      </c>
      <c r="O1077">
        <f>Raw_Data!O1077</f>
        <v/>
      </c>
      <c r="P1077">
        <f>Raw_Data!P1077</f>
        <v/>
      </c>
      <c r="Q1077">
        <f>YEAR(B1077)</f>
        <v/>
      </c>
      <c r="R1077">
        <f>TEXT(B1077,"mmm")</f>
        <v/>
      </c>
      <c r="S1077" s="15">
        <f>IFERROR(N1077/L1077,0)</f>
        <v/>
      </c>
    </row>
    <row r="1078">
      <c r="A1078">
        <f>Raw_Data!A1078</f>
        <v/>
      </c>
      <c r="B1078" s="11">
        <f>Raw_Data!B1078</f>
        <v/>
      </c>
      <c r="C1078">
        <f>Raw_Data!C1078</f>
        <v/>
      </c>
      <c r="D1078">
        <f>Raw_Data!D1078</f>
        <v/>
      </c>
      <c r="E1078">
        <f>Raw_Data!E1078</f>
        <v/>
      </c>
      <c r="F1078">
        <f>Raw_Data!F1078</f>
        <v/>
      </c>
      <c r="G1078">
        <f>Raw_Data!G1078</f>
        <v/>
      </c>
      <c r="H1078">
        <f>Raw_Data!H1078</f>
        <v/>
      </c>
      <c r="I1078">
        <f>Raw_Data!I1078</f>
        <v/>
      </c>
      <c r="J1078" s="12">
        <f>Raw_Data!J1078</f>
        <v/>
      </c>
      <c r="K1078" s="13">
        <f>Raw_Data!K1078</f>
        <v/>
      </c>
      <c r="L1078" s="12">
        <f>Raw_Data!L1078</f>
        <v/>
      </c>
      <c r="M1078" s="12">
        <f>Raw_Data!M1078</f>
        <v/>
      </c>
      <c r="N1078" s="12">
        <f>Raw_Data!N1078</f>
        <v/>
      </c>
      <c r="O1078">
        <f>Raw_Data!O1078</f>
        <v/>
      </c>
      <c r="P1078">
        <f>Raw_Data!P1078</f>
        <v/>
      </c>
      <c r="Q1078">
        <f>YEAR(B1078)</f>
        <v/>
      </c>
      <c r="R1078">
        <f>TEXT(B1078,"mmm")</f>
        <v/>
      </c>
      <c r="S1078" s="15">
        <f>IFERROR(N1078/L1078,0)</f>
        <v/>
      </c>
    </row>
    <row r="1079">
      <c r="A1079">
        <f>Raw_Data!A1079</f>
        <v/>
      </c>
      <c r="B1079" s="11">
        <f>Raw_Data!B1079</f>
        <v/>
      </c>
      <c r="C1079">
        <f>Raw_Data!C1079</f>
        <v/>
      </c>
      <c r="D1079">
        <f>Raw_Data!D1079</f>
        <v/>
      </c>
      <c r="E1079">
        <f>Raw_Data!E1079</f>
        <v/>
      </c>
      <c r="F1079">
        <f>Raw_Data!F1079</f>
        <v/>
      </c>
      <c r="G1079">
        <f>Raw_Data!G1079</f>
        <v/>
      </c>
      <c r="H1079">
        <f>Raw_Data!H1079</f>
        <v/>
      </c>
      <c r="I1079">
        <f>Raw_Data!I1079</f>
        <v/>
      </c>
      <c r="J1079" s="12">
        <f>Raw_Data!J1079</f>
        <v/>
      </c>
      <c r="K1079" s="13">
        <f>Raw_Data!K1079</f>
        <v/>
      </c>
      <c r="L1079" s="12">
        <f>Raw_Data!L1079</f>
        <v/>
      </c>
      <c r="M1079" s="12">
        <f>Raw_Data!M1079</f>
        <v/>
      </c>
      <c r="N1079" s="12">
        <f>Raw_Data!N1079</f>
        <v/>
      </c>
      <c r="O1079">
        <f>Raw_Data!O1079</f>
        <v/>
      </c>
      <c r="P1079">
        <f>Raw_Data!P1079</f>
        <v/>
      </c>
      <c r="Q1079">
        <f>YEAR(B1079)</f>
        <v/>
      </c>
      <c r="R1079">
        <f>TEXT(B1079,"mmm")</f>
        <v/>
      </c>
      <c r="S1079" s="15">
        <f>IFERROR(N1079/L1079,0)</f>
        <v/>
      </c>
    </row>
    <row r="1080">
      <c r="A1080">
        <f>Raw_Data!A1080</f>
        <v/>
      </c>
      <c r="B1080" s="11">
        <f>Raw_Data!B1080</f>
        <v/>
      </c>
      <c r="C1080">
        <f>Raw_Data!C1080</f>
        <v/>
      </c>
      <c r="D1080">
        <f>Raw_Data!D1080</f>
        <v/>
      </c>
      <c r="E1080">
        <f>Raw_Data!E1080</f>
        <v/>
      </c>
      <c r="F1080">
        <f>Raw_Data!F1080</f>
        <v/>
      </c>
      <c r="G1080">
        <f>Raw_Data!G1080</f>
        <v/>
      </c>
      <c r="H1080">
        <f>Raw_Data!H1080</f>
        <v/>
      </c>
      <c r="I1080">
        <f>Raw_Data!I1080</f>
        <v/>
      </c>
      <c r="J1080" s="12">
        <f>Raw_Data!J1080</f>
        <v/>
      </c>
      <c r="K1080" s="13">
        <f>Raw_Data!K1080</f>
        <v/>
      </c>
      <c r="L1080" s="12">
        <f>Raw_Data!L1080</f>
        <v/>
      </c>
      <c r="M1080" s="12">
        <f>Raw_Data!M1080</f>
        <v/>
      </c>
      <c r="N1080" s="12">
        <f>Raw_Data!N1080</f>
        <v/>
      </c>
      <c r="O1080">
        <f>Raw_Data!O1080</f>
        <v/>
      </c>
      <c r="P1080">
        <f>Raw_Data!P1080</f>
        <v/>
      </c>
      <c r="Q1080">
        <f>YEAR(B1080)</f>
        <v/>
      </c>
      <c r="R1080">
        <f>TEXT(B1080,"mmm")</f>
        <v/>
      </c>
      <c r="S1080" s="15">
        <f>IFERROR(N1080/L1080,0)</f>
        <v/>
      </c>
    </row>
    <row r="1081">
      <c r="A1081">
        <f>Raw_Data!A1081</f>
        <v/>
      </c>
      <c r="B1081" s="11">
        <f>Raw_Data!B1081</f>
        <v/>
      </c>
      <c r="C1081">
        <f>Raw_Data!C1081</f>
        <v/>
      </c>
      <c r="D1081">
        <f>Raw_Data!D1081</f>
        <v/>
      </c>
      <c r="E1081">
        <f>Raw_Data!E1081</f>
        <v/>
      </c>
      <c r="F1081">
        <f>Raw_Data!F1081</f>
        <v/>
      </c>
      <c r="G1081">
        <f>Raw_Data!G1081</f>
        <v/>
      </c>
      <c r="H1081">
        <f>Raw_Data!H1081</f>
        <v/>
      </c>
      <c r="I1081">
        <f>Raw_Data!I1081</f>
        <v/>
      </c>
      <c r="J1081" s="12">
        <f>Raw_Data!J1081</f>
        <v/>
      </c>
      <c r="K1081" s="13">
        <f>Raw_Data!K1081</f>
        <v/>
      </c>
      <c r="L1081" s="12">
        <f>Raw_Data!L1081</f>
        <v/>
      </c>
      <c r="M1081" s="12">
        <f>Raw_Data!M1081</f>
        <v/>
      </c>
      <c r="N1081" s="12">
        <f>Raw_Data!N1081</f>
        <v/>
      </c>
      <c r="O1081">
        <f>Raw_Data!O1081</f>
        <v/>
      </c>
      <c r="P1081">
        <f>Raw_Data!P1081</f>
        <v/>
      </c>
      <c r="Q1081">
        <f>YEAR(B1081)</f>
        <v/>
      </c>
      <c r="R1081">
        <f>TEXT(B1081,"mmm")</f>
        <v/>
      </c>
      <c r="S1081" s="15">
        <f>IFERROR(N1081/L1081,0)</f>
        <v/>
      </c>
    </row>
    <row r="1082">
      <c r="A1082">
        <f>Raw_Data!A1082</f>
        <v/>
      </c>
      <c r="B1082" s="11">
        <f>Raw_Data!B1082</f>
        <v/>
      </c>
      <c r="C1082">
        <f>Raw_Data!C1082</f>
        <v/>
      </c>
      <c r="D1082">
        <f>Raw_Data!D1082</f>
        <v/>
      </c>
      <c r="E1082">
        <f>Raw_Data!E1082</f>
        <v/>
      </c>
      <c r="F1082">
        <f>Raw_Data!F1082</f>
        <v/>
      </c>
      <c r="G1082">
        <f>Raw_Data!G1082</f>
        <v/>
      </c>
      <c r="H1082">
        <f>Raw_Data!H1082</f>
        <v/>
      </c>
      <c r="I1082">
        <f>Raw_Data!I1082</f>
        <v/>
      </c>
      <c r="J1082" s="12">
        <f>Raw_Data!J1082</f>
        <v/>
      </c>
      <c r="K1082" s="13">
        <f>Raw_Data!K1082</f>
        <v/>
      </c>
      <c r="L1082" s="12">
        <f>Raw_Data!L1082</f>
        <v/>
      </c>
      <c r="M1082" s="12">
        <f>Raw_Data!M1082</f>
        <v/>
      </c>
      <c r="N1082" s="12">
        <f>Raw_Data!N1082</f>
        <v/>
      </c>
      <c r="O1082">
        <f>Raw_Data!O1082</f>
        <v/>
      </c>
      <c r="P1082">
        <f>Raw_Data!P1082</f>
        <v/>
      </c>
      <c r="Q1082">
        <f>YEAR(B1082)</f>
        <v/>
      </c>
      <c r="R1082">
        <f>TEXT(B1082,"mmm")</f>
        <v/>
      </c>
      <c r="S1082" s="15">
        <f>IFERROR(N1082/L1082,0)</f>
        <v/>
      </c>
    </row>
    <row r="1083">
      <c r="A1083">
        <f>Raw_Data!A1083</f>
        <v/>
      </c>
      <c r="B1083" s="11">
        <f>Raw_Data!B1083</f>
        <v/>
      </c>
      <c r="C1083">
        <f>Raw_Data!C1083</f>
        <v/>
      </c>
      <c r="D1083">
        <f>Raw_Data!D1083</f>
        <v/>
      </c>
      <c r="E1083">
        <f>Raw_Data!E1083</f>
        <v/>
      </c>
      <c r="F1083">
        <f>Raw_Data!F1083</f>
        <v/>
      </c>
      <c r="G1083">
        <f>Raw_Data!G1083</f>
        <v/>
      </c>
      <c r="H1083">
        <f>Raw_Data!H1083</f>
        <v/>
      </c>
      <c r="I1083">
        <f>Raw_Data!I1083</f>
        <v/>
      </c>
      <c r="J1083" s="12">
        <f>Raw_Data!J1083</f>
        <v/>
      </c>
      <c r="K1083" s="13">
        <f>Raw_Data!K1083</f>
        <v/>
      </c>
      <c r="L1083" s="12">
        <f>Raw_Data!L1083</f>
        <v/>
      </c>
      <c r="M1083" s="12">
        <f>Raw_Data!M1083</f>
        <v/>
      </c>
      <c r="N1083" s="12">
        <f>Raw_Data!N1083</f>
        <v/>
      </c>
      <c r="O1083">
        <f>Raw_Data!O1083</f>
        <v/>
      </c>
      <c r="P1083">
        <f>Raw_Data!P1083</f>
        <v/>
      </c>
      <c r="Q1083">
        <f>YEAR(B1083)</f>
        <v/>
      </c>
      <c r="R1083">
        <f>TEXT(B1083,"mmm")</f>
        <v/>
      </c>
      <c r="S1083" s="15">
        <f>IFERROR(N1083/L1083,0)</f>
        <v/>
      </c>
    </row>
    <row r="1084">
      <c r="A1084">
        <f>Raw_Data!A1084</f>
        <v/>
      </c>
      <c r="B1084" s="11">
        <f>Raw_Data!B1084</f>
        <v/>
      </c>
      <c r="C1084">
        <f>Raw_Data!C1084</f>
        <v/>
      </c>
      <c r="D1084">
        <f>Raw_Data!D1084</f>
        <v/>
      </c>
      <c r="E1084">
        <f>Raw_Data!E1084</f>
        <v/>
      </c>
      <c r="F1084">
        <f>Raw_Data!F1084</f>
        <v/>
      </c>
      <c r="G1084">
        <f>Raw_Data!G1084</f>
        <v/>
      </c>
      <c r="H1084">
        <f>Raw_Data!H1084</f>
        <v/>
      </c>
      <c r="I1084">
        <f>Raw_Data!I1084</f>
        <v/>
      </c>
      <c r="J1084" s="12">
        <f>Raw_Data!J1084</f>
        <v/>
      </c>
      <c r="K1084" s="13">
        <f>Raw_Data!K1084</f>
        <v/>
      </c>
      <c r="L1084" s="12">
        <f>Raw_Data!L1084</f>
        <v/>
      </c>
      <c r="M1084" s="12">
        <f>Raw_Data!M1084</f>
        <v/>
      </c>
      <c r="N1084" s="12">
        <f>Raw_Data!N1084</f>
        <v/>
      </c>
      <c r="O1084">
        <f>Raw_Data!O1084</f>
        <v/>
      </c>
      <c r="P1084">
        <f>Raw_Data!P1084</f>
        <v/>
      </c>
      <c r="Q1084">
        <f>YEAR(B1084)</f>
        <v/>
      </c>
      <c r="R1084">
        <f>TEXT(B1084,"mmm")</f>
        <v/>
      </c>
      <c r="S1084" s="15">
        <f>IFERROR(N1084/L1084,0)</f>
        <v/>
      </c>
    </row>
    <row r="1085">
      <c r="A1085">
        <f>Raw_Data!A1085</f>
        <v/>
      </c>
      <c r="B1085" s="11">
        <f>Raw_Data!B1085</f>
        <v/>
      </c>
      <c r="C1085">
        <f>Raw_Data!C1085</f>
        <v/>
      </c>
      <c r="D1085">
        <f>Raw_Data!D1085</f>
        <v/>
      </c>
      <c r="E1085">
        <f>Raw_Data!E1085</f>
        <v/>
      </c>
      <c r="F1085">
        <f>Raw_Data!F1085</f>
        <v/>
      </c>
      <c r="G1085">
        <f>Raw_Data!G1085</f>
        <v/>
      </c>
      <c r="H1085">
        <f>Raw_Data!H1085</f>
        <v/>
      </c>
      <c r="I1085">
        <f>Raw_Data!I1085</f>
        <v/>
      </c>
      <c r="J1085" s="12">
        <f>Raw_Data!J1085</f>
        <v/>
      </c>
      <c r="K1085" s="13">
        <f>Raw_Data!K1085</f>
        <v/>
      </c>
      <c r="L1085" s="12">
        <f>Raw_Data!L1085</f>
        <v/>
      </c>
      <c r="M1085" s="12">
        <f>Raw_Data!M1085</f>
        <v/>
      </c>
      <c r="N1085" s="12">
        <f>Raw_Data!N1085</f>
        <v/>
      </c>
      <c r="O1085">
        <f>Raw_Data!O1085</f>
        <v/>
      </c>
      <c r="P1085">
        <f>Raw_Data!P1085</f>
        <v/>
      </c>
      <c r="Q1085">
        <f>YEAR(B1085)</f>
        <v/>
      </c>
      <c r="R1085">
        <f>TEXT(B1085,"mmm")</f>
        <v/>
      </c>
      <c r="S1085" s="15">
        <f>IFERROR(N1085/L1085,0)</f>
        <v/>
      </c>
    </row>
    <row r="1086">
      <c r="A1086">
        <f>Raw_Data!A1086</f>
        <v/>
      </c>
      <c r="B1086" s="11">
        <f>Raw_Data!B1086</f>
        <v/>
      </c>
      <c r="C1086">
        <f>Raw_Data!C1086</f>
        <v/>
      </c>
      <c r="D1086">
        <f>Raw_Data!D1086</f>
        <v/>
      </c>
      <c r="E1086">
        <f>Raw_Data!E1086</f>
        <v/>
      </c>
      <c r="F1086">
        <f>Raw_Data!F1086</f>
        <v/>
      </c>
      <c r="G1086">
        <f>Raw_Data!G1086</f>
        <v/>
      </c>
      <c r="H1086">
        <f>Raw_Data!H1086</f>
        <v/>
      </c>
      <c r="I1086">
        <f>Raw_Data!I1086</f>
        <v/>
      </c>
      <c r="J1086" s="12">
        <f>Raw_Data!J1086</f>
        <v/>
      </c>
      <c r="K1086" s="13">
        <f>Raw_Data!K1086</f>
        <v/>
      </c>
      <c r="L1086" s="12">
        <f>Raw_Data!L1086</f>
        <v/>
      </c>
      <c r="M1086" s="12">
        <f>Raw_Data!M1086</f>
        <v/>
      </c>
      <c r="N1086" s="12">
        <f>Raw_Data!N1086</f>
        <v/>
      </c>
      <c r="O1086">
        <f>Raw_Data!O1086</f>
        <v/>
      </c>
      <c r="P1086">
        <f>Raw_Data!P1086</f>
        <v/>
      </c>
      <c r="Q1086">
        <f>YEAR(B1086)</f>
        <v/>
      </c>
      <c r="R1086">
        <f>TEXT(B1086,"mmm")</f>
        <v/>
      </c>
      <c r="S1086" s="15">
        <f>IFERROR(N1086/L1086,0)</f>
        <v/>
      </c>
    </row>
    <row r="1087">
      <c r="A1087">
        <f>Raw_Data!A1087</f>
        <v/>
      </c>
      <c r="B1087" s="11">
        <f>Raw_Data!B1087</f>
        <v/>
      </c>
      <c r="C1087">
        <f>Raw_Data!C1087</f>
        <v/>
      </c>
      <c r="D1087">
        <f>Raw_Data!D1087</f>
        <v/>
      </c>
      <c r="E1087">
        <f>Raw_Data!E1087</f>
        <v/>
      </c>
      <c r="F1087">
        <f>Raw_Data!F1087</f>
        <v/>
      </c>
      <c r="G1087">
        <f>Raw_Data!G1087</f>
        <v/>
      </c>
      <c r="H1087">
        <f>Raw_Data!H1087</f>
        <v/>
      </c>
      <c r="I1087">
        <f>Raw_Data!I1087</f>
        <v/>
      </c>
      <c r="J1087" s="12">
        <f>Raw_Data!J1087</f>
        <v/>
      </c>
      <c r="K1087" s="13">
        <f>Raw_Data!K1087</f>
        <v/>
      </c>
      <c r="L1087" s="12">
        <f>Raw_Data!L1087</f>
        <v/>
      </c>
      <c r="M1087" s="12">
        <f>Raw_Data!M1087</f>
        <v/>
      </c>
      <c r="N1087" s="12">
        <f>Raw_Data!N1087</f>
        <v/>
      </c>
      <c r="O1087">
        <f>Raw_Data!O1087</f>
        <v/>
      </c>
      <c r="P1087">
        <f>Raw_Data!P1087</f>
        <v/>
      </c>
      <c r="Q1087">
        <f>YEAR(B1087)</f>
        <v/>
      </c>
      <c r="R1087">
        <f>TEXT(B1087,"mmm")</f>
        <v/>
      </c>
      <c r="S1087" s="15">
        <f>IFERROR(N1087/L1087,0)</f>
        <v/>
      </c>
    </row>
    <row r="1088">
      <c r="A1088">
        <f>Raw_Data!A1088</f>
        <v/>
      </c>
      <c r="B1088" s="11">
        <f>Raw_Data!B1088</f>
        <v/>
      </c>
      <c r="C1088">
        <f>Raw_Data!C1088</f>
        <v/>
      </c>
      <c r="D1088">
        <f>Raw_Data!D1088</f>
        <v/>
      </c>
      <c r="E1088">
        <f>Raw_Data!E1088</f>
        <v/>
      </c>
      <c r="F1088">
        <f>Raw_Data!F1088</f>
        <v/>
      </c>
      <c r="G1088">
        <f>Raw_Data!G1088</f>
        <v/>
      </c>
      <c r="H1088">
        <f>Raw_Data!H1088</f>
        <v/>
      </c>
      <c r="I1088">
        <f>Raw_Data!I1088</f>
        <v/>
      </c>
      <c r="J1088" s="12">
        <f>Raw_Data!J1088</f>
        <v/>
      </c>
      <c r="K1088" s="13">
        <f>Raw_Data!K1088</f>
        <v/>
      </c>
      <c r="L1088" s="12">
        <f>Raw_Data!L1088</f>
        <v/>
      </c>
      <c r="M1088" s="12">
        <f>Raw_Data!M1088</f>
        <v/>
      </c>
      <c r="N1088" s="12">
        <f>Raw_Data!N1088</f>
        <v/>
      </c>
      <c r="O1088">
        <f>Raw_Data!O1088</f>
        <v/>
      </c>
      <c r="P1088">
        <f>Raw_Data!P1088</f>
        <v/>
      </c>
      <c r="Q1088">
        <f>YEAR(B1088)</f>
        <v/>
      </c>
      <c r="R1088">
        <f>TEXT(B1088,"mmm")</f>
        <v/>
      </c>
      <c r="S1088" s="15">
        <f>IFERROR(N1088/L1088,0)</f>
        <v/>
      </c>
    </row>
    <row r="1089">
      <c r="A1089">
        <f>Raw_Data!A1089</f>
        <v/>
      </c>
      <c r="B1089" s="11">
        <f>Raw_Data!B1089</f>
        <v/>
      </c>
      <c r="C1089">
        <f>Raw_Data!C1089</f>
        <v/>
      </c>
      <c r="D1089">
        <f>Raw_Data!D1089</f>
        <v/>
      </c>
      <c r="E1089">
        <f>Raw_Data!E1089</f>
        <v/>
      </c>
      <c r="F1089">
        <f>Raw_Data!F1089</f>
        <v/>
      </c>
      <c r="G1089">
        <f>Raw_Data!G1089</f>
        <v/>
      </c>
      <c r="H1089">
        <f>Raw_Data!H1089</f>
        <v/>
      </c>
      <c r="I1089">
        <f>Raw_Data!I1089</f>
        <v/>
      </c>
      <c r="J1089" s="12">
        <f>Raw_Data!J1089</f>
        <v/>
      </c>
      <c r="K1089" s="13">
        <f>Raw_Data!K1089</f>
        <v/>
      </c>
      <c r="L1089" s="12">
        <f>Raw_Data!L1089</f>
        <v/>
      </c>
      <c r="M1089" s="12">
        <f>Raw_Data!M1089</f>
        <v/>
      </c>
      <c r="N1089" s="12">
        <f>Raw_Data!N1089</f>
        <v/>
      </c>
      <c r="O1089">
        <f>Raw_Data!O1089</f>
        <v/>
      </c>
      <c r="P1089">
        <f>Raw_Data!P1089</f>
        <v/>
      </c>
      <c r="Q1089">
        <f>YEAR(B1089)</f>
        <v/>
      </c>
      <c r="R1089">
        <f>TEXT(B1089,"mmm")</f>
        <v/>
      </c>
      <c r="S1089" s="15">
        <f>IFERROR(N1089/L1089,0)</f>
        <v/>
      </c>
    </row>
    <row r="1090">
      <c r="A1090">
        <f>Raw_Data!A1090</f>
        <v/>
      </c>
      <c r="B1090" s="11">
        <f>Raw_Data!B1090</f>
        <v/>
      </c>
      <c r="C1090">
        <f>Raw_Data!C1090</f>
        <v/>
      </c>
      <c r="D1090">
        <f>Raw_Data!D1090</f>
        <v/>
      </c>
      <c r="E1090">
        <f>Raw_Data!E1090</f>
        <v/>
      </c>
      <c r="F1090">
        <f>Raw_Data!F1090</f>
        <v/>
      </c>
      <c r="G1090">
        <f>Raw_Data!G1090</f>
        <v/>
      </c>
      <c r="H1090">
        <f>Raw_Data!H1090</f>
        <v/>
      </c>
      <c r="I1090">
        <f>Raw_Data!I1090</f>
        <v/>
      </c>
      <c r="J1090" s="12">
        <f>Raw_Data!J1090</f>
        <v/>
      </c>
      <c r="K1090" s="13">
        <f>Raw_Data!K1090</f>
        <v/>
      </c>
      <c r="L1090" s="12">
        <f>Raw_Data!L1090</f>
        <v/>
      </c>
      <c r="M1090" s="12">
        <f>Raw_Data!M1090</f>
        <v/>
      </c>
      <c r="N1090" s="12">
        <f>Raw_Data!N1090</f>
        <v/>
      </c>
      <c r="O1090">
        <f>Raw_Data!O1090</f>
        <v/>
      </c>
      <c r="P1090">
        <f>Raw_Data!P1090</f>
        <v/>
      </c>
      <c r="Q1090">
        <f>YEAR(B1090)</f>
        <v/>
      </c>
      <c r="R1090">
        <f>TEXT(B1090,"mmm")</f>
        <v/>
      </c>
      <c r="S1090" s="15">
        <f>IFERROR(N1090/L1090,0)</f>
        <v/>
      </c>
    </row>
    <row r="1091">
      <c r="A1091">
        <f>Raw_Data!A1091</f>
        <v/>
      </c>
      <c r="B1091" s="11">
        <f>Raw_Data!B1091</f>
        <v/>
      </c>
      <c r="C1091">
        <f>Raw_Data!C1091</f>
        <v/>
      </c>
      <c r="D1091">
        <f>Raw_Data!D1091</f>
        <v/>
      </c>
      <c r="E1091">
        <f>Raw_Data!E1091</f>
        <v/>
      </c>
      <c r="F1091">
        <f>Raw_Data!F1091</f>
        <v/>
      </c>
      <c r="G1091">
        <f>Raw_Data!G1091</f>
        <v/>
      </c>
      <c r="H1091">
        <f>Raw_Data!H1091</f>
        <v/>
      </c>
      <c r="I1091">
        <f>Raw_Data!I1091</f>
        <v/>
      </c>
      <c r="J1091" s="12">
        <f>Raw_Data!J1091</f>
        <v/>
      </c>
      <c r="K1091" s="13">
        <f>Raw_Data!K1091</f>
        <v/>
      </c>
      <c r="L1091" s="12">
        <f>Raw_Data!L1091</f>
        <v/>
      </c>
      <c r="M1091" s="12">
        <f>Raw_Data!M1091</f>
        <v/>
      </c>
      <c r="N1091" s="12">
        <f>Raw_Data!N1091</f>
        <v/>
      </c>
      <c r="O1091">
        <f>Raw_Data!O1091</f>
        <v/>
      </c>
      <c r="P1091">
        <f>Raw_Data!P1091</f>
        <v/>
      </c>
      <c r="Q1091">
        <f>YEAR(B1091)</f>
        <v/>
      </c>
      <c r="R1091">
        <f>TEXT(B1091,"mmm")</f>
        <v/>
      </c>
      <c r="S1091" s="15">
        <f>IFERROR(N1091/L1091,0)</f>
        <v/>
      </c>
    </row>
    <row r="1092">
      <c r="A1092">
        <f>Raw_Data!A1092</f>
        <v/>
      </c>
      <c r="B1092" s="11">
        <f>Raw_Data!B1092</f>
        <v/>
      </c>
      <c r="C1092">
        <f>Raw_Data!C1092</f>
        <v/>
      </c>
      <c r="D1092">
        <f>Raw_Data!D1092</f>
        <v/>
      </c>
      <c r="E1092">
        <f>Raw_Data!E1092</f>
        <v/>
      </c>
      <c r="F1092">
        <f>Raw_Data!F1092</f>
        <v/>
      </c>
      <c r="G1092">
        <f>Raw_Data!G1092</f>
        <v/>
      </c>
      <c r="H1092">
        <f>Raw_Data!H1092</f>
        <v/>
      </c>
      <c r="I1092">
        <f>Raw_Data!I1092</f>
        <v/>
      </c>
      <c r="J1092" s="12">
        <f>Raw_Data!J1092</f>
        <v/>
      </c>
      <c r="K1092" s="13">
        <f>Raw_Data!K1092</f>
        <v/>
      </c>
      <c r="L1092" s="12">
        <f>Raw_Data!L1092</f>
        <v/>
      </c>
      <c r="M1092" s="12">
        <f>Raw_Data!M1092</f>
        <v/>
      </c>
      <c r="N1092" s="12">
        <f>Raw_Data!N1092</f>
        <v/>
      </c>
      <c r="O1092">
        <f>Raw_Data!O1092</f>
        <v/>
      </c>
      <c r="P1092">
        <f>Raw_Data!P1092</f>
        <v/>
      </c>
      <c r="Q1092">
        <f>YEAR(B1092)</f>
        <v/>
      </c>
      <c r="R1092">
        <f>TEXT(B1092,"mmm")</f>
        <v/>
      </c>
      <c r="S1092" s="15">
        <f>IFERROR(N1092/L1092,0)</f>
        <v/>
      </c>
    </row>
    <row r="1093">
      <c r="A1093">
        <f>Raw_Data!A1093</f>
        <v/>
      </c>
      <c r="B1093" s="11">
        <f>Raw_Data!B1093</f>
        <v/>
      </c>
      <c r="C1093">
        <f>Raw_Data!C1093</f>
        <v/>
      </c>
      <c r="D1093">
        <f>Raw_Data!D1093</f>
        <v/>
      </c>
      <c r="E1093">
        <f>Raw_Data!E1093</f>
        <v/>
      </c>
      <c r="F1093">
        <f>Raw_Data!F1093</f>
        <v/>
      </c>
      <c r="G1093">
        <f>Raw_Data!G1093</f>
        <v/>
      </c>
      <c r="H1093">
        <f>Raw_Data!H1093</f>
        <v/>
      </c>
      <c r="I1093">
        <f>Raw_Data!I1093</f>
        <v/>
      </c>
      <c r="J1093" s="12">
        <f>Raw_Data!J1093</f>
        <v/>
      </c>
      <c r="K1093" s="13">
        <f>Raw_Data!K1093</f>
        <v/>
      </c>
      <c r="L1093" s="12">
        <f>Raw_Data!L1093</f>
        <v/>
      </c>
      <c r="M1093" s="12">
        <f>Raw_Data!M1093</f>
        <v/>
      </c>
      <c r="N1093" s="12">
        <f>Raw_Data!N1093</f>
        <v/>
      </c>
      <c r="O1093">
        <f>Raw_Data!O1093</f>
        <v/>
      </c>
      <c r="P1093">
        <f>Raw_Data!P1093</f>
        <v/>
      </c>
      <c r="Q1093">
        <f>YEAR(B1093)</f>
        <v/>
      </c>
      <c r="R1093">
        <f>TEXT(B1093,"mmm")</f>
        <v/>
      </c>
      <c r="S1093" s="15">
        <f>IFERROR(N1093/L1093,0)</f>
        <v/>
      </c>
    </row>
    <row r="1094">
      <c r="A1094">
        <f>Raw_Data!A1094</f>
        <v/>
      </c>
      <c r="B1094" s="11">
        <f>Raw_Data!B1094</f>
        <v/>
      </c>
      <c r="C1094">
        <f>Raw_Data!C1094</f>
        <v/>
      </c>
      <c r="D1094">
        <f>Raw_Data!D1094</f>
        <v/>
      </c>
      <c r="E1094">
        <f>Raw_Data!E1094</f>
        <v/>
      </c>
      <c r="F1094">
        <f>Raw_Data!F1094</f>
        <v/>
      </c>
      <c r="G1094">
        <f>Raw_Data!G1094</f>
        <v/>
      </c>
      <c r="H1094">
        <f>Raw_Data!H1094</f>
        <v/>
      </c>
      <c r="I1094">
        <f>Raw_Data!I1094</f>
        <v/>
      </c>
      <c r="J1094" s="12">
        <f>Raw_Data!J1094</f>
        <v/>
      </c>
      <c r="K1094" s="13">
        <f>Raw_Data!K1094</f>
        <v/>
      </c>
      <c r="L1094" s="12">
        <f>Raw_Data!L1094</f>
        <v/>
      </c>
      <c r="M1094" s="12">
        <f>Raw_Data!M1094</f>
        <v/>
      </c>
      <c r="N1094" s="12">
        <f>Raw_Data!N1094</f>
        <v/>
      </c>
      <c r="O1094">
        <f>Raw_Data!O1094</f>
        <v/>
      </c>
      <c r="P1094">
        <f>Raw_Data!P1094</f>
        <v/>
      </c>
      <c r="Q1094">
        <f>YEAR(B1094)</f>
        <v/>
      </c>
      <c r="R1094">
        <f>TEXT(B1094,"mmm")</f>
        <v/>
      </c>
      <c r="S1094" s="15">
        <f>IFERROR(N1094/L1094,0)</f>
        <v/>
      </c>
    </row>
    <row r="1095">
      <c r="A1095">
        <f>Raw_Data!A1095</f>
        <v/>
      </c>
      <c r="B1095" s="11">
        <f>Raw_Data!B1095</f>
        <v/>
      </c>
      <c r="C1095">
        <f>Raw_Data!C1095</f>
        <v/>
      </c>
      <c r="D1095">
        <f>Raw_Data!D1095</f>
        <v/>
      </c>
      <c r="E1095">
        <f>Raw_Data!E1095</f>
        <v/>
      </c>
      <c r="F1095">
        <f>Raw_Data!F1095</f>
        <v/>
      </c>
      <c r="G1095">
        <f>Raw_Data!G1095</f>
        <v/>
      </c>
      <c r="H1095">
        <f>Raw_Data!H1095</f>
        <v/>
      </c>
      <c r="I1095">
        <f>Raw_Data!I1095</f>
        <v/>
      </c>
      <c r="J1095" s="12">
        <f>Raw_Data!J1095</f>
        <v/>
      </c>
      <c r="K1095" s="13">
        <f>Raw_Data!K1095</f>
        <v/>
      </c>
      <c r="L1095" s="12">
        <f>Raw_Data!L1095</f>
        <v/>
      </c>
      <c r="M1095" s="12">
        <f>Raw_Data!M1095</f>
        <v/>
      </c>
      <c r="N1095" s="12">
        <f>Raw_Data!N1095</f>
        <v/>
      </c>
      <c r="O1095">
        <f>Raw_Data!O1095</f>
        <v/>
      </c>
      <c r="P1095">
        <f>Raw_Data!P1095</f>
        <v/>
      </c>
      <c r="Q1095">
        <f>YEAR(B1095)</f>
        <v/>
      </c>
      <c r="R1095">
        <f>TEXT(B1095,"mmm")</f>
        <v/>
      </c>
      <c r="S1095" s="15">
        <f>IFERROR(N1095/L1095,0)</f>
        <v/>
      </c>
    </row>
    <row r="1096">
      <c r="A1096">
        <f>Raw_Data!A1096</f>
        <v/>
      </c>
      <c r="B1096" s="11">
        <f>Raw_Data!B1096</f>
        <v/>
      </c>
      <c r="C1096">
        <f>Raw_Data!C1096</f>
        <v/>
      </c>
      <c r="D1096">
        <f>Raw_Data!D1096</f>
        <v/>
      </c>
      <c r="E1096">
        <f>Raw_Data!E1096</f>
        <v/>
      </c>
      <c r="F1096">
        <f>Raw_Data!F1096</f>
        <v/>
      </c>
      <c r="G1096">
        <f>Raw_Data!G1096</f>
        <v/>
      </c>
      <c r="H1096">
        <f>Raw_Data!H1096</f>
        <v/>
      </c>
      <c r="I1096">
        <f>Raw_Data!I1096</f>
        <v/>
      </c>
      <c r="J1096" s="12">
        <f>Raw_Data!J1096</f>
        <v/>
      </c>
      <c r="K1096" s="13">
        <f>Raw_Data!K1096</f>
        <v/>
      </c>
      <c r="L1096" s="12">
        <f>Raw_Data!L1096</f>
        <v/>
      </c>
      <c r="M1096" s="12">
        <f>Raw_Data!M1096</f>
        <v/>
      </c>
      <c r="N1096" s="12">
        <f>Raw_Data!N1096</f>
        <v/>
      </c>
      <c r="O1096">
        <f>Raw_Data!O1096</f>
        <v/>
      </c>
      <c r="P1096">
        <f>Raw_Data!P1096</f>
        <v/>
      </c>
      <c r="Q1096">
        <f>YEAR(B1096)</f>
        <v/>
      </c>
      <c r="R1096">
        <f>TEXT(B1096,"mmm")</f>
        <v/>
      </c>
      <c r="S1096" s="15">
        <f>IFERROR(N1096/L1096,0)</f>
        <v/>
      </c>
    </row>
    <row r="1097">
      <c r="A1097">
        <f>Raw_Data!A1097</f>
        <v/>
      </c>
      <c r="B1097" s="11">
        <f>Raw_Data!B1097</f>
        <v/>
      </c>
      <c r="C1097">
        <f>Raw_Data!C1097</f>
        <v/>
      </c>
      <c r="D1097">
        <f>Raw_Data!D1097</f>
        <v/>
      </c>
      <c r="E1097">
        <f>Raw_Data!E1097</f>
        <v/>
      </c>
      <c r="F1097">
        <f>Raw_Data!F1097</f>
        <v/>
      </c>
      <c r="G1097">
        <f>Raw_Data!G1097</f>
        <v/>
      </c>
      <c r="H1097">
        <f>Raw_Data!H1097</f>
        <v/>
      </c>
      <c r="I1097">
        <f>Raw_Data!I1097</f>
        <v/>
      </c>
      <c r="J1097" s="12">
        <f>Raw_Data!J1097</f>
        <v/>
      </c>
      <c r="K1097" s="13">
        <f>Raw_Data!K1097</f>
        <v/>
      </c>
      <c r="L1097" s="12">
        <f>Raw_Data!L1097</f>
        <v/>
      </c>
      <c r="M1097" s="12">
        <f>Raw_Data!M1097</f>
        <v/>
      </c>
      <c r="N1097" s="12">
        <f>Raw_Data!N1097</f>
        <v/>
      </c>
      <c r="O1097">
        <f>Raw_Data!O1097</f>
        <v/>
      </c>
      <c r="P1097">
        <f>Raw_Data!P1097</f>
        <v/>
      </c>
      <c r="Q1097">
        <f>YEAR(B1097)</f>
        <v/>
      </c>
      <c r="R1097">
        <f>TEXT(B1097,"mmm")</f>
        <v/>
      </c>
      <c r="S1097" s="15">
        <f>IFERROR(N1097/L1097,0)</f>
        <v/>
      </c>
    </row>
    <row r="1098">
      <c r="A1098">
        <f>Raw_Data!A1098</f>
        <v/>
      </c>
      <c r="B1098" s="11">
        <f>Raw_Data!B1098</f>
        <v/>
      </c>
      <c r="C1098">
        <f>Raw_Data!C1098</f>
        <v/>
      </c>
      <c r="D1098">
        <f>Raw_Data!D1098</f>
        <v/>
      </c>
      <c r="E1098">
        <f>Raw_Data!E1098</f>
        <v/>
      </c>
      <c r="F1098">
        <f>Raw_Data!F1098</f>
        <v/>
      </c>
      <c r="G1098">
        <f>Raw_Data!G1098</f>
        <v/>
      </c>
      <c r="H1098">
        <f>Raw_Data!H1098</f>
        <v/>
      </c>
      <c r="I1098">
        <f>Raw_Data!I1098</f>
        <v/>
      </c>
      <c r="J1098" s="12">
        <f>Raw_Data!J1098</f>
        <v/>
      </c>
      <c r="K1098" s="13">
        <f>Raw_Data!K1098</f>
        <v/>
      </c>
      <c r="L1098" s="12">
        <f>Raw_Data!L1098</f>
        <v/>
      </c>
      <c r="M1098" s="12">
        <f>Raw_Data!M1098</f>
        <v/>
      </c>
      <c r="N1098" s="12">
        <f>Raw_Data!N1098</f>
        <v/>
      </c>
      <c r="O1098">
        <f>Raw_Data!O1098</f>
        <v/>
      </c>
      <c r="P1098">
        <f>Raw_Data!P1098</f>
        <v/>
      </c>
      <c r="Q1098">
        <f>YEAR(B1098)</f>
        <v/>
      </c>
      <c r="R1098">
        <f>TEXT(B1098,"mmm")</f>
        <v/>
      </c>
      <c r="S1098" s="15">
        <f>IFERROR(N1098/L1098,0)</f>
        <v/>
      </c>
    </row>
    <row r="1099">
      <c r="A1099">
        <f>Raw_Data!A1099</f>
        <v/>
      </c>
      <c r="B1099" s="11">
        <f>Raw_Data!B1099</f>
        <v/>
      </c>
      <c r="C1099">
        <f>Raw_Data!C1099</f>
        <v/>
      </c>
      <c r="D1099">
        <f>Raw_Data!D1099</f>
        <v/>
      </c>
      <c r="E1099">
        <f>Raw_Data!E1099</f>
        <v/>
      </c>
      <c r="F1099">
        <f>Raw_Data!F1099</f>
        <v/>
      </c>
      <c r="G1099">
        <f>Raw_Data!G1099</f>
        <v/>
      </c>
      <c r="H1099">
        <f>Raw_Data!H1099</f>
        <v/>
      </c>
      <c r="I1099">
        <f>Raw_Data!I1099</f>
        <v/>
      </c>
      <c r="J1099" s="12">
        <f>Raw_Data!J1099</f>
        <v/>
      </c>
      <c r="K1099" s="13">
        <f>Raw_Data!K1099</f>
        <v/>
      </c>
      <c r="L1099" s="12">
        <f>Raw_Data!L1099</f>
        <v/>
      </c>
      <c r="M1099" s="12">
        <f>Raw_Data!M1099</f>
        <v/>
      </c>
      <c r="N1099" s="12">
        <f>Raw_Data!N1099</f>
        <v/>
      </c>
      <c r="O1099">
        <f>Raw_Data!O1099</f>
        <v/>
      </c>
      <c r="P1099">
        <f>Raw_Data!P1099</f>
        <v/>
      </c>
      <c r="Q1099">
        <f>YEAR(B1099)</f>
        <v/>
      </c>
      <c r="R1099">
        <f>TEXT(B1099,"mmm")</f>
        <v/>
      </c>
      <c r="S1099" s="15">
        <f>IFERROR(N1099/L1099,0)</f>
        <v/>
      </c>
    </row>
    <row r="1100">
      <c r="A1100">
        <f>Raw_Data!A1100</f>
        <v/>
      </c>
      <c r="B1100" s="11">
        <f>Raw_Data!B1100</f>
        <v/>
      </c>
      <c r="C1100">
        <f>Raw_Data!C1100</f>
        <v/>
      </c>
      <c r="D1100">
        <f>Raw_Data!D1100</f>
        <v/>
      </c>
      <c r="E1100">
        <f>Raw_Data!E1100</f>
        <v/>
      </c>
      <c r="F1100">
        <f>Raw_Data!F1100</f>
        <v/>
      </c>
      <c r="G1100">
        <f>Raw_Data!G1100</f>
        <v/>
      </c>
      <c r="H1100">
        <f>Raw_Data!H1100</f>
        <v/>
      </c>
      <c r="I1100">
        <f>Raw_Data!I1100</f>
        <v/>
      </c>
      <c r="J1100" s="12">
        <f>Raw_Data!J1100</f>
        <v/>
      </c>
      <c r="K1100" s="13">
        <f>Raw_Data!K1100</f>
        <v/>
      </c>
      <c r="L1100" s="12">
        <f>Raw_Data!L1100</f>
        <v/>
      </c>
      <c r="M1100" s="12">
        <f>Raw_Data!M1100</f>
        <v/>
      </c>
      <c r="N1100" s="12">
        <f>Raw_Data!N1100</f>
        <v/>
      </c>
      <c r="O1100">
        <f>Raw_Data!O1100</f>
        <v/>
      </c>
      <c r="P1100">
        <f>Raw_Data!P1100</f>
        <v/>
      </c>
      <c r="Q1100">
        <f>YEAR(B1100)</f>
        <v/>
      </c>
      <c r="R1100">
        <f>TEXT(B1100,"mmm")</f>
        <v/>
      </c>
      <c r="S1100" s="15">
        <f>IFERROR(N1100/L1100,0)</f>
        <v/>
      </c>
    </row>
    <row r="1101">
      <c r="A1101">
        <f>Raw_Data!A1101</f>
        <v/>
      </c>
      <c r="B1101" s="11">
        <f>Raw_Data!B1101</f>
        <v/>
      </c>
      <c r="C1101">
        <f>Raw_Data!C1101</f>
        <v/>
      </c>
      <c r="D1101">
        <f>Raw_Data!D1101</f>
        <v/>
      </c>
      <c r="E1101">
        <f>Raw_Data!E1101</f>
        <v/>
      </c>
      <c r="F1101">
        <f>Raw_Data!F1101</f>
        <v/>
      </c>
      <c r="G1101">
        <f>Raw_Data!G1101</f>
        <v/>
      </c>
      <c r="H1101">
        <f>Raw_Data!H1101</f>
        <v/>
      </c>
      <c r="I1101">
        <f>Raw_Data!I1101</f>
        <v/>
      </c>
      <c r="J1101" s="12">
        <f>Raw_Data!J1101</f>
        <v/>
      </c>
      <c r="K1101" s="13">
        <f>Raw_Data!K1101</f>
        <v/>
      </c>
      <c r="L1101" s="12">
        <f>Raw_Data!L1101</f>
        <v/>
      </c>
      <c r="M1101" s="12">
        <f>Raw_Data!M1101</f>
        <v/>
      </c>
      <c r="N1101" s="12">
        <f>Raw_Data!N1101</f>
        <v/>
      </c>
      <c r="O1101">
        <f>Raw_Data!O1101</f>
        <v/>
      </c>
      <c r="P1101">
        <f>Raw_Data!P1101</f>
        <v/>
      </c>
      <c r="Q1101">
        <f>YEAR(B1101)</f>
        <v/>
      </c>
      <c r="R1101">
        <f>TEXT(B1101,"mmm")</f>
        <v/>
      </c>
      <c r="S1101" s="15">
        <f>IFERROR(N1101/L1101,0)</f>
        <v/>
      </c>
    </row>
    <row r="1102">
      <c r="A1102">
        <f>Raw_Data!A1102</f>
        <v/>
      </c>
      <c r="B1102" s="11">
        <f>Raw_Data!B1102</f>
        <v/>
      </c>
      <c r="C1102">
        <f>Raw_Data!C1102</f>
        <v/>
      </c>
      <c r="D1102">
        <f>Raw_Data!D1102</f>
        <v/>
      </c>
      <c r="E1102">
        <f>Raw_Data!E1102</f>
        <v/>
      </c>
      <c r="F1102">
        <f>Raw_Data!F1102</f>
        <v/>
      </c>
      <c r="G1102">
        <f>Raw_Data!G1102</f>
        <v/>
      </c>
      <c r="H1102">
        <f>Raw_Data!H1102</f>
        <v/>
      </c>
      <c r="I1102">
        <f>Raw_Data!I1102</f>
        <v/>
      </c>
      <c r="J1102" s="12">
        <f>Raw_Data!J1102</f>
        <v/>
      </c>
      <c r="K1102" s="13">
        <f>Raw_Data!K1102</f>
        <v/>
      </c>
      <c r="L1102" s="12">
        <f>Raw_Data!L1102</f>
        <v/>
      </c>
      <c r="M1102" s="12">
        <f>Raw_Data!M1102</f>
        <v/>
      </c>
      <c r="N1102" s="12">
        <f>Raw_Data!N1102</f>
        <v/>
      </c>
      <c r="O1102">
        <f>Raw_Data!O1102</f>
        <v/>
      </c>
      <c r="P1102">
        <f>Raw_Data!P1102</f>
        <v/>
      </c>
      <c r="Q1102">
        <f>YEAR(B1102)</f>
        <v/>
      </c>
      <c r="R1102">
        <f>TEXT(B1102,"mmm")</f>
        <v/>
      </c>
      <c r="S1102" s="15">
        <f>IFERROR(N1102/L1102,0)</f>
        <v/>
      </c>
    </row>
    <row r="1103">
      <c r="A1103">
        <f>Raw_Data!A1103</f>
        <v/>
      </c>
      <c r="B1103" s="11">
        <f>Raw_Data!B1103</f>
        <v/>
      </c>
      <c r="C1103">
        <f>Raw_Data!C1103</f>
        <v/>
      </c>
      <c r="D1103">
        <f>Raw_Data!D1103</f>
        <v/>
      </c>
      <c r="E1103">
        <f>Raw_Data!E1103</f>
        <v/>
      </c>
      <c r="F1103">
        <f>Raw_Data!F1103</f>
        <v/>
      </c>
      <c r="G1103">
        <f>Raw_Data!G1103</f>
        <v/>
      </c>
      <c r="H1103">
        <f>Raw_Data!H1103</f>
        <v/>
      </c>
      <c r="I1103">
        <f>Raw_Data!I1103</f>
        <v/>
      </c>
      <c r="J1103" s="12">
        <f>Raw_Data!J1103</f>
        <v/>
      </c>
      <c r="K1103" s="13">
        <f>Raw_Data!K1103</f>
        <v/>
      </c>
      <c r="L1103" s="12">
        <f>Raw_Data!L1103</f>
        <v/>
      </c>
      <c r="M1103" s="12">
        <f>Raw_Data!M1103</f>
        <v/>
      </c>
      <c r="N1103" s="12">
        <f>Raw_Data!N1103</f>
        <v/>
      </c>
      <c r="O1103">
        <f>Raw_Data!O1103</f>
        <v/>
      </c>
      <c r="P1103">
        <f>Raw_Data!P1103</f>
        <v/>
      </c>
      <c r="Q1103">
        <f>YEAR(B1103)</f>
        <v/>
      </c>
      <c r="R1103">
        <f>TEXT(B1103,"mmm")</f>
        <v/>
      </c>
      <c r="S1103" s="15">
        <f>IFERROR(N1103/L1103,0)</f>
        <v/>
      </c>
    </row>
    <row r="1104">
      <c r="A1104">
        <f>Raw_Data!A1104</f>
        <v/>
      </c>
      <c r="B1104" s="11">
        <f>Raw_Data!B1104</f>
        <v/>
      </c>
      <c r="C1104">
        <f>Raw_Data!C1104</f>
        <v/>
      </c>
      <c r="D1104">
        <f>Raw_Data!D1104</f>
        <v/>
      </c>
      <c r="E1104">
        <f>Raw_Data!E1104</f>
        <v/>
      </c>
      <c r="F1104">
        <f>Raw_Data!F1104</f>
        <v/>
      </c>
      <c r="G1104">
        <f>Raw_Data!G1104</f>
        <v/>
      </c>
      <c r="H1104">
        <f>Raw_Data!H1104</f>
        <v/>
      </c>
      <c r="I1104">
        <f>Raw_Data!I1104</f>
        <v/>
      </c>
      <c r="J1104" s="12">
        <f>Raw_Data!J1104</f>
        <v/>
      </c>
      <c r="K1104" s="13">
        <f>Raw_Data!K1104</f>
        <v/>
      </c>
      <c r="L1104" s="12">
        <f>Raw_Data!L1104</f>
        <v/>
      </c>
      <c r="M1104" s="12">
        <f>Raw_Data!M1104</f>
        <v/>
      </c>
      <c r="N1104" s="12">
        <f>Raw_Data!N1104</f>
        <v/>
      </c>
      <c r="O1104">
        <f>Raw_Data!O1104</f>
        <v/>
      </c>
      <c r="P1104">
        <f>Raw_Data!P1104</f>
        <v/>
      </c>
      <c r="Q1104">
        <f>YEAR(B1104)</f>
        <v/>
      </c>
      <c r="R1104">
        <f>TEXT(B1104,"mmm")</f>
        <v/>
      </c>
      <c r="S1104" s="15">
        <f>IFERROR(N1104/L1104,0)</f>
        <v/>
      </c>
    </row>
    <row r="1105">
      <c r="A1105">
        <f>Raw_Data!A1105</f>
        <v/>
      </c>
      <c r="B1105" s="11">
        <f>Raw_Data!B1105</f>
        <v/>
      </c>
      <c r="C1105">
        <f>Raw_Data!C1105</f>
        <v/>
      </c>
      <c r="D1105">
        <f>Raw_Data!D1105</f>
        <v/>
      </c>
      <c r="E1105">
        <f>Raw_Data!E1105</f>
        <v/>
      </c>
      <c r="F1105">
        <f>Raw_Data!F1105</f>
        <v/>
      </c>
      <c r="G1105">
        <f>Raw_Data!G1105</f>
        <v/>
      </c>
      <c r="H1105">
        <f>Raw_Data!H1105</f>
        <v/>
      </c>
      <c r="I1105">
        <f>Raw_Data!I1105</f>
        <v/>
      </c>
      <c r="J1105" s="12">
        <f>Raw_Data!J1105</f>
        <v/>
      </c>
      <c r="K1105" s="13">
        <f>Raw_Data!K1105</f>
        <v/>
      </c>
      <c r="L1105" s="12">
        <f>Raw_Data!L1105</f>
        <v/>
      </c>
      <c r="M1105" s="12">
        <f>Raw_Data!M1105</f>
        <v/>
      </c>
      <c r="N1105" s="12">
        <f>Raw_Data!N1105</f>
        <v/>
      </c>
      <c r="O1105">
        <f>Raw_Data!O1105</f>
        <v/>
      </c>
      <c r="P1105">
        <f>Raw_Data!P1105</f>
        <v/>
      </c>
      <c r="Q1105">
        <f>YEAR(B1105)</f>
        <v/>
      </c>
      <c r="R1105">
        <f>TEXT(B1105,"mmm")</f>
        <v/>
      </c>
      <c r="S1105" s="15">
        <f>IFERROR(N1105/L1105,0)</f>
        <v/>
      </c>
    </row>
    <row r="1106">
      <c r="A1106">
        <f>Raw_Data!A1106</f>
        <v/>
      </c>
      <c r="B1106" s="11">
        <f>Raw_Data!B1106</f>
        <v/>
      </c>
      <c r="C1106">
        <f>Raw_Data!C1106</f>
        <v/>
      </c>
      <c r="D1106">
        <f>Raw_Data!D1106</f>
        <v/>
      </c>
      <c r="E1106">
        <f>Raw_Data!E1106</f>
        <v/>
      </c>
      <c r="F1106">
        <f>Raw_Data!F1106</f>
        <v/>
      </c>
      <c r="G1106">
        <f>Raw_Data!G1106</f>
        <v/>
      </c>
      <c r="H1106">
        <f>Raw_Data!H1106</f>
        <v/>
      </c>
      <c r="I1106">
        <f>Raw_Data!I1106</f>
        <v/>
      </c>
      <c r="J1106" s="12">
        <f>Raw_Data!J1106</f>
        <v/>
      </c>
      <c r="K1106" s="13">
        <f>Raw_Data!K1106</f>
        <v/>
      </c>
      <c r="L1106" s="12">
        <f>Raw_Data!L1106</f>
        <v/>
      </c>
      <c r="M1106" s="12">
        <f>Raw_Data!M1106</f>
        <v/>
      </c>
      <c r="N1106" s="12">
        <f>Raw_Data!N1106</f>
        <v/>
      </c>
      <c r="O1106">
        <f>Raw_Data!O1106</f>
        <v/>
      </c>
      <c r="P1106">
        <f>Raw_Data!P1106</f>
        <v/>
      </c>
      <c r="Q1106">
        <f>YEAR(B1106)</f>
        <v/>
      </c>
      <c r="R1106">
        <f>TEXT(B1106,"mmm")</f>
        <v/>
      </c>
      <c r="S1106" s="15">
        <f>IFERROR(N1106/L1106,0)</f>
        <v/>
      </c>
    </row>
    <row r="1107">
      <c r="A1107">
        <f>Raw_Data!A1107</f>
        <v/>
      </c>
      <c r="B1107" s="11">
        <f>Raw_Data!B1107</f>
        <v/>
      </c>
      <c r="C1107">
        <f>Raw_Data!C1107</f>
        <v/>
      </c>
      <c r="D1107">
        <f>Raw_Data!D1107</f>
        <v/>
      </c>
      <c r="E1107">
        <f>Raw_Data!E1107</f>
        <v/>
      </c>
      <c r="F1107">
        <f>Raw_Data!F1107</f>
        <v/>
      </c>
      <c r="G1107">
        <f>Raw_Data!G1107</f>
        <v/>
      </c>
      <c r="H1107">
        <f>Raw_Data!H1107</f>
        <v/>
      </c>
      <c r="I1107">
        <f>Raw_Data!I1107</f>
        <v/>
      </c>
      <c r="J1107" s="12">
        <f>Raw_Data!J1107</f>
        <v/>
      </c>
      <c r="K1107" s="13">
        <f>Raw_Data!K1107</f>
        <v/>
      </c>
      <c r="L1107" s="12">
        <f>Raw_Data!L1107</f>
        <v/>
      </c>
      <c r="M1107" s="12">
        <f>Raw_Data!M1107</f>
        <v/>
      </c>
      <c r="N1107" s="12">
        <f>Raw_Data!N1107</f>
        <v/>
      </c>
      <c r="O1107">
        <f>Raw_Data!O1107</f>
        <v/>
      </c>
      <c r="P1107">
        <f>Raw_Data!P1107</f>
        <v/>
      </c>
      <c r="Q1107">
        <f>YEAR(B1107)</f>
        <v/>
      </c>
      <c r="R1107">
        <f>TEXT(B1107,"mmm")</f>
        <v/>
      </c>
      <c r="S1107" s="15">
        <f>IFERROR(N1107/L1107,0)</f>
        <v/>
      </c>
    </row>
    <row r="1108">
      <c r="A1108">
        <f>Raw_Data!A1108</f>
        <v/>
      </c>
      <c r="B1108" s="11">
        <f>Raw_Data!B1108</f>
        <v/>
      </c>
      <c r="C1108">
        <f>Raw_Data!C1108</f>
        <v/>
      </c>
      <c r="D1108">
        <f>Raw_Data!D1108</f>
        <v/>
      </c>
      <c r="E1108">
        <f>Raw_Data!E1108</f>
        <v/>
      </c>
      <c r="F1108">
        <f>Raw_Data!F1108</f>
        <v/>
      </c>
      <c r="G1108">
        <f>Raw_Data!G1108</f>
        <v/>
      </c>
      <c r="H1108">
        <f>Raw_Data!H1108</f>
        <v/>
      </c>
      <c r="I1108">
        <f>Raw_Data!I1108</f>
        <v/>
      </c>
      <c r="J1108" s="12">
        <f>Raw_Data!J1108</f>
        <v/>
      </c>
      <c r="K1108" s="13">
        <f>Raw_Data!K1108</f>
        <v/>
      </c>
      <c r="L1108" s="12">
        <f>Raw_Data!L1108</f>
        <v/>
      </c>
      <c r="M1108" s="12">
        <f>Raw_Data!M1108</f>
        <v/>
      </c>
      <c r="N1108" s="12">
        <f>Raw_Data!N1108</f>
        <v/>
      </c>
      <c r="O1108">
        <f>Raw_Data!O1108</f>
        <v/>
      </c>
      <c r="P1108">
        <f>Raw_Data!P1108</f>
        <v/>
      </c>
      <c r="Q1108">
        <f>YEAR(B1108)</f>
        <v/>
      </c>
      <c r="R1108">
        <f>TEXT(B1108,"mmm")</f>
        <v/>
      </c>
      <c r="S1108" s="15">
        <f>IFERROR(N1108/L1108,0)</f>
        <v/>
      </c>
    </row>
    <row r="1109">
      <c r="A1109">
        <f>Raw_Data!A1109</f>
        <v/>
      </c>
      <c r="B1109" s="11">
        <f>Raw_Data!B1109</f>
        <v/>
      </c>
      <c r="C1109">
        <f>Raw_Data!C1109</f>
        <v/>
      </c>
      <c r="D1109">
        <f>Raw_Data!D1109</f>
        <v/>
      </c>
      <c r="E1109">
        <f>Raw_Data!E1109</f>
        <v/>
      </c>
      <c r="F1109">
        <f>Raw_Data!F1109</f>
        <v/>
      </c>
      <c r="G1109">
        <f>Raw_Data!G1109</f>
        <v/>
      </c>
      <c r="H1109">
        <f>Raw_Data!H1109</f>
        <v/>
      </c>
      <c r="I1109">
        <f>Raw_Data!I1109</f>
        <v/>
      </c>
      <c r="J1109" s="12">
        <f>Raw_Data!J1109</f>
        <v/>
      </c>
      <c r="K1109" s="13">
        <f>Raw_Data!K1109</f>
        <v/>
      </c>
      <c r="L1109" s="12">
        <f>Raw_Data!L1109</f>
        <v/>
      </c>
      <c r="M1109" s="12">
        <f>Raw_Data!M1109</f>
        <v/>
      </c>
      <c r="N1109" s="12">
        <f>Raw_Data!N1109</f>
        <v/>
      </c>
      <c r="O1109">
        <f>Raw_Data!O1109</f>
        <v/>
      </c>
      <c r="P1109">
        <f>Raw_Data!P1109</f>
        <v/>
      </c>
      <c r="Q1109">
        <f>YEAR(B1109)</f>
        <v/>
      </c>
      <c r="R1109">
        <f>TEXT(B1109,"mmm")</f>
        <v/>
      </c>
      <c r="S1109" s="15">
        <f>IFERROR(N1109/L1109,0)</f>
        <v/>
      </c>
    </row>
    <row r="1110">
      <c r="A1110">
        <f>Raw_Data!A1110</f>
        <v/>
      </c>
      <c r="B1110" s="11">
        <f>Raw_Data!B1110</f>
        <v/>
      </c>
      <c r="C1110">
        <f>Raw_Data!C1110</f>
        <v/>
      </c>
      <c r="D1110">
        <f>Raw_Data!D1110</f>
        <v/>
      </c>
      <c r="E1110">
        <f>Raw_Data!E1110</f>
        <v/>
      </c>
      <c r="F1110">
        <f>Raw_Data!F1110</f>
        <v/>
      </c>
      <c r="G1110">
        <f>Raw_Data!G1110</f>
        <v/>
      </c>
      <c r="H1110">
        <f>Raw_Data!H1110</f>
        <v/>
      </c>
      <c r="I1110">
        <f>Raw_Data!I1110</f>
        <v/>
      </c>
      <c r="J1110" s="12">
        <f>Raw_Data!J1110</f>
        <v/>
      </c>
      <c r="K1110" s="13">
        <f>Raw_Data!K1110</f>
        <v/>
      </c>
      <c r="L1110" s="12">
        <f>Raw_Data!L1110</f>
        <v/>
      </c>
      <c r="M1110" s="12">
        <f>Raw_Data!M1110</f>
        <v/>
      </c>
      <c r="N1110" s="12">
        <f>Raw_Data!N1110</f>
        <v/>
      </c>
      <c r="O1110">
        <f>Raw_Data!O1110</f>
        <v/>
      </c>
      <c r="P1110">
        <f>Raw_Data!P1110</f>
        <v/>
      </c>
      <c r="Q1110">
        <f>YEAR(B1110)</f>
        <v/>
      </c>
      <c r="R1110">
        <f>TEXT(B1110,"mmm")</f>
        <v/>
      </c>
      <c r="S1110" s="15">
        <f>IFERROR(N1110/L1110,0)</f>
        <v/>
      </c>
    </row>
    <row r="1111">
      <c r="A1111">
        <f>Raw_Data!A1111</f>
        <v/>
      </c>
      <c r="B1111" s="11">
        <f>Raw_Data!B1111</f>
        <v/>
      </c>
      <c r="C1111">
        <f>Raw_Data!C1111</f>
        <v/>
      </c>
      <c r="D1111">
        <f>Raw_Data!D1111</f>
        <v/>
      </c>
      <c r="E1111">
        <f>Raw_Data!E1111</f>
        <v/>
      </c>
      <c r="F1111">
        <f>Raw_Data!F1111</f>
        <v/>
      </c>
      <c r="G1111">
        <f>Raw_Data!G1111</f>
        <v/>
      </c>
      <c r="H1111">
        <f>Raw_Data!H1111</f>
        <v/>
      </c>
      <c r="I1111">
        <f>Raw_Data!I1111</f>
        <v/>
      </c>
      <c r="J1111" s="12">
        <f>Raw_Data!J1111</f>
        <v/>
      </c>
      <c r="K1111" s="13">
        <f>Raw_Data!K1111</f>
        <v/>
      </c>
      <c r="L1111" s="12">
        <f>Raw_Data!L1111</f>
        <v/>
      </c>
      <c r="M1111" s="12">
        <f>Raw_Data!M1111</f>
        <v/>
      </c>
      <c r="N1111" s="12">
        <f>Raw_Data!N1111</f>
        <v/>
      </c>
      <c r="O1111">
        <f>Raw_Data!O1111</f>
        <v/>
      </c>
      <c r="P1111">
        <f>Raw_Data!P1111</f>
        <v/>
      </c>
      <c r="Q1111">
        <f>YEAR(B1111)</f>
        <v/>
      </c>
      <c r="R1111">
        <f>TEXT(B1111,"mmm")</f>
        <v/>
      </c>
      <c r="S1111" s="15">
        <f>IFERROR(N1111/L1111,0)</f>
        <v/>
      </c>
    </row>
    <row r="1112">
      <c r="A1112">
        <f>Raw_Data!A1112</f>
        <v/>
      </c>
      <c r="B1112" s="11">
        <f>Raw_Data!B1112</f>
        <v/>
      </c>
      <c r="C1112">
        <f>Raw_Data!C1112</f>
        <v/>
      </c>
      <c r="D1112">
        <f>Raw_Data!D1112</f>
        <v/>
      </c>
      <c r="E1112">
        <f>Raw_Data!E1112</f>
        <v/>
      </c>
      <c r="F1112">
        <f>Raw_Data!F1112</f>
        <v/>
      </c>
      <c r="G1112">
        <f>Raw_Data!G1112</f>
        <v/>
      </c>
      <c r="H1112">
        <f>Raw_Data!H1112</f>
        <v/>
      </c>
      <c r="I1112">
        <f>Raw_Data!I1112</f>
        <v/>
      </c>
      <c r="J1112" s="12">
        <f>Raw_Data!J1112</f>
        <v/>
      </c>
      <c r="K1112" s="13">
        <f>Raw_Data!K1112</f>
        <v/>
      </c>
      <c r="L1112" s="12">
        <f>Raw_Data!L1112</f>
        <v/>
      </c>
      <c r="M1112" s="12">
        <f>Raw_Data!M1112</f>
        <v/>
      </c>
      <c r="N1112" s="12">
        <f>Raw_Data!N1112</f>
        <v/>
      </c>
      <c r="O1112">
        <f>Raw_Data!O1112</f>
        <v/>
      </c>
      <c r="P1112">
        <f>Raw_Data!P1112</f>
        <v/>
      </c>
      <c r="Q1112">
        <f>YEAR(B1112)</f>
        <v/>
      </c>
      <c r="R1112">
        <f>TEXT(B1112,"mmm")</f>
        <v/>
      </c>
      <c r="S1112" s="15">
        <f>IFERROR(N1112/L1112,0)</f>
        <v/>
      </c>
    </row>
    <row r="1113">
      <c r="A1113">
        <f>Raw_Data!A1113</f>
        <v/>
      </c>
      <c r="B1113" s="11">
        <f>Raw_Data!B1113</f>
        <v/>
      </c>
      <c r="C1113">
        <f>Raw_Data!C1113</f>
        <v/>
      </c>
      <c r="D1113">
        <f>Raw_Data!D1113</f>
        <v/>
      </c>
      <c r="E1113">
        <f>Raw_Data!E1113</f>
        <v/>
      </c>
      <c r="F1113">
        <f>Raw_Data!F1113</f>
        <v/>
      </c>
      <c r="G1113">
        <f>Raw_Data!G1113</f>
        <v/>
      </c>
      <c r="H1113">
        <f>Raw_Data!H1113</f>
        <v/>
      </c>
      <c r="I1113">
        <f>Raw_Data!I1113</f>
        <v/>
      </c>
      <c r="J1113" s="12">
        <f>Raw_Data!J1113</f>
        <v/>
      </c>
      <c r="K1113" s="13">
        <f>Raw_Data!K1113</f>
        <v/>
      </c>
      <c r="L1113" s="12">
        <f>Raw_Data!L1113</f>
        <v/>
      </c>
      <c r="M1113" s="12">
        <f>Raw_Data!M1113</f>
        <v/>
      </c>
      <c r="N1113" s="12">
        <f>Raw_Data!N1113</f>
        <v/>
      </c>
      <c r="O1113">
        <f>Raw_Data!O1113</f>
        <v/>
      </c>
      <c r="P1113">
        <f>Raw_Data!P1113</f>
        <v/>
      </c>
      <c r="Q1113">
        <f>YEAR(B1113)</f>
        <v/>
      </c>
      <c r="R1113">
        <f>TEXT(B1113,"mmm")</f>
        <v/>
      </c>
      <c r="S1113" s="15">
        <f>IFERROR(N1113/L1113,0)</f>
        <v/>
      </c>
    </row>
    <row r="1114">
      <c r="A1114">
        <f>Raw_Data!A1114</f>
        <v/>
      </c>
      <c r="B1114" s="11">
        <f>Raw_Data!B1114</f>
        <v/>
      </c>
      <c r="C1114">
        <f>Raw_Data!C1114</f>
        <v/>
      </c>
      <c r="D1114">
        <f>Raw_Data!D1114</f>
        <v/>
      </c>
      <c r="E1114">
        <f>Raw_Data!E1114</f>
        <v/>
      </c>
      <c r="F1114">
        <f>Raw_Data!F1114</f>
        <v/>
      </c>
      <c r="G1114">
        <f>Raw_Data!G1114</f>
        <v/>
      </c>
      <c r="H1114">
        <f>Raw_Data!H1114</f>
        <v/>
      </c>
      <c r="I1114">
        <f>Raw_Data!I1114</f>
        <v/>
      </c>
      <c r="J1114" s="12">
        <f>Raw_Data!J1114</f>
        <v/>
      </c>
      <c r="K1114" s="13">
        <f>Raw_Data!K1114</f>
        <v/>
      </c>
      <c r="L1114" s="12">
        <f>Raw_Data!L1114</f>
        <v/>
      </c>
      <c r="M1114" s="12">
        <f>Raw_Data!M1114</f>
        <v/>
      </c>
      <c r="N1114" s="12">
        <f>Raw_Data!N1114</f>
        <v/>
      </c>
      <c r="O1114">
        <f>Raw_Data!O1114</f>
        <v/>
      </c>
      <c r="P1114">
        <f>Raw_Data!P1114</f>
        <v/>
      </c>
      <c r="Q1114">
        <f>YEAR(B1114)</f>
        <v/>
      </c>
      <c r="R1114">
        <f>TEXT(B1114,"mmm")</f>
        <v/>
      </c>
      <c r="S1114" s="15">
        <f>IFERROR(N1114/L1114,0)</f>
        <v/>
      </c>
    </row>
    <row r="1115">
      <c r="A1115">
        <f>Raw_Data!A1115</f>
        <v/>
      </c>
      <c r="B1115" s="11">
        <f>Raw_Data!B1115</f>
        <v/>
      </c>
      <c r="C1115">
        <f>Raw_Data!C1115</f>
        <v/>
      </c>
      <c r="D1115">
        <f>Raw_Data!D1115</f>
        <v/>
      </c>
      <c r="E1115">
        <f>Raw_Data!E1115</f>
        <v/>
      </c>
      <c r="F1115">
        <f>Raw_Data!F1115</f>
        <v/>
      </c>
      <c r="G1115">
        <f>Raw_Data!G1115</f>
        <v/>
      </c>
      <c r="H1115">
        <f>Raw_Data!H1115</f>
        <v/>
      </c>
      <c r="I1115">
        <f>Raw_Data!I1115</f>
        <v/>
      </c>
      <c r="J1115" s="12">
        <f>Raw_Data!J1115</f>
        <v/>
      </c>
      <c r="K1115" s="13">
        <f>Raw_Data!K1115</f>
        <v/>
      </c>
      <c r="L1115" s="12">
        <f>Raw_Data!L1115</f>
        <v/>
      </c>
      <c r="M1115" s="12">
        <f>Raw_Data!M1115</f>
        <v/>
      </c>
      <c r="N1115" s="12">
        <f>Raw_Data!N1115</f>
        <v/>
      </c>
      <c r="O1115">
        <f>Raw_Data!O1115</f>
        <v/>
      </c>
      <c r="P1115">
        <f>Raw_Data!P1115</f>
        <v/>
      </c>
      <c r="Q1115">
        <f>YEAR(B1115)</f>
        <v/>
      </c>
      <c r="R1115">
        <f>TEXT(B1115,"mmm")</f>
        <v/>
      </c>
      <c r="S1115" s="15">
        <f>IFERROR(N1115/L1115,0)</f>
        <v/>
      </c>
    </row>
    <row r="1116">
      <c r="A1116">
        <f>Raw_Data!A1116</f>
        <v/>
      </c>
      <c r="B1116" s="11">
        <f>Raw_Data!B1116</f>
        <v/>
      </c>
      <c r="C1116">
        <f>Raw_Data!C1116</f>
        <v/>
      </c>
      <c r="D1116">
        <f>Raw_Data!D1116</f>
        <v/>
      </c>
      <c r="E1116">
        <f>Raw_Data!E1116</f>
        <v/>
      </c>
      <c r="F1116">
        <f>Raw_Data!F1116</f>
        <v/>
      </c>
      <c r="G1116">
        <f>Raw_Data!G1116</f>
        <v/>
      </c>
      <c r="H1116">
        <f>Raw_Data!H1116</f>
        <v/>
      </c>
      <c r="I1116">
        <f>Raw_Data!I1116</f>
        <v/>
      </c>
      <c r="J1116" s="12">
        <f>Raw_Data!J1116</f>
        <v/>
      </c>
      <c r="K1116" s="13">
        <f>Raw_Data!K1116</f>
        <v/>
      </c>
      <c r="L1116" s="12">
        <f>Raw_Data!L1116</f>
        <v/>
      </c>
      <c r="M1116" s="12">
        <f>Raw_Data!M1116</f>
        <v/>
      </c>
      <c r="N1116" s="12">
        <f>Raw_Data!N1116</f>
        <v/>
      </c>
      <c r="O1116">
        <f>Raw_Data!O1116</f>
        <v/>
      </c>
      <c r="P1116">
        <f>Raw_Data!P1116</f>
        <v/>
      </c>
      <c r="Q1116">
        <f>YEAR(B1116)</f>
        <v/>
      </c>
      <c r="R1116">
        <f>TEXT(B1116,"mmm")</f>
        <v/>
      </c>
      <c r="S1116" s="15">
        <f>IFERROR(N1116/L1116,0)</f>
        <v/>
      </c>
    </row>
    <row r="1117">
      <c r="A1117">
        <f>Raw_Data!A1117</f>
        <v/>
      </c>
      <c r="B1117" s="11">
        <f>Raw_Data!B1117</f>
        <v/>
      </c>
      <c r="C1117">
        <f>Raw_Data!C1117</f>
        <v/>
      </c>
      <c r="D1117">
        <f>Raw_Data!D1117</f>
        <v/>
      </c>
      <c r="E1117">
        <f>Raw_Data!E1117</f>
        <v/>
      </c>
      <c r="F1117">
        <f>Raw_Data!F1117</f>
        <v/>
      </c>
      <c r="G1117">
        <f>Raw_Data!G1117</f>
        <v/>
      </c>
      <c r="H1117">
        <f>Raw_Data!H1117</f>
        <v/>
      </c>
      <c r="I1117">
        <f>Raw_Data!I1117</f>
        <v/>
      </c>
      <c r="J1117" s="12">
        <f>Raw_Data!J1117</f>
        <v/>
      </c>
      <c r="K1117" s="13">
        <f>Raw_Data!K1117</f>
        <v/>
      </c>
      <c r="L1117" s="12">
        <f>Raw_Data!L1117</f>
        <v/>
      </c>
      <c r="M1117" s="12">
        <f>Raw_Data!M1117</f>
        <v/>
      </c>
      <c r="N1117" s="12">
        <f>Raw_Data!N1117</f>
        <v/>
      </c>
      <c r="O1117">
        <f>Raw_Data!O1117</f>
        <v/>
      </c>
      <c r="P1117">
        <f>Raw_Data!P1117</f>
        <v/>
      </c>
      <c r="Q1117">
        <f>YEAR(B1117)</f>
        <v/>
      </c>
      <c r="R1117">
        <f>TEXT(B1117,"mmm")</f>
        <v/>
      </c>
      <c r="S1117" s="15">
        <f>IFERROR(N1117/L1117,0)</f>
        <v/>
      </c>
    </row>
    <row r="1118">
      <c r="A1118">
        <f>Raw_Data!A1118</f>
        <v/>
      </c>
      <c r="B1118" s="11">
        <f>Raw_Data!B1118</f>
        <v/>
      </c>
      <c r="C1118">
        <f>Raw_Data!C1118</f>
        <v/>
      </c>
      <c r="D1118">
        <f>Raw_Data!D1118</f>
        <v/>
      </c>
      <c r="E1118">
        <f>Raw_Data!E1118</f>
        <v/>
      </c>
      <c r="F1118">
        <f>Raw_Data!F1118</f>
        <v/>
      </c>
      <c r="G1118">
        <f>Raw_Data!G1118</f>
        <v/>
      </c>
      <c r="H1118">
        <f>Raw_Data!H1118</f>
        <v/>
      </c>
      <c r="I1118">
        <f>Raw_Data!I1118</f>
        <v/>
      </c>
      <c r="J1118" s="12">
        <f>Raw_Data!J1118</f>
        <v/>
      </c>
      <c r="K1118" s="13">
        <f>Raw_Data!K1118</f>
        <v/>
      </c>
      <c r="L1118" s="12">
        <f>Raw_Data!L1118</f>
        <v/>
      </c>
      <c r="M1118" s="12">
        <f>Raw_Data!M1118</f>
        <v/>
      </c>
      <c r="N1118" s="12">
        <f>Raw_Data!N1118</f>
        <v/>
      </c>
      <c r="O1118">
        <f>Raw_Data!O1118</f>
        <v/>
      </c>
      <c r="P1118">
        <f>Raw_Data!P1118</f>
        <v/>
      </c>
      <c r="Q1118">
        <f>YEAR(B1118)</f>
        <v/>
      </c>
      <c r="R1118">
        <f>TEXT(B1118,"mmm")</f>
        <v/>
      </c>
      <c r="S1118" s="15">
        <f>IFERROR(N1118/L1118,0)</f>
        <v/>
      </c>
    </row>
    <row r="1119">
      <c r="A1119">
        <f>Raw_Data!A1119</f>
        <v/>
      </c>
      <c r="B1119" s="11">
        <f>Raw_Data!B1119</f>
        <v/>
      </c>
      <c r="C1119">
        <f>Raw_Data!C1119</f>
        <v/>
      </c>
      <c r="D1119">
        <f>Raw_Data!D1119</f>
        <v/>
      </c>
      <c r="E1119">
        <f>Raw_Data!E1119</f>
        <v/>
      </c>
      <c r="F1119">
        <f>Raw_Data!F1119</f>
        <v/>
      </c>
      <c r="G1119">
        <f>Raw_Data!G1119</f>
        <v/>
      </c>
      <c r="H1119">
        <f>Raw_Data!H1119</f>
        <v/>
      </c>
      <c r="I1119">
        <f>Raw_Data!I1119</f>
        <v/>
      </c>
      <c r="J1119" s="12">
        <f>Raw_Data!J1119</f>
        <v/>
      </c>
      <c r="K1119" s="13">
        <f>Raw_Data!K1119</f>
        <v/>
      </c>
      <c r="L1119" s="12">
        <f>Raw_Data!L1119</f>
        <v/>
      </c>
      <c r="M1119" s="12">
        <f>Raw_Data!M1119</f>
        <v/>
      </c>
      <c r="N1119" s="12">
        <f>Raw_Data!N1119</f>
        <v/>
      </c>
      <c r="O1119">
        <f>Raw_Data!O1119</f>
        <v/>
      </c>
      <c r="P1119">
        <f>Raw_Data!P1119</f>
        <v/>
      </c>
      <c r="Q1119">
        <f>YEAR(B1119)</f>
        <v/>
      </c>
      <c r="R1119">
        <f>TEXT(B1119,"mmm")</f>
        <v/>
      </c>
      <c r="S1119" s="15">
        <f>IFERROR(N1119/L1119,0)</f>
        <v/>
      </c>
    </row>
    <row r="1120">
      <c r="A1120">
        <f>Raw_Data!A1120</f>
        <v/>
      </c>
      <c r="B1120" s="11">
        <f>Raw_Data!B1120</f>
        <v/>
      </c>
      <c r="C1120">
        <f>Raw_Data!C1120</f>
        <v/>
      </c>
      <c r="D1120">
        <f>Raw_Data!D1120</f>
        <v/>
      </c>
      <c r="E1120">
        <f>Raw_Data!E1120</f>
        <v/>
      </c>
      <c r="F1120">
        <f>Raw_Data!F1120</f>
        <v/>
      </c>
      <c r="G1120">
        <f>Raw_Data!G1120</f>
        <v/>
      </c>
      <c r="H1120">
        <f>Raw_Data!H1120</f>
        <v/>
      </c>
      <c r="I1120">
        <f>Raw_Data!I1120</f>
        <v/>
      </c>
      <c r="J1120" s="12">
        <f>Raw_Data!J1120</f>
        <v/>
      </c>
      <c r="K1120" s="13">
        <f>Raw_Data!K1120</f>
        <v/>
      </c>
      <c r="L1120" s="12">
        <f>Raw_Data!L1120</f>
        <v/>
      </c>
      <c r="M1120" s="12">
        <f>Raw_Data!M1120</f>
        <v/>
      </c>
      <c r="N1120" s="12">
        <f>Raw_Data!N1120</f>
        <v/>
      </c>
      <c r="O1120">
        <f>Raw_Data!O1120</f>
        <v/>
      </c>
      <c r="P1120">
        <f>Raw_Data!P1120</f>
        <v/>
      </c>
      <c r="Q1120">
        <f>YEAR(B1120)</f>
        <v/>
      </c>
      <c r="R1120">
        <f>TEXT(B1120,"mmm")</f>
        <v/>
      </c>
      <c r="S1120" s="15">
        <f>IFERROR(N1120/L1120,0)</f>
        <v/>
      </c>
    </row>
    <row r="1121">
      <c r="A1121">
        <f>Raw_Data!A1121</f>
        <v/>
      </c>
      <c r="B1121" s="11">
        <f>Raw_Data!B1121</f>
        <v/>
      </c>
      <c r="C1121">
        <f>Raw_Data!C1121</f>
        <v/>
      </c>
      <c r="D1121">
        <f>Raw_Data!D1121</f>
        <v/>
      </c>
      <c r="E1121">
        <f>Raw_Data!E1121</f>
        <v/>
      </c>
      <c r="F1121">
        <f>Raw_Data!F1121</f>
        <v/>
      </c>
      <c r="G1121">
        <f>Raw_Data!G1121</f>
        <v/>
      </c>
      <c r="H1121">
        <f>Raw_Data!H1121</f>
        <v/>
      </c>
      <c r="I1121">
        <f>Raw_Data!I1121</f>
        <v/>
      </c>
      <c r="J1121" s="12">
        <f>Raw_Data!J1121</f>
        <v/>
      </c>
      <c r="K1121" s="13">
        <f>Raw_Data!K1121</f>
        <v/>
      </c>
      <c r="L1121" s="12">
        <f>Raw_Data!L1121</f>
        <v/>
      </c>
      <c r="M1121" s="12">
        <f>Raw_Data!M1121</f>
        <v/>
      </c>
      <c r="N1121" s="12">
        <f>Raw_Data!N1121</f>
        <v/>
      </c>
      <c r="O1121">
        <f>Raw_Data!O1121</f>
        <v/>
      </c>
      <c r="P1121">
        <f>Raw_Data!P1121</f>
        <v/>
      </c>
      <c r="Q1121">
        <f>YEAR(B1121)</f>
        <v/>
      </c>
      <c r="R1121">
        <f>TEXT(B1121,"mmm")</f>
        <v/>
      </c>
      <c r="S1121" s="15">
        <f>IFERROR(N1121/L1121,0)</f>
        <v/>
      </c>
    </row>
    <row r="1122">
      <c r="A1122">
        <f>Raw_Data!A1122</f>
        <v/>
      </c>
      <c r="B1122" s="11">
        <f>Raw_Data!B1122</f>
        <v/>
      </c>
      <c r="C1122">
        <f>Raw_Data!C1122</f>
        <v/>
      </c>
      <c r="D1122">
        <f>Raw_Data!D1122</f>
        <v/>
      </c>
      <c r="E1122">
        <f>Raw_Data!E1122</f>
        <v/>
      </c>
      <c r="F1122">
        <f>Raw_Data!F1122</f>
        <v/>
      </c>
      <c r="G1122">
        <f>Raw_Data!G1122</f>
        <v/>
      </c>
      <c r="H1122">
        <f>Raw_Data!H1122</f>
        <v/>
      </c>
      <c r="I1122">
        <f>Raw_Data!I1122</f>
        <v/>
      </c>
      <c r="J1122" s="12">
        <f>Raw_Data!J1122</f>
        <v/>
      </c>
      <c r="K1122" s="13">
        <f>Raw_Data!K1122</f>
        <v/>
      </c>
      <c r="L1122" s="12">
        <f>Raw_Data!L1122</f>
        <v/>
      </c>
      <c r="M1122" s="12">
        <f>Raw_Data!M1122</f>
        <v/>
      </c>
      <c r="N1122" s="12">
        <f>Raw_Data!N1122</f>
        <v/>
      </c>
      <c r="O1122">
        <f>Raw_Data!O1122</f>
        <v/>
      </c>
      <c r="P1122">
        <f>Raw_Data!P1122</f>
        <v/>
      </c>
      <c r="Q1122">
        <f>YEAR(B1122)</f>
        <v/>
      </c>
      <c r="R1122">
        <f>TEXT(B1122,"mmm")</f>
        <v/>
      </c>
      <c r="S1122" s="15">
        <f>IFERROR(N1122/L1122,0)</f>
        <v/>
      </c>
    </row>
    <row r="1123">
      <c r="A1123">
        <f>Raw_Data!A1123</f>
        <v/>
      </c>
      <c r="B1123" s="11">
        <f>Raw_Data!B1123</f>
        <v/>
      </c>
      <c r="C1123">
        <f>Raw_Data!C1123</f>
        <v/>
      </c>
      <c r="D1123">
        <f>Raw_Data!D1123</f>
        <v/>
      </c>
      <c r="E1123">
        <f>Raw_Data!E1123</f>
        <v/>
      </c>
      <c r="F1123">
        <f>Raw_Data!F1123</f>
        <v/>
      </c>
      <c r="G1123">
        <f>Raw_Data!G1123</f>
        <v/>
      </c>
      <c r="H1123">
        <f>Raw_Data!H1123</f>
        <v/>
      </c>
      <c r="I1123">
        <f>Raw_Data!I1123</f>
        <v/>
      </c>
      <c r="J1123" s="12">
        <f>Raw_Data!J1123</f>
        <v/>
      </c>
      <c r="K1123" s="13">
        <f>Raw_Data!K1123</f>
        <v/>
      </c>
      <c r="L1123" s="12">
        <f>Raw_Data!L1123</f>
        <v/>
      </c>
      <c r="M1123" s="12">
        <f>Raw_Data!M1123</f>
        <v/>
      </c>
      <c r="N1123" s="12">
        <f>Raw_Data!N1123</f>
        <v/>
      </c>
      <c r="O1123">
        <f>Raw_Data!O1123</f>
        <v/>
      </c>
      <c r="P1123">
        <f>Raw_Data!P1123</f>
        <v/>
      </c>
      <c r="Q1123">
        <f>YEAR(B1123)</f>
        <v/>
      </c>
      <c r="R1123">
        <f>TEXT(B1123,"mmm")</f>
        <v/>
      </c>
      <c r="S1123" s="15">
        <f>IFERROR(N1123/L1123,0)</f>
        <v/>
      </c>
    </row>
    <row r="1124">
      <c r="A1124">
        <f>Raw_Data!A1124</f>
        <v/>
      </c>
      <c r="B1124" s="11">
        <f>Raw_Data!B1124</f>
        <v/>
      </c>
      <c r="C1124">
        <f>Raw_Data!C1124</f>
        <v/>
      </c>
      <c r="D1124">
        <f>Raw_Data!D1124</f>
        <v/>
      </c>
      <c r="E1124">
        <f>Raw_Data!E1124</f>
        <v/>
      </c>
      <c r="F1124">
        <f>Raw_Data!F1124</f>
        <v/>
      </c>
      <c r="G1124">
        <f>Raw_Data!G1124</f>
        <v/>
      </c>
      <c r="H1124">
        <f>Raw_Data!H1124</f>
        <v/>
      </c>
      <c r="I1124">
        <f>Raw_Data!I1124</f>
        <v/>
      </c>
      <c r="J1124" s="12">
        <f>Raw_Data!J1124</f>
        <v/>
      </c>
      <c r="K1124" s="13">
        <f>Raw_Data!K1124</f>
        <v/>
      </c>
      <c r="L1124" s="12">
        <f>Raw_Data!L1124</f>
        <v/>
      </c>
      <c r="M1124" s="12">
        <f>Raw_Data!M1124</f>
        <v/>
      </c>
      <c r="N1124" s="12">
        <f>Raw_Data!N1124</f>
        <v/>
      </c>
      <c r="O1124">
        <f>Raw_Data!O1124</f>
        <v/>
      </c>
      <c r="P1124">
        <f>Raw_Data!P1124</f>
        <v/>
      </c>
      <c r="Q1124">
        <f>YEAR(B1124)</f>
        <v/>
      </c>
      <c r="R1124">
        <f>TEXT(B1124,"mmm")</f>
        <v/>
      </c>
      <c r="S1124" s="15">
        <f>IFERROR(N1124/L1124,0)</f>
        <v/>
      </c>
    </row>
    <row r="1125">
      <c r="A1125">
        <f>Raw_Data!A1125</f>
        <v/>
      </c>
      <c r="B1125" s="11">
        <f>Raw_Data!B1125</f>
        <v/>
      </c>
      <c r="C1125">
        <f>Raw_Data!C1125</f>
        <v/>
      </c>
      <c r="D1125">
        <f>Raw_Data!D1125</f>
        <v/>
      </c>
      <c r="E1125">
        <f>Raw_Data!E1125</f>
        <v/>
      </c>
      <c r="F1125">
        <f>Raw_Data!F1125</f>
        <v/>
      </c>
      <c r="G1125">
        <f>Raw_Data!G1125</f>
        <v/>
      </c>
      <c r="H1125">
        <f>Raw_Data!H1125</f>
        <v/>
      </c>
      <c r="I1125">
        <f>Raw_Data!I1125</f>
        <v/>
      </c>
      <c r="J1125" s="12">
        <f>Raw_Data!J1125</f>
        <v/>
      </c>
      <c r="K1125" s="13">
        <f>Raw_Data!K1125</f>
        <v/>
      </c>
      <c r="L1125" s="12">
        <f>Raw_Data!L1125</f>
        <v/>
      </c>
      <c r="M1125" s="12">
        <f>Raw_Data!M1125</f>
        <v/>
      </c>
      <c r="N1125" s="12">
        <f>Raw_Data!N1125</f>
        <v/>
      </c>
      <c r="O1125">
        <f>Raw_Data!O1125</f>
        <v/>
      </c>
      <c r="P1125">
        <f>Raw_Data!P1125</f>
        <v/>
      </c>
      <c r="Q1125">
        <f>YEAR(B1125)</f>
        <v/>
      </c>
      <c r="R1125">
        <f>TEXT(B1125,"mmm")</f>
        <v/>
      </c>
      <c r="S1125" s="15">
        <f>IFERROR(N1125/L1125,0)</f>
        <v/>
      </c>
    </row>
    <row r="1126">
      <c r="A1126">
        <f>Raw_Data!A1126</f>
        <v/>
      </c>
      <c r="B1126" s="11">
        <f>Raw_Data!B1126</f>
        <v/>
      </c>
      <c r="C1126">
        <f>Raw_Data!C1126</f>
        <v/>
      </c>
      <c r="D1126">
        <f>Raw_Data!D1126</f>
        <v/>
      </c>
      <c r="E1126">
        <f>Raw_Data!E1126</f>
        <v/>
      </c>
      <c r="F1126">
        <f>Raw_Data!F1126</f>
        <v/>
      </c>
      <c r="G1126">
        <f>Raw_Data!G1126</f>
        <v/>
      </c>
      <c r="H1126">
        <f>Raw_Data!H1126</f>
        <v/>
      </c>
      <c r="I1126">
        <f>Raw_Data!I1126</f>
        <v/>
      </c>
      <c r="J1126" s="12">
        <f>Raw_Data!J1126</f>
        <v/>
      </c>
      <c r="K1126" s="13">
        <f>Raw_Data!K1126</f>
        <v/>
      </c>
      <c r="L1126" s="12">
        <f>Raw_Data!L1126</f>
        <v/>
      </c>
      <c r="M1126" s="12">
        <f>Raw_Data!M1126</f>
        <v/>
      </c>
      <c r="N1126" s="12">
        <f>Raw_Data!N1126</f>
        <v/>
      </c>
      <c r="O1126">
        <f>Raw_Data!O1126</f>
        <v/>
      </c>
      <c r="P1126">
        <f>Raw_Data!P1126</f>
        <v/>
      </c>
      <c r="Q1126">
        <f>YEAR(B1126)</f>
        <v/>
      </c>
      <c r="R1126">
        <f>TEXT(B1126,"mmm")</f>
        <v/>
      </c>
      <c r="S1126" s="15">
        <f>IFERROR(N1126/L1126,0)</f>
        <v/>
      </c>
    </row>
    <row r="1127">
      <c r="A1127">
        <f>Raw_Data!A1127</f>
        <v/>
      </c>
      <c r="B1127" s="11">
        <f>Raw_Data!B1127</f>
        <v/>
      </c>
      <c r="C1127">
        <f>Raw_Data!C1127</f>
        <v/>
      </c>
      <c r="D1127">
        <f>Raw_Data!D1127</f>
        <v/>
      </c>
      <c r="E1127">
        <f>Raw_Data!E1127</f>
        <v/>
      </c>
      <c r="F1127">
        <f>Raw_Data!F1127</f>
        <v/>
      </c>
      <c r="G1127">
        <f>Raw_Data!G1127</f>
        <v/>
      </c>
      <c r="H1127">
        <f>Raw_Data!H1127</f>
        <v/>
      </c>
      <c r="I1127">
        <f>Raw_Data!I1127</f>
        <v/>
      </c>
      <c r="J1127" s="12">
        <f>Raw_Data!J1127</f>
        <v/>
      </c>
      <c r="K1127" s="13">
        <f>Raw_Data!K1127</f>
        <v/>
      </c>
      <c r="L1127" s="12">
        <f>Raw_Data!L1127</f>
        <v/>
      </c>
      <c r="M1127" s="12">
        <f>Raw_Data!M1127</f>
        <v/>
      </c>
      <c r="N1127" s="12">
        <f>Raw_Data!N1127</f>
        <v/>
      </c>
      <c r="O1127">
        <f>Raw_Data!O1127</f>
        <v/>
      </c>
      <c r="P1127">
        <f>Raw_Data!P1127</f>
        <v/>
      </c>
      <c r="Q1127">
        <f>YEAR(B1127)</f>
        <v/>
      </c>
      <c r="R1127">
        <f>TEXT(B1127,"mmm")</f>
        <v/>
      </c>
      <c r="S1127" s="15">
        <f>IFERROR(N1127/L1127,0)</f>
        <v/>
      </c>
    </row>
    <row r="1128">
      <c r="A1128">
        <f>Raw_Data!A1128</f>
        <v/>
      </c>
      <c r="B1128" s="11">
        <f>Raw_Data!B1128</f>
        <v/>
      </c>
      <c r="C1128">
        <f>Raw_Data!C1128</f>
        <v/>
      </c>
      <c r="D1128">
        <f>Raw_Data!D1128</f>
        <v/>
      </c>
      <c r="E1128">
        <f>Raw_Data!E1128</f>
        <v/>
      </c>
      <c r="F1128">
        <f>Raw_Data!F1128</f>
        <v/>
      </c>
      <c r="G1128">
        <f>Raw_Data!G1128</f>
        <v/>
      </c>
      <c r="H1128">
        <f>Raw_Data!H1128</f>
        <v/>
      </c>
      <c r="I1128">
        <f>Raw_Data!I1128</f>
        <v/>
      </c>
      <c r="J1128" s="12">
        <f>Raw_Data!J1128</f>
        <v/>
      </c>
      <c r="K1128" s="13">
        <f>Raw_Data!K1128</f>
        <v/>
      </c>
      <c r="L1128" s="12">
        <f>Raw_Data!L1128</f>
        <v/>
      </c>
      <c r="M1128" s="12">
        <f>Raw_Data!M1128</f>
        <v/>
      </c>
      <c r="N1128" s="12">
        <f>Raw_Data!N1128</f>
        <v/>
      </c>
      <c r="O1128">
        <f>Raw_Data!O1128</f>
        <v/>
      </c>
      <c r="P1128">
        <f>Raw_Data!P1128</f>
        <v/>
      </c>
      <c r="Q1128">
        <f>YEAR(B1128)</f>
        <v/>
      </c>
      <c r="R1128">
        <f>TEXT(B1128,"mmm")</f>
        <v/>
      </c>
      <c r="S1128" s="15">
        <f>IFERROR(N1128/L1128,0)</f>
        <v/>
      </c>
    </row>
    <row r="1129">
      <c r="A1129">
        <f>Raw_Data!A1129</f>
        <v/>
      </c>
      <c r="B1129" s="11">
        <f>Raw_Data!B1129</f>
        <v/>
      </c>
      <c r="C1129">
        <f>Raw_Data!C1129</f>
        <v/>
      </c>
      <c r="D1129">
        <f>Raw_Data!D1129</f>
        <v/>
      </c>
      <c r="E1129">
        <f>Raw_Data!E1129</f>
        <v/>
      </c>
      <c r="F1129">
        <f>Raw_Data!F1129</f>
        <v/>
      </c>
      <c r="G1129">
        <f>Raw_Data!G1129</f>
        <v/>
      </c>
      <c r="H1129">
        <f>Raw_Data!H1129</f>
        <v/>
      </c>
      <c r="I1129">
        <f>Raw_Data!I1129</f>
        <v/>
      </c>
      <c r="J1129" s="12">
        <f>Raw_Data!J1129</f>
        <v/>
      </c>
      <c r="K1129" s="13">
        <f>Raw_Data!K1129</f>
        <v/>
      </c>
      <c r="L1129" s="12">
        <f>Raw_Data!L1129</f>
        <v/>
      </c>
      <c r="M1129" s="12">
        <f>Raw_Data!M1129</f>
        <v/>
      </c>
      <c r="N1129" s="12">
        <f>Raw_Data!N1129</f>
        <v/>
      </c>
      <c r="O1129">
        <f>Raw_Data!O1129</f>
        <v/>
      </c>
      <c r="P1129">
        <f>Raw_Data!P1129</f>
        <v/>
      </c>
      <c r="Q1129">
        <f>YEAR(B1129)</f>
        <v/>
      </c>
      <c r="R1129">
        <f>TEXT(B1129,"mmm")</f>
        <v/>
      </c>
      <c r="S1129" s="15">
        <f>IFERROR(N1129/L1129,0)</f>
        <v/>
      </c>
    </row>
    <row r="1130">
      <c r="A1130">
        <f>Raw_Data!A1130</f>
        <v/>
      </c>
      <c r="B1130" s="11">
        <f>Raw_Data!B1130</f>
        <v/>
      </c>
      <c r="C1130">
        <f>Raw_Data!C1130</f>
        <v/>
      </c>
      <c r="D1130">
        <f>Raw_Data!D1130</f>
        <v/>
      </c>
      <c r="E1130">
        <f>Raw_Data!E1130</f>
        <v/>
      </c>
      <c r="F1130">
        <f>Raw_Data!F1130</f>
        <v/>
      </c>
      <c r="G1130">
        <f>Raw_Data!G1130</f>
        <v/>
      </c>
      <c r="H1130">
        <f>Raw_Data!H1130</f>
        <v/>
      </c>
      <c r="I1130">
        <f>Raw_Data!I1130</f>
        <v/>
      </c>
      <c r="J1130" s="12">
        <f>Raw_Data!J1130</f>
        <v/>
      </c>
      <c r="K1130" s="13">
        <f>Raw_Data!K1130</f>
        <v/>
      </c>
      <c r="L1130" s="12">
        <f>Raw_Data!L1130</f>
        <v/>
      </c>
      <c r="M1130" s="12">
        <f>Raw_Data!M1130</f>
        <v/>
      </c>
      <c r="N1130" s="12">
        <f>Raw_Data!N1130</f>
        <v/>
      </c>
      <c r="O1130">
        <f>Raw_Data!O1130</f>
        <v/>
      </c>
      <c r="P1130">
        <f>Raw_Data!P1130</f>
        <v/>
      </c>
      <c r="Q1130">
        <f>YEAR(B1130)</f>
        <v/>
      </c>
      <c r="R1130">
        <f>TEXT(B1130,"mmm")</f>
        <v/>
      </c>
      <c r="S1130" s="15">
        <f>IFERROR(N1130/L1130,0)</f>
        <v/>
      </c>
    </row>
    <row r="1131">
      <c r="A1131">
        <f>Raw_Data!A1131</f>
        <v/>
      </c>
      <c r="B1131" s="11">
        <f>Raw_Data!B1131</f>
        <v/>
      </c>
      <c r="C1131">
        <f>Raw_Data!C1131</f>
        <v/>
      </c>
      <c r="D1131">
        <f>Raw_Data!D1131</f>
        <v/>
      </c>
      <c r="E1131">
        <f>Raw_Data!E1131</f>
        <v/>
      </c>
      <c r="F1131">
        <f>Raw_Data!F1131</f>
        <v/>
      </c>
      <c r="G1131">
        <f>Raw_Data!G1131</f>
        <v/>
      </c>
      <c r="H1131">
        <f>Raw_Data!H1131</f>
        <v/>
      </c>
      <c r="I1131">
        <f>Raw_Data!I1131</f>
        <v/>
      </c>
      <c r="J1131" s="12">
        <f>Raw_Data!J1131</f>
        <v/>
      </c>
      <c r="K1131" s="13">
        <f>Raw_Data!K1131</f>
        <v/>
      </c>
      <c r="L1131" s="12">
        <f>Raw_Data!L1131</f>
        <v/>
      </c>
      <c r="M1131" s="12">
        <f>Raw_Data!M1131</f>
        <v/>
      </c>
      <c r="N1131" s="12">
        <f>Raw_Data!N1131</f>
        <v/>
      </c>
      <c r="O1131">
        <f>Raw_Data!O1131</f>
        <v/>
      </c>
      <c r="P1131">
        <f>Raw_Data!P1131</f>
        <v/>
      </c>
      <c r="Q1131">
        <f>YEAR(B1131)</f>
        <v/>
      </c>
      <c r="R1131">
        <f>TEXT(B1131,"mmm")</f>
        <v/>
      </c>
      <c r="S1131" s="15">
        <f>IFERROR(N1131/L1131,0)</f>
        <v/>
      </c>
    </row>
    <row r="1132">
      <c r="A1132">
        <f>Raw_Data!A1132</f>
        <v/>
      </c>
      <c r="B1132" s="11">
        <f>Raw_Data!B1132</f>
        <v/>
      </c>
      <c r="C1132">
        <f>Raw_Data!C1132</f>
        <v/>
      </c>
      <c r="D1132">
        <f>Raw_Data!D1132</f>
        <v/>
      </c>
      <c r="E1132">
        <f>Raw_Data!E1132</f>
        <v/>
      </c>
      <c r="F1132">
        <f>Raw_Data!F1132</f>
        <v/>
      </c>
      <c r="G1132">
        <f>Raw_Data!G1132</f>
        <v/>
      </c>
      <c r="H1132">
        <f>Raw_Data!H1132</f>
        <v/>
      </c>
      <c r="I1132">
        <f>Raw_Data!I1132</f>
        <v/>
      </c>
      <c r="J1132" s="12">
        <f>Raw_Data!J1132</f>
        <v/>
      </c>
      <c r="K1132" s="13">
        <f>Raw_Data!K1132</f>
        <v/>
      </c>
      <c r="L1132" s="12">
        <f>Raw_Data!L1132</f>
        <v/>
      </c>
      <c r="M1132" s="12">
        <f>Raw_Data!M1132</f>
        <v/>
      </c>
      <c r="N1132" s="12">
        <f>Raw_Data!N1132</f>
        <v/>
      </c>
      <c r="O1132">
        <f>Raw_Data!O1132</f>
        <v/>
      </c>
      <c r="P1132">
        <f>Raw_Data!P1132</f>
        <v/>
      </c>
      <c r="Q1132">
        <f>YEAR(B1132)</f>
        <v/>
      </c>
      <c r="R1132">
        <f>TEXT(B1132,"mmm")</f>
        <v/>
      </c>
      <c r="S1132" s="15">
        <f>IFERROR(N1132/L1132,0)</f>
        <v/>
      </c>
    </row>
    <row r="1133">
      <c r="A1133">
        <f>Raw_Data!A1133</f>
        <v/>
      </c>
      <c r="B1133" s="11">
        <f>Raw_Data!B1133</f>
        <v/>
      </c>
      <c r="C1133">
        <f>Raw_Data!C1133</f>
        <v/>
      </c>
      <c r="D1133">
        <f>Raw_Data!D1133</f>
        <v/>
      </c>
      <c r="E1133">
        <f>Raw_Data!E1133</f>
        <v/>
      </c>
      <c r="F1133">
        <f>Raw_Data!F1133</f>
        <v/>
      </c>
      <c r="G1133">
        <f>Raw_Data!G1133</f>
        <v/>
      </c>
      <c r="H1133">
        <f>Raw_Data!H1133</f>
        <v/>
      </c>
      <c r="I1133">
        <f>Raw_Data!I1133</f>
        <v/>
      </c>
      <c r="J1133" s="12">
        <f>Raw_Data!J1133</f>
        <v/>
      </c>
      <c r="K1133" s="13">
        <f>Raw_Data!K1133</f>
        <v/>
      </c>
      <c r="L1133" s="12">
        <f>Raw_Data!L1133</f>
        <v/>
      </c>
      <c r="M1133" s="12">
        <f>Raw_Data!M1133</f>
        <v/>
      </c>
      <c r="N1133" s="12">
        <f>Raw_Data!N1133</f>
        <v/>
      </c>
      <c r="O1133">
        <f>Raw_Data!O1133</f>
        <v/>
      </c>
      <c r="P1133">
        <f>Raw_Data!P1133</f>
        <v/>
      </c>
      <c r="Q1133">
        <f>YEAR(B1133)</f>
        <v/>
      </c>
      <c r="R1133">
        <f>TEXT(B1133,"mmm")</f>
        <v/>
      </c>
      <c r="S1133" s="15">
        <f>IFERROR(N1133/L1133,0)</f>
        <v/>
      </c>
    </row>
    <row r="1134">
      <c r="A1134">
        <f>Raw_Data!A1134</f>
        <v/>
      </c>
      <c r="B1134" s="11">
        <f>Raw_Data!B1134</f>
        <v/>
      </c>
      <c r="C1134">
        <f>Raw_Data!C1134</f>
        <v/>
      </c>
      <c r="D1134">
        <f>Raw_Data!D1134</f>
        <v/>
      </c>
      <c r="E1134">
        <f>Raw_Data!E1134</f>
        <v/>
      </c>
      <c r="F1134">
        <f>Raw_Data!F1134</f>
        <v/>
      </c>
      <c r="G1134">
        <f>Raw_Data!G1134</f>
        <v/>
      </c>
      <c r="H1134">
        <f>Raw_Data!H1134</f>
        <v/>
      </c>
      <c r="I1134">
        <f>Raw_Data!I1134</f>
        <v/>
      </c>
      <c r="J1134" s="12">
        <f>Raw_Data!J1134</f>
        <v/>
      </c>
      <c r="K1134" s="13">
        <f>Raw_Data!K1134</f>
        <v/>
      </c>
      <c r="L1134" s="12">
        <f>Raw_Data!L1134</f>
        <v/>
      </c>
      <c r="M1134" s="12">
        <f>Raw_Data!M1134</f>
        <v/>
      </c>
      <c r="N1134" s="12">
        <f>Raw_Data!N1134</f>
        <v/>
      </c>
      <c r="O1134">
        <f>Raw_Data!O1134</f>
        <v/>
      </c>
      <c r="P1134">
        <f>Raw_Data!P1134</f>
        <v/>
      </c>
      <c r="Q1134">
        <f>YEAR(B1134)</f>
        <v/>
      </c>
      <c r="R1134">
        <f>TEXT(B1134,"mmm")</f>
        <v/>
      </c>
      <c r="S1134" s="15">
        <f>IFERROR(N1134/L1134,0)</f>
        <v/>
      </c>
    </row>
    <row r="1135">
      <c r="A1135">
        <f>Raw_Data!A1135</f>
        <v/>
      </c>
      <c r="B1135" s="11">
        <f>Raw_Data!B1135</f>
        <v/>
      </c>
      <c r="C1135">
        <f>Raw_Data!C1135</f>
        <v/>
      </c>
      <c r="D1135">
        <f>Raw_Data!D1135</f>
        <v/>
      </c>
      <c r="E1135">
        <f>Raw_Data!E1135</f>
        <v/>
      </c>
      <c r="F1135">
        <f>Raw_Data!F1135</f>
        <v/>
      </c>
      <c r="G1135">
        <f>Raw_Data!G1135</f>
        <v/>
      </c>
      <c r="H1135">
        <f>Raw_Data!H1135</f>
        <v/>
      </c>
      <c r="I1135">
        <f>Raw_Data!I1135</f>
        <v/>
      </c>
      <c r="J1135" s="12">
        <f>Raw_Data!J1135</f>
        <v/>
      </c>
      <c r="K1135" s="13">
        <f>Raw_Data!K1135</f>
        <v/>
      </c>
      <c r="L1135" s="12">
        <f>Raw_Data!L1135</f>
        <v/>
      </c>
      <c r="M1135" s="12">
        <f>Raw_Data!M1135</f>
        <v/>
      </c>
      <c r="N1135" s="12">
        <f>Raw_Data!N1135</f>
        <v/>
      </c>
      <c r="O1135">
        <f>Raw_Data!O1135</f>
        <v/>
      </c>
      <c r="P1135">
        <f>Raw_Data!P1135</f>
        <v/>
      </c>
      <c r="Q1135">
        <f>YEAR(B1135)</f>
        <v/>
      </c>
      <c r="R1135">
        <f>TEXT(B1135,"mmm")</f>
        <v/>
      </c>
      <c r="S1135" s="15">
        <f>IFERROR(N1135/L1135,0)</f>
        <v/>
      </c>
    </row>
    <row r="1136">
      <c r="A1136">
        <f>Raw_Data!A1136</f>
        <v/>
      </c>
      <c r="B1136" s="11">
        <f>Raw_Data!B1136</f>
        <v/>
      </c>
      <c r="C1136">
        <f>Raw_Data!C1136</f>
        <v/>
      </c>
      <c r="D1136">
        <f>Raw_Data!D1136</f>
        <v/>
      </c>
      <c r="E1136">
        <f>Raw_Data!E1136</f>
        <v/>
      </c>
      <c r="F1136">
        <f>Raw_Data!F1136</f>
        <v/>
      </c>
      <c r="G1136">
        <f>Raw_Data!G1136</f>
        <v/>
      </c>
      <c r="H1136">
        <f>Raw_Data!H1136</f>
        <v/>
      </c>
      <c r="I1136">
        <f>Raw_Data!I1136</f>
        <v/>
      </c>
      <c r="J1136" s="12">
        <f>Raw_Data!J1136</f>
        <v/>
      </c>
      <c r="K1136" s="13">
        <f>Raw_Data!K1136</f>
        <v/>
      </c>
      <c r="L1136" s="12">
        <f>Raw_Data!L1136</f>
        <v/>
      </c>
      <c r="M1136" s="12">
        <f>Raw_Data!M1136</f>
        <v/>
      </c>
      <c r="N1136" s="12">
        <f>Raw_Data!N1136</f>
        <v/>
      </c>
      <c r="O1136">
        <f>Raw_Data!O1136</f>
        <v/>
      </c>
      <c r="P1136">
        <f>Raw_Data!P1136</f>
        <v/>
      </c>
      <c r="Q1136">
        <f>YEAR(B1136)</f>
        <v/>
      </c>
      <c r="R1136">
        <f>TEXT(B1136,"mmm")</f>
        <v/>
      </c>
      <c r="S1136" s="15">
        <f>IFERROR(N1136/L1136,0)</f>
        <v/>
      </c>
    </row>
    <row r="1137">
      <c r="A1137">
        <f>Raw_Data!A1137</f>
        <v/>
      </c>
      <c r="B1137" s="11">
        <f>Raw_Data!B1137</f>
        <v/>
      </c>
      <c r="C1137">
        <f>Raw_Data!C1137</f>
        <v/>
      </c>
      <c r="D1137">
        <f>Raw_Data!D1137</f>
        <v/>
      </c>
      <c r="E1137">
        <f>Raw_Data!E1137</f>
        <v/>
      </c>
      <c r="F1137">
        <f>Raw_Data!F1137</f>
        <v/>
      </c>
      <c r="G1137">
        <f>Raw_Data!G1137</f>
        <v/>
      </c>
      <c r="H1137">
        <f>Raw_Data!H1137</f>
        <v/>
      </c>
      <c r="I1137">
        <f>Raw_Data!I1137</f>
        <v/>
      </c>
      <c r="J1137" s="12">
        <f>Raw_Data!J1137</f>
        <v/>
      </c>
      <c r="K1137" s="13">
        <f>Raw_Data!K1137</f>
        <v/>
      </c>
      <c r="L1137" s="12">
        <f>Raw_Data!L1137</f>
        <v/>
      </c>
      <c r="M1137" s="12">
        <f>Raw_Data!M1137</f>
        <v/>
      </c>
      <c r="N1137" s="12">
        <f>Raw_Data!N1137</f>
        <v/>
      </c>
      <c r="O1137">
        <f>Raw_Data!O1137</f>
        <v/>
      </c>
      <c r="P1137">
        <f>Raw_Data!P1137</f>
        <v/>
      </c>
      <c r="Q1137">
        <f>YEAR(B1137)</f>
        <v/>
      </c>
      <c r="R1137">
        <f>TEXT(B1137,"mmm")</f>
        <v/>
      </c>
      <c r="S1137" s="15">
        <f>IFERROR(N1137/L1137,0)</f>
        <v/>
      </c>
    </row>
    <row r="1138">
      <c r="A1138">
        <f>Raw_Data!A1138</f>
        <v/>
      </c>
      <c r="B1138" s="11">
        <f>Raw_Data!B1138</f>
        <v/>
      </c>
      <c r="C1138">
        <f>Raw_Data!C1138</f>
        <v/>
      </c>
      <c r="D1138">
        <f>Raw_Data!D1138</f>
        <v/>
      </c>
      <c r="E1138">
        <f>Raw_Data!E1138</f>
        <v/>
      </c>
      <c r="F1138">
        <f>Raw_Data!F1138</f>
        <v/>
      </c>
      <c r="G1138">
        <f>Raw_Data!G1138</f>
        <v/>
      </c>
      <c r="H1138">
        <f>Raw_Data!H1138</f>
        <v/>
      </c>
      <c r="I1138">
        <f>Raw_Data!I1138</f>
        <v/>
      </c>
      <c r="J1138" s="12">
        <f>Raw_Data!J1138</f>
        <v/>
      </c>
      <c r="K1138" s="13">
        <f>Raw_Data!K1138</f>
        <v/>
      </c>
      <c r="L1138" s="12">
        <f>Raw_Data!L1138</f>
        <v/>
      </c>
      <c r="M1138" s="12">
        <f>Raw_Data!M1138</f>
        <v/>
      </c>
      <c r="N1138" s="12">
        <f>Raw_Data!N1138</f>
        <v/>
      </c>
      <c r="O1138">
        <f>Raw_Data!O1138</f>
        <v/>
      </c>
      <c r="P1138">
        <f>Raw_Data!P1138</f>
        <v/>
      </c>
      <c r="Q1138">
        <f>YEAR(B1138)</f>
        <v/>
      </c>
      <c r="R1138">
        <f>TEXT(B1138,"mmm")</f>
        <v/>
      </c>
      <c r="S1138" s="15">
        <f>IFERROR(N1138/L1138,0)</f>
        <v/>
      </c>
    </row>
    <row r="1139">
      <c r="A1139">
        <f>Raw_Data!A1139</f>
        <v/>
      </c>
      <c r="B1139" s="11">
        <f>Raw_Data!B1139</f>
        <v/>
      </c>
      <c r="C1139">
        <f>Raw_Data!C1139</f>
        <v/>
      </c>
      <c r="D1139">
        <f>Raw_Data!D1139</f>
        <v/>
      </c>
      <c r="E1139">
        <f>Raw_Data!E1139</f>
        <v/>
      </c>
      <c r="F1139">
        <f>Raw_Data!F1139</f>
        <v/>
      </c>
      <c r="G1139">
        <f>Raw_Data!G1139</f>
        <v/>
      </c>
      <c r="H1139">
        <f>Raw_Data!H1139</f>
        <v/>
      </c>
      <c r="I1139">
        <f>Raw_Data!I1139</f>
        <v/>
      </c>
      <c r="J1139" s="12">
        <f>Raw_Data!J1139</f>
        <v/>
      </c>
      <c r="K1139" s="13">
        <f>Raw_Data!K1139</f>
        <v/>
      </c>
      <c r="L1139" s="12">
        <f>Raw_Data!L1139</f>
        <v/>
      </c>
      <c r="M1139" s="12">
        <f>Raw_Data!M1139</f>
        <v/>
      </c>
      <c r="N1139" s="12">
        <f>Raw_Data!N1139</f>
        <v/>
      </c>
      <c r="O1139">
        <f>Raw_Data!O1139</f>
        <v/>
      </c>
      <c r="P1139">
        <f>Raw_Data!P1139</f>
        <v/>
      </c>
      <c r="Q1139">
        <f>YEAR(B1139)</f>
        <v/>
      </c>
      <c r="R1139">
        <f>TEXT(B1139,"mmm")</f>
        <v/>
      </c>
      <c r="S1139" s="15">
        <f>IFERROR(N1139/L1139,0)</f>
        <v/>
      </c>
    </row>
    <row r="1140">
      <c r="A1140">
        <f>Raw_Data!A1140</f>
        <v/>
      </c>
      <c r="B1140" s="11">
        <f>Raw_Data!B1140</f>
        <v/>
      </c>
      <c r="C1140">
        <f>Raw_Data!C1140</f>
        <v/>
      </c>
      <c r="D1140">
        <f>Raw_Data!D1140</f>
        <v/>
      </c>
      <c r="E1140">
        <f>Raw_Data!E1140</f>
        <v/>
      </c>
      <c r="F1140">
        <f>Raw_Data!F1140</f>
        <v/>
      </c>
      <c r="G1140">
        <f>Raw_Data!G1140</f>
        <v/>
      </c>
      <c r="H1140">
        <f>Raw_Data!H1140</f>
        <v/>
      </c>
      <c r="I1140">
        <f>Raw_Data!I1140</f>
        <v/>
      </c>
      <c r="J1140" s="12">
        <f>Raw_Data!J1140</f>
        <v/>
      </c>
      <c r="K1140" s="13">
        <f>Raw_Data!K1140</f>
        <v/>
      </c>
      <c r="L1140" s="12">
        <f>Raw_Data!L1140</f>
        <v/>
      </c>
      <c r="M1140" s="12">
        <f>Raw_Data!M1140</f>
        <v/>
      </c>
      <c r="N1140" s="12">
        <f>Raw_Data!N1140</f>
        <v/>
      </c>
      <c r="O1140">
        <f>Raw_Data!O1140</f>
        <v/>
      </c>
      <c r="P1140">
        <f>Raw_Data!P1140</f>
        <v/>
      </c>
      <c r="Q1140">
        <f>YEAR(B1140)</f>
        <v/>
      </c>
      <c r="R1140">
        <f>TEXT(B1140,"mmm")</f>
        <v/>
      </c>
      <c r="S1140" s="15">
        <f>IFERROR(N1140/L1140,0)</f>
        <v/>
      </c>
    </row>
    <row r="1141">
      <c r="A1141">
        <f>Raw_Data!A1141</f>
        <v/>
      </c>
      <c r="B1141" s="11">
        <f>Raw_Data!B1141</f>
        <v/>
      </c>
      <c r="C1141">
        <f>Raw_Data!C1141</f>
        <v/>
      </c>
      <c r="D1141">
        <f>Raw_Data!D1141</f>
        <v/>
      </c>
      <c r="E1141">
        <f>Raw_Data!E1141</f>
        <v/>
      </c>
      <c r="F1141">
        <f>Raw_Data!F1141</f>
        <v/>
      </c>
      <c r="G1141">
        <f>Raw_Data!G1141</f>
        <v/>
      </c>
      <c r="H1141">
        <f>Raw_Data!H1141</f>
        <v/>
      </c>
      <c r="I1141">
        <f>Raw_Data!I1141</f>
        <v/>
      </c>
      <c r="J1141" s="12">
        <f>Raw_Data!J1141</f>
        <v/>
      </c>
      <c r="K1141" s="13">
        <f>Raw_Data!K1141</f>
        <v/>
      </c>
      <c r="L1141" s="12">
        <f>Raw_Data!L1141</f>
        <v/>
      </c>
      <c r="M1141" s="12">
        <f>Raw_Data!M1141</f>
        <v/>
      </c>
      <c r="N1141" s="12">
        <f>Raw_Data!N1141</f>
        <v/>
      </c>
      <c r="O1141">
        <f>Raw_Data!O1141</f>
        <v/>
      </c>
      <c r="P1141">
        <f>Raw_Data!P1141</f>
        <v/>
      </c>
      <c r="Q1141">
        <f>YEAR(B1141)</f>
        <v/>
      </c>
      <c r="R1141">
        <f>TEXT(B1141,"mmm")</f>
        <v/>
      </c>
      <c r="S1141" s="15">
        <f>IFERROR(N1141/L1141,0)</f>
        <v/>
      </c>
    </row>
    <row r="1142">
      <c r="A1142">
        <f>Raw_Data!A1142</f>
        <v/>
      </c>
      <c r="B1142" s="11">
        <f>Raw_Data!B1142</f>
        <v/>
      </c>
      <c r="C1142">
        <f>Raw_Data!C1142</f>
        <v/>
      </c>
      <c r="D1142">
        <f>Raw_Data!D1142</f>
        <v/>
      </c>
      <c r="E1142">
        <f>Raw_Data!E1142</f>
        <v/>
      </c>
      <c r="F1142">
        <f>Raw_Data!F1142</f>
        <v/>
      </c>
      <c r="G1142">
        <f>Raw_Data!G1142</f>
        <v/>
      </c>
      <c r="H1142">
        <f>Raw_Data!H1142</f>
        <v/>
      </c>
      <c r="I1142">
        <f>Raw_Data!I1142</f>
        <v/>
      </c>
      <c r="J1142" s="12">
        <f>Raw_Data!J1142</f>
        <v/>
      </c>
      <c r="K1142" s="13">
        <f>Raw_Data!K1142</f>
        <v/>
      </c>
      <c r="L1142" s="12">
        <f>Raw_Data!L1142</f>
        <v/>
      </c>
      <c r="M1142" s="12">
        <f>Raw_Data!M1142</f>
        <v/>
      </c>
      <c r="N1142" s="12">
        <f>Raw_Data!N1142</f>
        <v/>
      </c>
      <c r="O1142">
        <f>Raw_Data!O1142</f>
        <v/>
      </c>
      <c r="P1142">
        <f>Raw_Data!P1142</f>
        <v/>
      </c>
      <c r="Q1142">
        <f>YEAR(B1142)</f>
        <v/>
      </c>
      <c r="R1142">
        <f>TEXT(B1142,"mmm")</f>
        <v/>
      </c>
      <c r="S1142" s="15">
        <f>IFERROR(N1142/L1142,0)</f>
        <v/>
      </c>
    </row>
    <row r="1143">
      <c r="A1143">
        <f>Raw_Data!A1143</f>
        <v/>
      </c>
      <c r="B1143" s="11">
        <f>Raw_Data!B1143</f>
        <v/>
      </c>
      <c r="C1143">
        <f>Raw_Data!C1143</f>
        <v/>
      </c>
      <c r="D1143">
        <f>Raw_Data!D1143</f>
        <v/>
      </c>
      <c r="E1143">
        <f>Raw_Data!E1143</f>
        <v/>
      </c>
      <c r="F1143">
        <f>Raw_Data!F1143</f>
        <v/>
      </c>
      <c r="G1143">
        <f>Raw_Data!G1143</f>
        <v/>
      </c>
      <c r="H1143">
        <f>Raw_Data!H1143</f>
        <v/>
      </c>
      <c r="I1143">
        <f>Raw_Data!I1143</f>
        <v/>
      </c>
      <c r="J1143" s="12">
        <f>Raw_Data!J1143</f>
        <v/>
      </c>
      <c r="K1143" s="13">
        <f>Raw_Data!K1143</f>
        <v/>
      </c>
      <c r="L1143" s="12">
        <f>Raw_Data!L1143</f>
        <v/>
      </c>
      <c r="M1143" s="12">
        <f>Raw_Data!M1143</f>
        <v/>
      </c>
      <c r="N1143" s="12">
        <f>Raw_Data!N1143</f>
        <v/>
      </c>
      <c r="O1143">
        <f>Raw_Data!O1143</f>
        <v/>
      </c>
      <c r="P1143">
        <f>Raw_Data!P1143</f>
        <v/>
      </c>
      <c r="Q1143">
        <f>YEAR(B1143)</f>
        <v/>
      </c>
      <c r="R1143">
        <f>TEXT(B1143,"mmm")</f>
        <v/>
      </c>
      <c r="S1143" s="15">
        <f>IFERROR(N1143/L1143,0)</f>
        <v/>
      </c>
    </row>
    <row r="1144">
      <c r="A1144">
        <f>Raw_Data!A1144</f>
        <v/>
      </c>
      <c r="B1144" s="11">
        <f>Raw_Data!B1144</f>
        <v/>
      </c>
      <c r="C1144">
        <f>Raw_Data!C1144</f>
        <v/>
      </c>
      <c r="D1144">
        <f>Raw_Data!D1144</f>
        <v/>
      </c>
      <c r="E1144">
        <f>Raw_Data!E1144</f>
        <v/>
      </c>
      <c r="F1144">
        <f>Raw_Data!F1144</f>
        <v/>
      </c>
      <c r="G1144">
        <f>Raw_Data!G1144</f>
        <v/>
      </c>
      <c r="H1144">
        <f>Raw_Data!H1144</f>
        <v/>
      </c>
      <c r="I1144">
        <f>Raw_Data!I1144</f>
        <v/>
      </c>
      <c r="J1144" s="12">
        <f>Raw_Data!J1144</f>
        <v/>
      </c>
      <c r="K1144" s="13">
        <f>Raw_Data!K1144</f>
        <v/>
      </c>
      <c r="L1144" s="12">
        <f>Raw_Data!L1144</f>
        <v/>
      </c>
      <c r="M1144" s="12">
        <f>Raw_Data!M1144</f>
        <v/>
      </c>
      <c r="N1144" s="12">
        <f>Raw_Data!N1144</f>
        <v/>
      </c>
      <c r="O1144">
        <f>Raw_Data!O1144</f>
        <v/>
      </c>
      <c r="P1144">
        <f>Raw_Data!P1144</f>
        <v/>
      </c>
      <c r="Q1144">
        <f>YEAR(B1144)</f>
        <v/>
      </c>
      <c r="R1144">
        <f>TEXT(B1144,"mmm")</f>
        <v/>
      </c>
      <c r="S1144" s="15">
        <f>IFERROR(N1144/L1144,0)</f>
        <v/>
      </c>
    </row>
    <row r="1145">
      <c r="A1145">
        <f>Raw_Data!A1145</f>
        <v/>
      </c>
      <c r="B1145" s="11">
        <f>Raw_Data!B1145</f>
        <v/>
      </c>
      <c r="C1145">
        <f>Raw_Data!C1145</f>
        <v/>
      </c>
      <c r="D1145">
        <f>Raw_Data!D1145</f>
        <v/>
      </c>
      <c r="E1145">
        <f>Raw_Data!E1145</f>
        <v/>
      </c>
      <c r="F1145">
        <f>Raw_Data!F1145</f>
        <v/>
      </c>
      <c r="G1145">
        <f>Raw_Data!G1145</f>
        <v/>
      </c>
      <c r="H1145">
        <f>Raw_Data!H1145</f>
        <v/>
      </c>
      <c r="I1145">
        <f>Raw_Data!I1145</f>
        <v/>
      </c>
      <c r="J1145" s="12">
        <f>Raw_Data!J1145</f>
        <v/>
      </c>
      <c r="K1145" s="13">
        <f>Raw_Data!K1145</f>
        <v/>
      </c>
      <c r="L1145" s="12">
        <f>Raw_Data!L1145</f>
        <v/>
      </c>
      <c r="M1145" s="12">
        <f>Raw_Data!M1145</f>
        <v/>
      </c>
      <c r="N1145" s="12">
        <f>Raw_Data!N1145</f>
        <v/>
      </c>
      <c r="O1145">
        <f>Raw_Data!O1145</f>
        <v/>
      </c>
      <c r="P1145">
        <f>Raw_Data!P1145</f>
        <v/>
      </c>
      <c r="Q1145">
        <f>YEAR(B1145)</f>
        <v/>
      </c>
      <c r="R1145">
        <f>TEXT(B1145,"mmm")</f>
        <v/>
      </c>
      <c r="S1145" s="15">
        <f>IFERROR(N1145/L1145,0)</f>
        <v/>
      </c>
    </row>
    <row r="1146">
      <c r="A1146">
        <f>Raw_Data!A1146</f>
        <v/>
      </c>
      <c r="B1146" s="11">
        <f>Raw_Data!B1146</f>
        <v/>
      </c>
      <c r="C1146">
        <f>Raw_Data!C1146</f>
        <v/>
      </c>
      <c r="D1146">
        <f>Raw_Data!D1146</f>
        <v/>
      </c>
      <c r="E1146">
        <f>Raw_Data!E1146</f>
        <v/>
      </c>
      <c r="F1146">
        <f>Raw_Data!F1146</f>
        <v/>
      </c>
      <c r="G1146">
        <f>Raw_Data!G1146</f>
        <v/>
      </c>
      <c r="H1146">
        <f>Raw_Data!H1146</f>
        <v/>
      </c>
      <c r="I1146">
        <f>Raw_Data!I1146</f>
        <v/>
      </c>
      <c r="J1146" s="12">
        <f>Raw_Data!J1146</f>
        <v/>
      </c>
      <c r="K1146" s="13">
        <f>Raw_Data!K1146</f>
        <v/>
      </c>
      <c r="L1146" s="12">
        <f>Raw_Data!L1146</f>
        <v/>
      </c>
      <c r="M1146" s="12">
        <f>Raw_Data!M1146</f>
        <v/>
      </c>
      <c r="N1146" s="12">
        <f>Raw_Data!N1146</f>
        <v/>
      </c>
      <c r="O1146">
        <f>Raw_Data!O1146</f>
        <v/>
      </c>
      <c r="P1146">
        <f>Raw_Data!P1146</f>
        <v/>
      </c>
      <c r="Q1146">
        <f>YEAR(B1146)</f>
        <v/>
      </c>
      <c r="R1146">
        <f>TEXT(B1146,"mmm")</f>
        <v/>
      </c>
      <c r="S1146" s="15">
        <f>IFERROR(N1146/L1146,0)</f>
        <v/>
      </c>
    </row>
    <row r="1147">
      <c r="A1147">
        <f>Raw_Data!A1147</f>
        <v/>
      </c>
      <c r="B1147" s="11">
        <f>Raw_Data!B1147</f>
        <v/>
      </c>
      <c r="C1147">
        <f>Raw_Data!C1147</f>
        <v/>
      </c>
      <c r="D1147">
        <f>Raw_Data!D1147</f>
        <v/>
      </c>
      <c r="E1147">
        <f>Raw_Data!E1147</f>
        <v/>
      </c>
      <c r="F1147">
        <f>Raw_Data!F1147</f>
        <v/>
      </c>
      <c r="G1147">
        <f>Raw_Data!G1147</f>
        <v/>
      </c>
      <c r="H1147">
        <f>Raw_Data!H1147</f>
        <v/>
      </c>
      <c r="I1147">
        <f>Raw_Data!I1147</f>
        <v/>
      </c>
      <c r="J1147" s="12">
        <f>Raw_Data!J1147</f>
        <v/>
      </c>
      <c r="K1147" s="13">
        <f>Raw_Data!K1147</f>
        <v/>
      </c>
      <c r="L1147" s="12">
        <f>Raw_Data!L1147</f>
        <v/>
      </c>
      <c r="M1147" s="12">
        <f>Raw_Data!M1147</f>
        <v/>
      </c>
      <c r="N1147" s="12">
        <f>Raw_Data!N1147</f>
        <v/>
      </c>
      <c r="O1147">
        <f>Raw_Data!O1147</f>
        <v/>
      </c>
      <c r="P1147">
        <f>Raw_Data!P1147</f>
        <v/>
      </c>
      <c r="Q1147">
        <f>YEAR(B1147)</f>
        <v/>
      </c>
      <c r="R1147">
        <f>TEXT(B1147,"mmm")</f>
        <v/>
      </c>
      <c r="S1147" s="15">
        <f>IFERROR(N1147/L1147,0)</f>
        <v/>
      </c>
    </row>
    <row r="1148">
      <c r="A1148">
        <f>Raw_Data!A1148</f>
        <v/>
      </c>
      <c r="B1148" s="11">
        <f>Raw_Data!B1148</f>
        <v/>
      </c>
      <c r="C1148">
        <f>Raw_Data!C1148</f>
        <v/>
      </c>
      <c r="D1148">
        <f>Raw_Data!D1148</f>
        <v/>
      </c>
      <c r="E1148">
        <f>Raw_Data!E1148</f>
        <v/>
      </c>
      <c r="F1148">
        <f>Raw_Data!F1148</f>
        <v/>
      </c>
      <c r="G1148">
        <f>Raw_Data!G1148</f>
        <v/>
      </c>
      <c r="H1148">
        <f>Raw_Data!H1148</f>
        <v/>
      </c>
      <c r="I1148">
        <f>Raw_Data!I1148</f>
        <v/>
      </c>
      <c r="J1148" s="12">
        <f>Raw_Data!J1148</f>
        <v/>
      </c>
      <c r="K1148" s="13">
        <f>Raw_Data!K1148</f>
        <v/>
      </c>
      <c r="L1148" s="12">
        <f>Raw_Data!L1148</f>
        <v/>
      </c>
      <c r="M1148" s="12">
        <f>Raw_Data!M1148</f>
        <v/>
      </c>
      <c r="N1148" s="12">
        <f>Raw_Data!N1148</f>
        <v/>
      </c>
      <c r="O1148">
        <f>Raw_Data!O1148</f>
        <v/>
      </c>
      <c r="P1148">
        <f>Raw_Data!P1148</f>
        <v/>
      </c>
      <c r="Q1148">
        <f>YEAR(B1148)</f>
        <v/>
      </c>
      <c r="R1148">
        <f>TEXT(B1148,"mmm")</f>
        <v/>
      </c>
      <c r="S1148" s="15">
        <f>IFERROR(N1148/L1148,0)</f>
        <v/>
      </c>
    </row>
    <row r="1149">
      <c r="A1149">
        <f>Raw_Data!A1149</f>
        <v/>
      </c>
      <c r="B1149" s="11">
        <f>Raw_Data!B1149</f>
        <v/>
      </c>
      <c r="C1149">
        <f>Raw_Data!C1149</f>
        <v/>
      </c>
      <c r="D1149">
        <f>Raw_Data!D1149</f>
        <v/>
      </c>
      <c r="E1149">
        <f>Raw_Data!E1149</f>
        <v/>
      </c>
      <c r="F1149">
        <f>Raw_Data!F1149</f>
        <v/>
      </c>
      <c r="G1149">
        <f>Raw_Data!G1149</f>
        <v/>
      </c>
      <c r="H1149">
        <f>Raw_Data!H1149</f>
        <v/>
      </c>
      <c r="I1149">
        <f>Raw_Data!I1149</f>
        <v/>
      </c>
      <c r="J1149" s="12">
        <f>Raw_Data!J1149</f>
        <v/>
      </c>
      <c r="K1149" s="13">
        <f>Raw_Data!K1149</f>
        <v/>
      </c>
      <c r="L1149" s="12">
        <f>Raw_Data!L1149</f>
        <v/>
      </c>
      <c r="M1149" s="12">
        <f>Raw_Data!M1149</f>
        <v/>
      </c>
      <c r="N1149" s="12">
        <f>Raw_Data!N1149</f>
        <v/>
      </c>
      <c r="O1149">
        <f>Raw_Data!O1149</f>
        <v/>
      </c>
      <c r="P1149">
        <f>Raw_Data!P1149</f>
        <v/>
      </c>
      <c r="Q1149">
        <f>YEAR(B1149)</f>
        <v/>
      </c>
      <c r="R1149">
        <f>TEXT(B1149,"mmm")</f>
        <v/>
      </c>
      <c r="S1149" s="15">
        <f>IFERROR(N1149/L1149,0)</f>
        <v/>
      </c>
    </row>
    <row r="1150">
      <c r="A1150">
        <f>Raw_Data!A1150</f>
        <v/>
      </c>
      <c r="B1150" s="11">
        <f>Raw_Data!B1150</f>
        <v/>
      </c>
      <c r="C1150">
        <f>Raw_Data!C1150</f>
        <v/>
      </c>
      <c r="D1150">
        <f>Raw_Data!D1150</f>
        <v/>
      </c>
      <c r="E1150">
        <f>Raw_Data!E1150</f>
        <v/>
      </c>
      <c r="F1150">
        <f>Raw_Data!F1150</f>
        <v/>
      </c>
      <c r="G1150">
        <f>Raw_Data!G1150</f>
        <v/>
      </c>
      <c r="H1150">
        <f>Raw_Data!H1150</f>
        <v/>
      </c>
      <c r="I1150">
        <f>Raw_Data!I1150</f>
        <v/>
      </c>
      <c r="J1150" s="12">
        <f>Raw_Data!J1150</f>
        <v/>
      </c>
      <c r="K1150" s="13">
        <f>Raw_Data!K1150</f>
        <v/>
      </c>
      <c r="L1150" s="12">
        <f>Raw_Data!L1150</f>
        <v/>
      </c>
      <c r="M1150" s="12">
        <f>Raw_Data!M1150</f>
        <v/>
      </c>
      <c r="N1150" s="12">
        <f>Raw_Data!N1150</f>
        <v/>
      </c>
      <c r="O1150">
        <f>Raw_Data!O1150</f>
        <v/>
      </c>
      <c r="P1150">
        <f>Raw_Data!P1150</f>
        <v/>
      </c>
      <c r="Q1150">
        <f>YEAR(B1150)</f>
        <v/>
      </c>
      <c r="R1150">
        <f>TEXT(B1150,"mmm")</f>
        <v/>
      </c>
      <c r="S1150" s="15">
        <f>IFERROR(N1150/L1150,0)</f>
        <v/>
      </c>
    </row>
    <row r="1151">
      <c r="A1151">
        <f>Raw_Data!A1151</f>
        <v/>
      </c>
      <c r="B1151" s="11">
        <f>Raw_Data!B1151</f>
        <v/>
      </c>
      <c r="C1151">
        <f>Raw_Data!C1151</f>
        <v/>
      </c>
      <c r="D1151">
        <f>Raw_Data!D1151</f>
        <v/>
      </c>
      <c r="E1151">
        <f>Raw_Data!E1151</f>
        <v/>
      </c>
      <c r="F1151">
        <f>Raw_Data!F1151</f>
        <v/>
      </c>
      <c r="G1151">
        <f>Raw_Data!G1151</f>
        <v/>
      </c>
      <c r="H1151">
        <f>Raw_Data!H1151</f>
        <v/>
      </c>
      <c r="I1151">
        <f>Raw_Data!I1151</f>
        <v/>
      </c>
      <c r="J1151" s="12">
        <f>Raw_Data!J1151</f>
        <v/>
      </c>
      <c r="K1151" s="13">
        <f>Raw_Data!K1151</f>
        <v/>
      </c>
      <c r="L1151" s="12">
        <f>Raw_Data!L1151</f>
        <v/>
      </c>
      <c r="M1151" s="12">
        <f>Raw_Data!M1151</f>
        <v/>
      </c>
      <c r="N1151" s="12">
        <f>Raw_Data!N1151</f>
        <v/>
      </c>
      <c r="O1151">
        <f>Raw_Data!O1151</f>
        <v/>
      </c>
      <c r="P1151">
        <f>Raw_Data!P1151</f>
        <v/>
      </c>
      <c r="Q1151">
        <f>YEAR(B1151)</f>
        <v/>
      </c>
      <c r="R1151">
        <f>TEXT(B1151,"mmm")</f>
        <v/>
      </c>
      <c r="S1151" s="15">
        <f>IFERROR(N1151/L1151,0)</f>
        <v/>
      </c>
    </row>
    <row r="1152">
      <c r="A1152">
        <f>Raw_Data!A1152</f>
        <v/>
      </c>
      <c r="B1152" s="11">
        <f>Raw_Data!B1152</f>
        <v/>
      </c>
      <c r="C1152">
        <f>Raw_Data!C1152</f>
        <v/>
      </c>
      <c r="D1152">
        <f>Raw_Data!D1152</f>
        <v/>
      </c>
      <c r="E1152">
        <f>Raw_Data!E1152</f>
        <v/>
      </c>
      <c r="F1152">
        <f>Raw_Data!F1152</f>
        <v/>
      </c>
      <c r="G1152">
        <f>Raw_Data!G1152</f>
        <v/>
      </c>
      <c r="H1152">
        <f>Raw_Data!H1152</f>
        <v/>
      </c>
      <c r="I1152">
        <f>Raw_Data!I1152</f>
        <v/>
      </c>
      <c r="J1152" s="12">
        <f>Raw_Data!J1152</f>
        <v/>
      </c>
      <c r="K1152" s="13">
        <f>Raw_Data!K1152</f>
        <v/>
      </c>
      <c r="L1152" s="12">
        <f>Raw_Data!L1152</f>
        <v/>
      </c>
      <c r="M1152" s="12">
        <f>Raw_Data!M1152</f>
        <v/>
      </c>
      <c r="N1152" s="12">
        <f>Raw_Data!N1152</f>
        <v/>
      </c>
      <c r="O1152">
        <f>Raw_Data!O1152</f>
        <v/>
      </c>
      <c r="P1152">
        <f>Raw_Data!P1152</f>
        <v/>
      </c>
      <c r="Q1152">
        <f>YEAR(B1152)</f>
        <v/>
      </c>
      <c r="R1152">
        <f>TEXT(B1152,"mmm")</f>
        <v/>
      </c>
      <c r="S1152" s="15">
        <f>IFERROR(N1152/L1152,0)</f>
        <v/>
      </c>
    </row>
    <row r="1153">
      <c r="A1153">
        <f>Raw_Data!A1153</f>
        <v/>
      </c>
      <c r="B1153" s="11">
        <f>Raw_Data!B1153</f>
        <v/>
      </c>
      <c r="C1153">
        <f>Raw_Data!C1153</f>
        <v/>
      </c>
      <c r="D1153">
        <f>Raw_Data!D1153</f>
        <v/>
      </c>
      <c r="E1153">
        <f>Raw_Data!E1153</f>
        <v/>
      </c>
      <c r="F1153">
        <f>Raw_Data!F1153</f>
        <v/>
      </c>
      <c r="G1153">
        <f>Raw_Data!G1153</f>
        <v/>
      </c>
      <c r="H1153">
        <f>Raw_Data!H1153</f>
        <v/>
      </c>
      <c r="I1153">
        <f>Raw_Data!I1153</f>
        <v/>
      </c>
      <c r="J1153" s="12">
        <f>Raw_Data!J1153</f>
        <v/>
      </c>
      <c r="K1153" s="13">
        <f>Raw_Data!K1153</f>
        <v/>
      </c>
      <c r="L1153" s="12">
        <f>Raw_Data!L1153</f>
        <v/>
      </c>
      <c r="M1153" s="12">
        <f>Raw_Data!M1153</f>
        <v/>
      </c>
      <c r="N1153" s="12">
        <f>Raw_Data!N1153</f>
        <v/>
      </c>
      <c r="O1153">
        <f>Raw_Data!O1153</f>
        <v/>
      </c>
      <c r="P1153">
        <f>Raw_Data!P1153</f>
        <v/>
      </c>
      <c r="Q1153">
        <f>YEAR(B1153)</f>
        <v/>
      </c>
      <c r="R1153">
        <f>TEXT(B1153,"mmm")</f>
        <v/>
      </c>
      <c r="S1153" s="15">
        <f>IFERROR(N1153/L1153,0)</f>
        <v/>
      </c>
    </row>
    <row r="1154">
      <c r="A1154">
        <f>Raw_Data!A1154</f>
        <v/>
      </c>
      <c r="B1154" s="11">
        <f>Raw_Data!B1154</f>
        <v/>
      </c>
      <c r="C1154">
        <f>Raw_Data!C1154</f>
        <v/>
      </c>
      <c r="D1154">
        <f>Raw_Data!D1154</f>
        <v/>
      </c>
      <c r="E1154">
        <f>Raw_Data!E1154</f>
        <v/>
      </c>
      <c r="F1154">
        <f>Raw_Data!F1154</f>
        <v/>
      </c>
      <c r="G1154">
        <f>Raw_Data!G1154</f>
        <v/>
      </c>
      <c r="H1154">
        <f>Raw_Data!H1154</f>
        <v/>
      </c>
      <c r="I1154">
        <f>Raw_Data!I1154</f>
        <v/>
      </c>
      <c r="J1154" s="12">
        <f>Raw_Data!J1154</f>
        <v/>
      </c>
      <c r="K1154" s="13">
        <f>Raw_Data!K1154</f>
        <v/>
      </c>
      <c r="L1154" s="12">
        <f>Raw_Data!L1154</f>
        <v/>
      </c>
      <c r="M1154" s="12">
        <f>Raw_Data!M1154</f>
        <v/>
      </c>
      <c r="N1154" s="12">
        <f>Raw_Data!N1154</f>
        <v/>
      </c>
      <c r="O1154">
        <f>Raw_Data!O1154</f>
        <v/>
      </c>
      <c r="P1154">
        <f>Raw_Data!P1154</f>
        <v/>
      </c>
      <c r="Q1154">
        <f>YEAR(B1154)</f>
        <v/>
      </c>
      <c r="R1154">
        <f>TEXT(B1154,"mmm")</f>
        <v/>
      </c>
      <c r="S1154" s="15">
        <f>IFERROR(N1154/L1154,0)</f>
        <v/>
      </c>
    </row>
    <row r="1155">
      <c r="A1155">
        <f>Raw_Data!A1155</f>
        <v/>
      </c>
      <c r="B1155" s="11">
        <f>Raw_Data!B1155</f>
        <v/>
      </c>
      <c r="C1155">
        <f>Raw_Data!C1155</f>
        <v/>
      </c>
      <c r="D1155">
        <f>Raw_Data!D1155</f>
        <v/>
      </c>
      <c r="E1155">
        <f>Raw_Data!E1155</f>
        <v/>
      </c>
      <c r="F1155">
        <f>Raw_Data!F1155</f>
        <v/>
      </c>
      <c r="G1155">
        <f>Raw_Data!G1155</f>
        <v/>
      </c>
      <c r="H1155">
        <f>Raw_Data!H1155</f>
        <v/>
      </c>
      <c r="I1155">
        <f>Raw_Data!I1155</f>
        <v/>
      </c>
      <c r="J1155" s="12">
        <f>Raw_Data!J1155</f>
        <v/>
      </c>
      <c r="K1155" s="13">
        <f>Raw_Data!K1155</f>
        <v/>
      </c>
      <c r="L1155" s="12">
        <f>Raw_Data!L1155</f>
        <v/>
      </c>
      <c r="M1155" s="12">
        <f>Raw_Data!M1155</f>
        <v/>
      </c>
      <c r="N1155" s="12">
        <f>Raw_Data!N1155</f>
        <v/>
      </c>
      <c r="O1155">
        <f>Raw_Data!O1155</f>
        <v/>
      </c>
      <c r="P1155">
        <f>Raw_Data!P1155</f>
        <v/>
      </c>
      <c r="Q1155">
        <f>YEAR(B1155)</f>
        <v/>
      </c>
      <c r="R1155">
        <f>TEXT(B1155,"mmm")</f>
        <v/>
      </c>
      <c r="S1155" s="15">
        <f>IFERROR(N1155/L1155,0)</f>
        <v/>
      </c>
    </row>
    <row r="1156">
      <c r="A1156">
        <f>Raw_Data!A1156</f>
        <v/>
      </c>
      <c r="B1156" s="11">
        <f>Raw_Data!B1156</f>
        <v/>
      </c>
      <c r="C1156">
        <f>Raw_Data!C1156</f>
        <v/>
      </c>
      <c r="D1156">
        <f>Raw_Data!D1156</f>
        <v/>
      </c>
      <c r="E1156">
        <f>Raw_Data!E1156</f>
        <v/>
      </c>
      <c r="F1156">
        <f>Raw_Data!F1156</f>
        <v/>
      </c>
      <c r="G1156">
        <f>Raw_Data!G1156</f>
        <v/>
      </c>
      <c r="H1156">
        <f>Raw_Data!H1156</f>
        <v/>
      </c>
      <c r="I1156">
        <f>Raw_Data!I1156</f>
        <v/>
      </c>
      <c r="J1156" s="12">
        <f>Raw_Data!J1156</f>
        <v/>
      </c>
      <c r="K1156" s="13">
        <f>Raw_Data!K1156</f>
        <v/>
      </c>
      <c r="L1156" s="12">
        <f>Raw_Data!L1156</f>
        <v/>
      </c>
      <c r="M1156" s="12">
        <f>Raw_Data!M1156</f>
        <v/>
      </c>
      <c r="N1156" s="12">
        <f>Raw_Data!N1156</f>
        <v/>
      </c>
      <c r="O1156">
        <f>Raw_Data!O1156</f>
        <v/>
      </c>
      <c r="P1156">
        <f>Raw_Data!P1156</f>
        <v/>
      </c>
      <c r="Q1156">
        <f>YEAR(B1156)</f>
        <v/>
      </c>
      <c r="R1156">
        <f>TEXT(B1156,"mmm")</f>
        <v/>
      </c>
      <c r="S1156" s="15">
        <f>IFERROR(N1156/L1156,0)</f>
        <v/>
      </c>
    </row>
    <row r="1157">
      <c r="A1157">
        <f>Raw_Data!A1157</f>
        <v/>
      </c>
      <c r="B1157" s="11">
        <f>Raw_Data!B1157</f>
        <v/>
      </c>
      <c r="C1157">
        <f>Raw_Data!C1157</f>
        <v/>
      </c>
      <c r="D1157">
        <f>Raw_Data!D1157</f>
        <v/>
      </c>
      <c r="E1157">
        <f>Raw_Data!E1157</f>
        <v/>
      </c>
      <c r="F1157">
        <f>Raw_Data!F1157</f>
        <v/>
      </c>
      <c r="G1157">
        <f>Raw_Data!G1157</f>
        <v/>
      </c>
      <c r="H1157">
        <f>Raw_Data!H1157</f>
        <v/>
      </c>
      <c r="I1157">
        <f>Raw_Data!I1157</f>
        <v/>
      </c>
      <c r="J1157" s="12">
        <f>Raw_Data!J1157</f>
        <v/>
      </c>
      <c r="K1157" s="13">
        <f>Raw_Data!K1157</f>
        <v/>
      </c>
      <c r="L1157" s="12">
        <f>Raw_Data!L1157</f>
        <v/>
      </c>
      <c r="M1157" s="12">
        <f>Raw_Data!M1157</f>
        <v/>
      </c>
      <c r="N1157" s="12">
        <f>Raw_Data!N1157</f>
        <v/>
      </c>
      <c r="O1157">
        <f>Raw_Data!O1157</f>
        <v/>
      </c>
      <c r="P1157">
        <f>Raw_Data!P1157</f>
        <v/>
      </c>
      <c r="Q1157">
        <f>YEAR(B1157)</f>
        <v/>
      </c>
      <c r="R1157">
        <f>TEXT(B1157,"mmm")</f>
        <v/>
      </c>
      <c r="S1157" s="15">
        <f>IFERROR(N1157/L1157,0)</f>
        <v/>
      </c>
    </row>
    <row r="1158">
      <c r="A1158">
        <f>Raw_Data!A1158</f>
        <v/>
      </c>
      <c r="B1158" s="11">
        <f>Raw_Data!B1158</f>
        <v/>
      </c>
      <c r="C1158">
        <f>Raw_Data!C1158</f>
        <v/>
      </c>
      <c r="D1158">
        <f>Raw_Data!D1158</f>
        <v/>
      </c>
      <c r="E1158">
        <f>Raw_Data!E1158</f>
        <v/>
      </c>
      <c r="F1158">
        <f>Raw_Data!F1158</f>
        <v/>
      </c>
      <c r="G1158">
        <f>Raw_Data!G1158</f>
        <v/>
      </c>
      <c r="H1158">
        <f>Raw_Data!H1158</f>
        <v/>
      </c>
      <c r="I1158">
        <f>Raw_Data!I1158</f>
        <v/>
      </c>
      <c r="J1158" s="12">
        <f>Raw_Data!J1158</f>
        <v/>
      </c>
      <c r="K1158" s="13">
        <f>Raw_Data!K1158</f>
        <v/>
      </c>
      <c r="L1158" s="12">
        <f>Raw_Data!L1158</f>
        <v/>
      </c>
      <c r="M1158" s="12">
        <f>Raw_Data!M1158</f>
        <v/>
      </c>
      <c r="N1158" s="12">
        <f>Raw_Data!N1158</f>
        <v/>
      </c>
      <c r="O1158">
        <f>Raw_Data!O1158</f>
        <v/>
      </c>
      <c r="P1158">
        <f>Raw_Data!P1158</f>
        <v/>
      </c>
      <c r="Q1158">
        <f>YEAR(B1158)</f>
        <v/>
      </c>
      <c r="R1158">
        <f>TEXT(B1158,"mmm")</f>
        <v/>
      </c>
      <c r="S1158" s="15">
        <f>IFERROR(N1158/L1158,0)</f>
        <v/>
      </c>
    </row>
    <row r="1159">
      <c r="A1159">
        <f>Raw_Data!A1159</f>
        <v/>
      </c>
      <c r="B1159" s="11">
        <f>Raw_Data!B1159</f>
        <v/>
      </c>
      <c r="C1159">
        <f>Raw_Data!C1159</f>
        <v/>
      </c>
      <c r="D1159">
        <f>Raw_Data!D1159</f>
        <v/>
      </c>
      <c r="E1159">
        <f>Raw_Data!E1159</f>
        <v/>
      </c>
      <c r="F1159">
        <f>Raw_Data!F1159</f>
        <v/>
      </c>
      <c r="G1159">
        <f>Raw_Data!G1159</f>
        <v/>
      </c>
      <c r="H1159">
        <f>Raw_Data!H1159</f>
        <v/>
      </c>
      <c r="I1159">
        <f>Raw_Data!I1159</f>
        <v/>
      </c>
      <c r="J1159" s="12">
        <f>Raw_Data!J1159</f>
        <v/>
      </c>
      <c r="K1159" s="13">
        <f>Raw_Data!K1159</f>
        <v/>
      </c>
      <c r="L1159" s="12">
        <f>Raw_Data!L1159</f>
        <v/>
      </c>
      <c r="M1159" s="12">
        <f>Raw_Data!M1159</f>
        <v/>
      </c>
      <c r="N1159" s="12">
        <f>Raw_Data!N1159</f>
        <v/>
      </c>
      <c r="O1159">
        <f>Raw_Data!O1159</f>
        <v/>
      </c>
      <c r="P1159">
        <f>Raw_Data!P1159</f>
        <v/>
      </c>
      <c r="Q1159">
        <f>YEAR(B1159)</f>
        <v/>
      </c>
      <c r="R1159">
        <f>TEXT(B1159,"mmm")</f>
        <v/>
      </c>
      <c r="S1159" s="15">
        <f>IFERROR(N1159/L1159,0)</f>
        <v/>
      </c>
    </row>
    <row r="1160">
      <c r="A1160">
        <f>Raw_Data!A1160</f>
        <v/>
      </c>
      <c r="B1160" s="11">
        <f>Raw_Data!B1160</f>
        <v/>
      </c>
      <c r="C1160">
        <f>Raw_Data!C1160</f>
        <v/>
      </c>
      <c r="D1160">
        <f>Raw_Data!D1160</f>
        <v/>
      </c>
      <c r="E1160">
        <f>Raw_Data!E1160</f>
        <v/>
      </c>
      <c r="F1160">
        <f>Raw_Data!F1160</f>
        <v/>
      </c>
      <c r="G1160">
        <f>Raw_Data!G1160</f>
        <v/>
      </c>
      <c r="H1160">
        <f>Raw_Data!H1160</f>
        <v/>
      </c>
      <c r="I1160">
        <f>Raw_Data!I1160</f>
        <v/>
      </c>
      <c r="J1160" s="12">
        <f>Raw_Data!J1160</f>
        <v/>
      </c>
      <c r="K1160" s="13">
        <f>Raw_Data!K1160</f>
        <v/>
      </c>
      <c r="L1160" s="12">
        <f>Raw_Data!L1160</f>
        <v/>
      </c>
      <c r="M1160" s="12">
        <f>Raw_Data!M1160</f>
        <v/>
      </c>
      <c r="N1160" s="12">
        <f>Raw_Data!N1160</f>
        <v/>
      </c>
      <c r="O1160">
        <f>Raw_Data!O1160</f>
        <v/>
      </c>
      <c r="P1160">
        <f>Raw_Data!P1160</f>
        <v/>
      </c>
      <c r="Q1160">
        <f>YEAR(B1160)</f>
        <v/>
      </c>
      <c r="R1160">
        <f>TEXT(B1160,"mmm")</f>
        <v/>
      </c>
      <c r="S1160" s="15">
        <f>IFERROR(N1160/L1160,0)</f>
        <v/>
      </c>
    </row>
    <row r="1161">
      <c r="A1161">
        <f>Raw_Data!A1161</f>
        <v/>
      </c>
      <c r="B1161" s="11">
        <f>Raw_Data!B1161</f>
        <v/>
      </c>
      <c r="C1161">
        <f>Raw_Data!C1161</f>
        <v/>
      </c>
      <c r="D1161">
        <f>Raw_Data!D1161</f>
        <v/>
      </c>
      <c r="E1161">
        <f>Raw_Data!E1161</f>
        <v/>
      </c>
      <c r="F1161">
        <f>Raw_Data!F1161</f>
        <v/>
      </c>
      <c r="G1161">
        <f>Raw_Data!G1161</f>
        <v/>
      </c>
      <c r="H1161">
        <f>Raw_Data!H1161</f>
        <v/>
      </c>
      <c r="I1161">
        <f>Raw_Data!I1161</f>
        <v/>
      </c>
      <c r="J1161" s="12">
        <f>Raw_Data!J1161</f>
        <v/>
      </c>
      <c r="K1161" s="13">
        <f>Raw_Data!K1161</f>
        <v/>
      </c>
      <c r="L1161" s="12">
        <f>Raw_Data!L1161</f>
        <v/>
      </c>
      <c r="M1161" s="12">
        <f>Raw_Data!M1161</f>
        <v/>
      </c>
      <c r="N1161" s="12">
        <f>Raw_Data!N1161</f>
        <v/>
      </c>
      <c r="O1161">
        <f>Raw_Data!O1161</f>
        <v/>
      </c>
      <c r="P1161">
        <f>Raw_Data!P1161</f>
        <v/>
      </c>
      <c r="Q1161">
        <f>YEAR(B1161)</f>
        <v/>
      </c>
      <c r="R1161">
        <f>TEXT(B1161,"mmm")</f>
        <v/>
      </c>
      <c r="S1161" s="15">
        <f>IFERROR(N1161/L1161,0)</f>
        <v/>
      </c>
    </row>
    <row r="1162">
      <c r="A1162">
        <f>Raw_Data!A1162</f>
        <v/>
      </c>
      <c r="B1162" s="11">
        <f>Raw_Data!B1162</f>
        <v/>
      </c>
      <c r="C1162">
        <f>Raw_Data!C1162</f>
        <v/>
      </c>
      <c r="D1162">
        <f>Raw_Data!D1162</f>
        <v/>
      </c>
      <c r="E1162">
        <f>Raw_Data!E1162</f>
        <v/>
      </c>
      <c r="F1162">
        <f>Raw_Data!F1162</f>
        <v/>
      </c>
      <c r="G1162">
        <f>Raw_Data!G1162</f>
        <v/>
      </c>
      <c r="H1162">
        <f>Raw_Data!H1162</f>
        <v/>
      </c>
      <c r="I1162">
        <f>Raw_Data!I1162</f>
        <v/>
      </c>
      <c r="J1162" s="12">
        <f>Raw_Data!J1162</f>
        <v/>
      </c>
      <c r="K1162" s="13">
        <f>Raw_Data!K1162</f>
        <v/>
      </c>
      <c r="L1162" s="12">
        <f>Raw_Data!L1162</f>
        <v/>
      </c>
      <c r="M1162" s="12">
        <f>Raw_Data!M1162</f>
        <v/>
      </c>
      <c r="N1162" s="12">
        <f>Raw_Data!N1162</f>
        <v/>
      </c>
      <c r="O1162">
        <f>Raw_Data!O1162</f>
        <v/>
      </c>
      <c r="P1162">
        <f>Raw_Data!P1162</f>
        <v/>
      </c>
      <c r="Q1162">
        <f>YEAR(B1162)</f>
        <v/>
      </c>
      <c r="R1162">
        <f>TEXT(B1162,"mmm")</f>
        <v/>
      </c>
      <c r="S1162" s="15">
        <f>IFERROR(N1162/L1162,0)</f>
        <v/>
      </c>
    </row>
    <row r="1163">
      <c r="A1163">
        <f>Raw_Data!A1163</f>
        <v/>
      </c>
      <c r="B1163" s="11">
        <f>Raw_Data!B1163</f>
        <v/>
      </c>
      <c r="C1163">
        <f>Raw_Data!C1163</f>
        <v/>
      </c>
      <c r="D1163">
        <f>Raw_Data!D1163</f>
        <v/>
      </c>
      <c r="E1163">
        <f>Raw_Data!E1163</f>
        <v/>
      </c>
      <c r="F1163">
        <f>Raw_Data!F1163</f>
        <v/>
      </c>
      <c r="G1163">
        <f>Raw_Data!G1163</f>
        <v/>
      </c>
      <c r="H1163">
        <f>Raw_Data!H1163</f>
        <v/>
      </c>
      <c r="I1163">
        <f>Raw_Data!I1163</f>
        <v/>
      </c>
      <c r="J1163" s="12">
        <f>Raw_Data!J1163</f>
        <v/>
      </c>
      <c r="K1163" s="13">
        <f>Raw_Data!K1163</f>
        <v/>
      </c>
      <c r="L1163" s="12">
        <f>Raw_Data!L1163</f>
        <v/>
      </c>
      <c r="M1163" s="12">
        <f>Raw_Data!M1163</f>
        <v/>
      </c>
      <c r="N1163" s="12">
        <f>Raw_Data!N1163</f>
        <v/>
      </c>
      <c r="O1163">
        <f>Raw_Data!O1163</f>
        <v/>
      </c>
      <c r="P1163">
        <f>Raw_Data!P1163</f>
        <v/>
      </c>
      <c r="Q1163">
        <f>YEAR(B1163)</f>
        <v/>
      </c>
      <c r="R1163">
        <f>TEXT(B1163,"mmm")</f>
        <v/>
      </c>
      <c r="S1163" s="15">
        <f>IFERROR(N1163/L1163,0)</f>
        <v/>
      </c>
    </row>
    <row r="1164">
      <c r="A1164">
        <f>Raw_Data!A1164</f>
        <v/>
      </c>
      <c r="B1164" s="11">
        <f>Raw_Data!B1164</f>
        <v/>
      </c>
      <c r="C1164">
        <f>Raw_Data!C1164</f>
        <v/>
      </c>
      <c r="D1164">
        <f>Raw_Data!D1164</f>
        <v/>
      </c>
      <c r="E1164">
        <f>Raw_Data!E1164</f>
        <v/>
      </c>
      <c r="F1164">
        <f>Raw_Data!F1164</f>
        <v/>
      </c>
      <c r="G1164">
        <f>Raw_Data!G1164</f>
        <v/>
      </c>
      <c r="H1164">
        <f>Raw_Data!H1164</f>
        <v/>
      </c>
      <c r="I1164">
        <f>Raw_Data!I1164</f>
        <v/>
      </c>
      <c r="J1164" s="12">
        <f>Raw_Data!J1164</f>
        <v/>
      </c>
      <c r="K1164" s="13">
        <f>Raw_Data!K1164</f>
        <v/>
      </c>
      <c r="L1164" s="12">
        <f>Raw_Data!L1164</f>
        <v/>
      </c>
      <c r="M1164" s="12">
        <f>Raw_Data!M1164</f>
        <v/>
      </c>
      <c r="N1164" s="12">
        <f>Raw_Data!N1164</f>
        <v/>
      </c>
      <c r="O1164">
        <f>Raw_Data!O1164</f>
        <v/>
      </c>
      <c r="P1164">
        <f>Raw_Data!P1164</f>
        <v/>
      </c>
      <c r="Q1164">
        <f>YEAR(B1164)</f>
        <v/>
      </c>
      <c r="R1164">
        <f>TEXT(B1164,"mmm")</f>
        <v/>
      </c>
      <c r="S1164" s="15">
        <f>IFERROR(N1164/L1164,0)</f>
        <v/>
      </c>
    </row>
    <row r="1165">
      <c r="A1165">
        <f>Raw_Data!A1165</f>
        <v/>
      </c>
      <c r="B1165" s="11">
        <f>Raw_Data!B1165</f>
        <v/>
      </c>
      <c r="C1165">
        <f>Raw_Data!C1165</f>
        <v/>
      </c>
      <c r="D1165">
        <f>Raw_Data!D1165</f>
        <v/>
      </c>
      <c r="E1165">
        <f>Raw_Data!E1165</f>
        <v/>
      </c>
      <c r="F1165">
        <f>Raw_Data!F1165</f>
        <v/>
      </c>
      <c r="G1165">
        <f>Raw_Data!G1165</f>
        <v/>
      </c>
      <c r="H1165">
        <f>Raw_Data!H1165</f>
        <v/>
      </c>
      <c r="I1165">
        <f>Raw_Data!I1165</f>
        <v/>
      </c>
      <c r="J1165" s="12">
        <f>Raw_Data!J1165</f>
        <v/>
      </c>
      <c r="K1165" s="13">
        <f>Raw_Data!K1165</f>
        <v/>
      </c>
      <c r="L1165" s="12">
        <f>Raw_Data!L1165</f>
        <v/>
      </c>
      <c r="M1165" s="12">
        <f>Raw_Data!M1165</f>
        <v/>
      </c>
      <c r="N1165" s="12">
        <f>Raw_Data!N1165</f>
        <v/>
      </c>
      <c r="O1165">
        <f>Raw_Data!O1165</f>
        <v/>
      </c>
      <c r="P1165">
        <f>Raw_Data!P1165</f>
        <v/>
      </c>
      <c r="Q1165">
        <f>YEAR(B1165)</f>
        <v/>
      </c>
      <c r="R1165">
        <f>TEXT(B1165,"mmm")</f>
        <v/>
      </c>
      <c r="S1165" s="15">
        <f>IFERROR(N1165/L1165,0)</f>
        <v/>
      </c>
    </row>
    <row r="1166">
      <c r="A1166">
        <f>Raw_Data!A1166</f>
        <v/>
      </c>
      <c r="B1166" s="11">
        <f>Raw_Data!B1166</f>
        <v/>
      </c>
      <c r="C1166">
        <f>Raw_Data!C1166</f>
        <v/>
      </c>
      <c r="D1166">
        <f>Raw_Data!D1166</f>
        <v/>
      </c>
      <c r="E1166">
        <f>Raw_Data!E1166</f>
        <v/>
      </c>
      <c r="F1166">
        <f>Raw_Data!F1166</f>
        <v/>
      </c>
      <c r="G1166">
        <f>Raw_Data!G1166</f>
        <v/>
      </c>
      <c r="H1166">
        <f>Raw_Data!H1166</f>
        <v/>
      </c>
      <c r="I1166">
        <f>Raw_Data!I1166</f>
        <v/>
      </c>
      <c r="J1166" s="12">
        <f>Raw_Data!J1166</f>
        <v/>
      </c>
      <c r="K1166" s="13">
        <f>Raw_Data!K1166</f>
        <v/>
      </c>
      <c r="L1166" s="12">
        <f>Raw_Data!L1166</f>
        <v/>
      </c>
      <c r="M1166" s="12">
        <f>Raw_Data!M1166</f>
        <v/>
      </c>
      <c r="N1166" s="12">
        <f>Raw_Data!N1166</f>
        <v/>
      </c>
      <c r="O1166">
        <f>Raw_Data!O1166</f>
        <v/>
      </c>
      <c r="P1166">
        <f>Raw_Data!P1166</f>
        <v/>
      </c>
      <c r="Q1166">
        <f>YEAR(B1166)</f>
        <v/>
      </c>
      <c r="R1166">
        <f>TEXT(B1166,"mmm")</f>
        <v/>
      </c>
      <c r="S1166" s="15">
        <f>IFERROR(N1166/L1166,0)</f>
        <v/>
      </c>
    </row>
    <row r="1167">
      <c r="A1167">
        <f>Raw_Data!A1167</f>
        <v/>
      </c>
      <c r="B1167" s="11">
        <f>Raw_Data!B1167</f>
        <v/>
      </c>
      <c r="C1167">
        <f>Raw_Data!C1167</f>
        <v/>
      </c>
      <c r="D1167">
        <f>Raw_Data!D1167</f>
        <v/>
      </c>
      <c r="E1167">
        <f>Raw_Data!E1167</f>
        <v/>
      </c>
      <c r="F1167">
        <f>Raw_Data!F1167</f>
        <v/>
      </c>
      <c r="G1167">
        <f>Raw_Data!G1167</f>
        <v/>
      </c>
      <c r="H1167">
        <f>Raw_Data!H1167</f>
        <v/>
      </c>
      <c r="I1167">
        <f>Raw_Data!I1167</f>
        <v/>
      </c>
      <c r="J1167" s="12">
        <f>Raw_Data!J1167</f>
        <v/>
      </c>
      <c r="K1167" s="13">
        <f>Raw_Data!K1167</f>
        <v/>
      </c>
      <c r="L1167" s="12">
        <f>Raw_Data!L1167</f>
        <v/>
      </c>
      <c r="M1167" s="12">
        <f>Raw_Data!M1167</f>
        <v/>
      </c>
      <c r="N1167" s="12">
        <f>Raw_Data!N1167</f>
        <v/>
      </c>
      <c r="O1167">
        <f>Raw_Data!O1167</f>
        <v/>
      </c>
      <c r="P1167">
        <f>Raw_Data!P1167</f>
        <v/>
      </c>
      <c r="Q1167">
        <f>YEAR(B1167)</f>
        <v/>
      </c>
      <c r="R1167">
        <f>TEXT(B1167,"mmm")</f>
        <v/>
      </c>
      <c r="S1167" s="15">
        <f>IFERROR(N1167/L1167,0)</f>
        <v/>
      </c>
    </row>
    <row r="1168">
      <c r="A1168">
        <f>Raw_Data!A1168</f>
        <v/>
      </c>
      <c r="B1168" s="11">
        <f>Raw_Data!B1168</f>
        <v/>
      </c>
      <c r="C1168">
        <f>Raw_Data!C1168</f>
        <v/>
      </c>
      <c r="D1168">
        <f>Raw_Data!D1168</f>
        <v/>
      </c>
      <c r="E1168">
        <f>Raw_Data!E1168</f>
        <v/>
      </c>
      <c r="F1168">
        <f>Raw_Data!F1168</f>
        <v/>
      </c>
      <c r="G1168">
        <f>Raw_Data!G1168</f>
        <v/>
      </c>
      <c r="H1168">
        <f>Raw_Data!H1168</f>
        <v/>
      </c>
      <c r="I1168">
        <f>Raw_Data!I1168</f>
        <v/>
      </c>
      <c r="J1168" s="12">
        <f>Raw_Data!J1168</f>
        <v/>
      </c>
      <c r="K1168" s="13">
        <f>Raw_Data!K1168</f>
        <v/>
      </c>
      <c r="L1168" s="12">
        <f>Raw_Data!L1168</f>
        <v/>
      </c>
      <c r="M1168" s="12">
        <f>Raw_Data!M1168</f>
        <v/>
      </c>
      <c r="N1168" s="12">
        <f>Raw_Data!N1168</f>
        <v/>
      </c>
      <c r="O1168">
        <f>Raw_Data!O1168</f>
        <v/>
      </c>
      <c r="P1168">
        <f>Raw_Data!P1168</f>
        <v/>
      </c>
      <c r="Q1168">
        <f>YEAR(B1168)</f>
        <v/>
      </c>
      <c r="R1168">
        <f>TEXT(B1168,"mmm")</f>
        <v/>
      </c>
      <c r="S1168" s="15">
        <f>IFERROR(N1168/L1168,0)</f>
        <v/>
      </c>
    </row>
    <row r="1169">
      <c r="A1169">
        <f>Raw_Data!A1169</f>
        <v/>
      </c>
      <c r="B1169" s="11">
        <f>Raw_Data!B1169</f>
        <v/>
      </c>
      <c r="C1169">
        <f>Raw_Data!C1169</f>
        <v/>
      </c>
      <c r="D1169">
        <f>Raw_Data!D1169</f>
        <v/>
      </c>
      <c r="E1169">
        <f>Raw_Data!E1169</f>
        <v/>
      </c>
      <c r="F1169">
        <f>Raw_Data!F1169</f>
        <v/>
      </c>
      <c r="G1169">
        <f>Raw_Data!G1169</f>
        <v/>
      </c>
      <c r="H1169">
        <f>Raw_Data!H1169</f>
        <v/>
      </c>
      <c r="I1169">
        <f>Raw_Data!I1169</f>
        <v/>
      </c>
      <c r="J1169" s="12">
        <f>Raw_Data!J1169</f>
        <v/>
      </c>
      <c r="K1169" s="13">
        <f>Raw_Data!K1169</f>
        <v/>
      </c>
      <c r="L1169" s="12">
        <f>Raw_Data!L1169</f>
        <v/>
      </c>
      <c r="M1169" s="12">
        <f>Raw_Data!M1169</f>
        <v/>
      </c>
      <c r="N1169" s="12">
        <f>Raw_Data!N1169</f>
        <v/>
      </c>
      <c r="O1169">
        <f>Raw_Data!O1169</f>
        <v/>
      </c>
      <c r="P1169">
        <f>Raw_Data!P1169</f>
        <v/>
      </c>
      <c r="Q1169">
        <f>YEAR(B1169)</f>
        <v/>
      </c>
      <c r="R1169">
        <f>TEXT(B1169,"mmm")</f>
        <v/>
      </c>
      <c r="S1169" s="15">
        <f>IFERROR(N1169/L1169,0)</f>
        <v/>
      </c>
    </row>
    <row r="1170">
      <c r="A1170">
        <f>Raw_Data!A1170</f>
        <v/>
      </c>
      <c r="B1170" s="11">
        <f>Raw_Data!B1170</f>
        <v/>
      </c>
      <c r="C1170">
        <f>Raw_Data!C1170</f>
        <v/>
      </c>
      <c r="D1170">
        <f>Raw_Data!D1170</f>
        <v/>
      </c>
      <c r="E1170">
        <f>Raw_Data!E1170</f>
        <v/>
      </c>
      <c r="F1170">
        <f>Raw_Data!F1170</f>
        <v/>
      </c>
      <c r="G1170">
        <f>Raw_Data!G1170</f>
        <v/>
      </c>
      <c r="H1170">
        <f>Raw_Data!H1170</f>
        <v/>
      </c>
      <c r="I1170">
        <f>Raw_Data!I1170</f>
        <v/>
      </c>
      <c r="J1170" s="12">
        <f>Raw_Data!J1170</f>
        <v/>
      </c>
      <c r="K1170" s="13">
        <f>Raw_Data!K1170</f>
        <v/>
      </c>
      <c r="L1170" s="12">
        <f>Raw_Data!L1170</f>
        <v/>
      </c>
      <c r="M1170" s="12">
        <f>Raw_Data!M1170</f>
        <v/>
      </c>
      <c r="N1170" s="12">
        <f>Raw_Data!N1170</f>
        <v/>
      </c>
      <c r="O1170">
        <f>Raw_Data!O1170</f>
        <v/>
      </c>
      <c r="P1170">
        <f>Raw_Data!P1170</f>
        <v/>
      </c>
      <c r="Q1170">
        <f>YEAR(B1170)</f>
        <v/>
      </c>
      <c r="R1170">
        <f>TEXT(B1170,"mmm")</f>
        <v/>
      </c>
      <c r="S1170" s="15">
        <f>IFERROR(N1170/L1170,0)</f>
        <v/>
      </c>
    </row>
    <row r="1171">
      <c r="A1171">
        <f>Raw_Data!A1171</f>
        <v/>
      </c>
      <c r="B1171" s="11">
        <f>Raw_Data!B1171</f>
        <v/>
      </c>
      <c r="C1171">
        <f>Raw_Data!C1171</f>
        <v/>
      </c>
      <c r="D1171">
        <f>Raw_Data!D1171</f>
        <v/>
      </c>
      <c r="E1171">
        <f>Raw_Data!E1171</f>
        <v/>
      </c>
      <c r="F1171">
        <f>Raw_Data!F1171</f>
        <v/>
      </c>
      <c r="G1171">
        <f>Raw_Data!G1171</f>
        <v/>
      </c>
      <c r="H1171">
        <f>Raw_Data!H1171</f>
        <v/>
      </c>
      <c r="I1171">
        <f>Raw_Data!I1171</f>
        <v/>
      </c>
      <c r="J1171" s="12">
        <f>Raw_Data!J1171</f>
        <v/>
      </c>
      <c r="K1171" s="13">
        <f>Raw_Data!K1171</f>
        <v/>
      </c>
      <c r="L1171" s="12">
        <f>Raw_Data!L1171</f>
        <v/>
      </c>
      <c r="M1171" s="12">
        <f>Raw_Data!M1171</f>
        <v/>
      </c>
      <c r="N1171" s="12">
        <f>Raw_Data!N1171</f>
        <v/>
      </c>
      <c r="O1171">
        <f>Raw_Data!O1171</f>
        <v/>
      </c>
      <c r="P1171">
        <f>Raw_Data!P1171</f>
        <v/>
      </c>
      <c r="Q1171">
        <f>YEAR(B1171)</f>
        <v/>
      </c>
      <c r="R1171">
        <f>TEXT(B1171,"mmm")</f>
        <v/>
      </c>
      <c r="S1171" s="15">
        <f>IFERROR(N1171/L1171,0)</f>
        <v/>
      </c>
    </row>
    <row r="1172">
      <c r="A1172">
        <f>Raw_Data!A1172</f>
        <v/>
      </c>
      <c r="B1172" s="11">
        <f>Raw_Data!B1172</f>
        <v/>
      </c>
      <c r="C1172">
        <f>Raw_Data!C1172</f>
        <v/>
      </c>
      <c r="D1172">
        <f>Raw_Data!D1172</f>
        <v/>
      </c>
      <c r="E1172">
        <f>Raw_Data!E1172</f>
        <v/>
      </c>
      <c r="F1172">
        <f>Raw_Data!F1172</f>
        <v/>
      </c>
      <c r="G1172">
        <f>Raw_Data!G1172</f>
        <v/>
      </c>
      <c r="H1172">
        <f>Raw_Data!H1172</f>
        <v/>
      </c>
      <c r="I1172">
        <f>Raw_Data!I1172</f>
        <v/>
      </c>
      <c r="J1172" s="12">
        <f>Raw_Data!J1172</f>
        <v/>
      </c>
      <c r="K1172" s="13">
        <f>Raw_Data!K1172</f>
        <v/>
      </c>
      <c r="L1172" s="12">
        <f>Raw_Data!L1172</f>
        <v/>
      </c>
      <c r="M1172" s="12">
        <f>Raw_Data!M1172</f>
        <v/>
      </c>
      <c r="N1172" s="12">
        <f>Raw_Data!N1172</f>
        <v/>
      </c>
      <c r="O1172">
        <f>Raw_Data!O1172</f>
        <v/>
      </c>
      <c r="P1172">
        <f>Raw_Data!P1172</f>
        <v/>
      </c>
      <c r="Q1172">
        <f>YEAR(B1172)</f>
        <v/>
      </c>
      <c r="R1172">
        <f>TEXT(B1172,"mmm")</f>
        <v/>
      </c>
      <c r="S1172" s="15">
        <f>IFERROR(N1172/L1172,0)</f>
        <v/>
      </c>
    </row>
    <row r="1173">
      <c r="A1173">
        <f>Raw_Data!A1173</f>
        <v/>
      </c>
      <c r="B1173" s="11">
        <f>Raw_Data!B1173</f>
        <v/>
      </c>
      <c r="C1173">
        <f>Raw_Data!C1173</f>
        <v/>
      </c>
      <c r="D1173">
        <f>Raw_Data!D1173</f>
        <v/>
      </c>
      <c r="E1173">
        <f>Raw_Data!E1173</f>
        <v/>
      </c>
      <c r="F1173">
        <f>Raw_Data!F1173</f>
        <v/>
      </c>
      <c r="G1173">
        <f>Raw_Data!G1173</f>
        <v/>
      </c>
      <c r="H1173">
        <f>Raw_Data!H1173</f>
        <v/>
      </c>
      <c r="I1173">
        <f>Raw_Data!I1173</f>
        <v/>
      </c>
      <c r="J1173" s="12">
        <f>Raw_Data!J1173</f>
        <v/>
      </c>
      <c r="K1173" s="13">
        <f>Raw_Data!K1173</f>
        <v/>
      </c>
      <c r="L1173" s="12">
        <f>Raw_Data!L1173</f>
        <v/>
      </c>
      <c r="M1173" s="12">
        <f>Raw_Data!M1173</f>
        <v/>
      </c>
      <c r="N1173" s="12">
        <f>Raw_Data!N1173</f>
        <v/>
      </c>
      <c r="O1173">
        <f>Raw_Data!O1173</f>
        <v/>
      </c>
      <c r="P1173">
        <f>Raw_Data!P1173</f>
        <v/>
      </c>
      <c r="Q1173">
        <f>YEAR(B1173)</f>
        <v/>
      </c>
      <c r="R1173">
        <f>TEXT(B1173,"mmm")</f>
        <v/>
      </c>
      <c r="S1173" s="15">
        <f>IFERROR(N1173/L1173,0)</f>
        <v/>
      </c>
    </row>
    <row r="1174">
      <c r="A1174">
        <f>Raw_Data!A1174</f>
        <v/>
      </c>
      <c r="B1174" s="11">
        <f>Raw_Data!B1174</f>
        <v/>
      </c>
      <c r="C1174">
        <f>Raw_Data!C1174</f>
        <v/>
      </c>
      <c r="D1174">
        <f>Raw_Data!D1174</f>
        <v/>
      </c>
      <c r="E1174">
        <f>Raw_Data!E1174</f>
        <v/>
      </c>
      <c r="F1174">
        <f>Raw_Data!F1174</f>
        <v/>
      </c>
      <c r="G1174">
        <f>Raw_Data!G1174</f>
        <v/>
      </c>
      <c r="H1174">
        <f>Raw_Data!H1174</f>
        <v/>
      </c>
      <c r="I1174">
        <f>Raw_Data!I1174</f>
        <v/>
      </c>
      <c r="J1174" s="12">
        <f>Raw_Data!J1174</f>
        <v/>
      </c>
      <c r="K1174" s="13">
        <f>Raw_Data!K1174</f>
        <v/>
      </c>
      <c r="L1174" s="12">
        <f>Raw_Data!L1174</f>
        <v/>
      </c>
      <c r="M1174" s="12">
        <f>Raw_Data!M1174</f>
        <v/>
      </c>
      <c r="N1174" s="12">
        <f>Raw_Data!N1174</f>
        <v/>
      </c>
      <c r="O1174">
        <f>Raw_Data!O1174</f>
        <v/>
      </c>
      <c r="P1174">
        <f>Raw_Data!P1174</f>
        <v/>
      </c>
      <c r="Q1174">
        <f>YEAR(B1174)</f>
        <v/>
      </c>
      <c r="R1174">
        <f>TEXT(B1174,"mmm")</f>
        <v/>
      </c>
      <c r="S1174" s="15">
        <f>IFERROR(N1174/L1174,0)</f>
        <v/>
      </c>
    </row>
    <row r="1175">
      <c r="A1175">
        <f>Raw_Data!A1175</f>
        <v/>
      </c>
      <c r="B1175" s="11">
        <f>Raw_Data!B1175</f>
        <v/>
      </c>
      <c r="C1175">
        <f>Raw_Data!C1175</f>
        <v/>
      </c>
      <c r="D1175">
        <f>Raw_Data!D1175</f>
        <v/>
      </c>
      <c r="E1175">
        <f>Raw_Data!E1175</f>
        <v/>
      </c>
      <c r="F1175">
        <f>Raw_Data!F1175</f>
        <v/>
      </c>
      <c r="G1175">
        <f>Raw_Data!G1175</f>
        <v/>
      </c>
      <c r="H1175">
        <f>Raw_Data!H1175</f>
        <v/>
      </c>
      <c r="I1175">
        <f>Raw_Data!I1175</f>
        <v/>
      </c>
      <c r="J1175" s="12">
        <f>Raw_Data!J1175</f>
        <v/>
      </c>
      <c r="K1175" s="13">
        <f>Raw_Data!K1175</f>
        <v/>
      </c>
      <c r="L1175" s="12">
        <f>Raw_Data!L1175</f>
        <v/>
      </c>
      <c r="M1175" s="12">
        <f>Raw_Data!M1175</f>
        <v/>
      </c>
      <c r="N1175" s="12">
        <f>Raw_Data!N1175</f>
        <v/>
      </c>
      <c r="O1175">
        <f>Raw_Data!O1175</f>
        <v/>
      </c>
      <c r="P1175">
        <f>Raw_Data!P1175</f>
        <v/>
      </c>
      <c r="Q1175">
        <f>YEAR(B1175)</f>
        <v/>
      </c>
      <c r="R1175">
        <f>TEXT(B1175,"mmm")</f>
        <v/>
      </c>
      <c r="S1175" s="15">
        <f>IFERROR(N1175/L1175,0)</f>
        <v/>
      </c>
    </row>
    <row r="1176">
      <c r="A1176">
        <f>Raw_Data!A1176</f>
        <v/>
      </c>
      <c r="B1176" s="11">
        <f>Raw_Data!B1176</f>
        <v/>
      </c>
      <c r="C1176">
        <f>Raw_Data!C1176</f>
        <v/>
      </c>
      <c r="D1176">
        <f>Raw_Data!D1176</f>
        <v/>
      </c>
      <c r="E1176">
        <f>Raw_Data!E1176</f>
        <v/>
      </c>
      <c r="F1176">
        <f>Raw_Data!F1176</f>
        <v/>
      </c>
      <c r="G1176">
        <f>Raw_Data!G1176</f>
        <v/>
      </c>
      <c r="H1176">
        <f>Raw_Data!H1176</f>
        <v/>
      </c>
      <c r="I1176">
        <f>Raw_Data!I1176</f>
        <v/>
      </c>
      <c r="J1176" s="12">
        <f>Raw_Data!J1176</f>
        <v/>
      </c>
      <c r="K1176" s="13">
        <f>Raw_Data!K1176</f>
        <v/>
      </c>
      <c r="L1176" s="12">
        <f>Raw_Data!L1176</f>
        <v/>
      </c>
      <c r="M1176" s="12">
        <f>Raw_Data!M1176</f>
        <v/>
      </c>
      <c r="N1176" s="12">
        <f>Raw_Data!N1176</f>
        <v/>
      </c>
      <c r="O1176">
        <f>Raw_Data!O1176</f>
        <v/>
      </c>
      <c r="P1176">
        <f>Raw_Data!P1176</f>
        <v/>
      </c>
      <c r="Q1176">
        <f>YEAR(B1176)</f>
        <v/>
      </c>
      <c r="R1176">
        <f>TEXT(B1176,"mmm")</f>
        <v/>
      </c>
      <c r="S1176" s="15">
        <f>IFERROR(N1176/L1176,0)</f>
        <v/>
      </c>
    </row>
    <row r="1177">
      <c r="A1177">
        <f>Raw_Data!A1177</f>
        <v/>
      </c>
      <c r="B1177" s="11">
        <f>Raw_Data!B1177</f>
        <v/>
      </c>
      <c r="C1177">
        <f>Raw_Data!C1177</f>
        <v/>
      </c>
      <c r="D1177">
        <f>Raw_Data!D1177</f>
        <v/>
      </c>
      <c r="E1177">
        <f>Raw_Data!E1177</f>
        <v/>
      </c>
      <c r="F1177">
        <f>Raw_Data!F1177</f>
        <v/>
      </c>
      <c r="G1177">
        <f>Raw_Data!G1177</f>
        <v/>
      </c>
      <c r="H1177">
        <f>Raw_Data!H1177</f>
        <v/>
      </c>
      <c r="I1177">
        <f>Raw_Data!I1177</f>
        <v/>
      </c>
      <c r="J1177" s="12">
        <f>Raw_Data!J1177</f>
        <v/>
      </c>
      <c r="K1177" s="13">
        <f>Raw_Data!K1177</f>
        <v/>
      </c>
      <c r="L1177" s="12">
        <f>Raw_Data!L1177</f>
        <v/>
      </c>
      <c r="M1177" s="12">
        <f>Raw_Data!M1177</f>
        <v/>
      </c>
      <c r="N1177" s="12">
        <f>Raw_Data!N1177</f>
        <v/>
      </c>
      <c r="O1177">
        <f>Raw_Data!O1177</f>
        <v/>
      </c>
      <c r="P1177">
        <f>Raw_Data!P1177</f>
        <v/>
      </c>
      <c r="Q1177">
        <f>YEAR(B1177)</f>
        <v/>
      </c>
      <c r="R1177">
        <f>TEXT(B1177,"mmm")</f>
        <v/>
      </c>
      <c r="S1177" s="15">
        <f>IFERROR(N1177/L1177,0)</f>
        <v/>
      </c>
    </row>
    <row r="1178">
      <c r="A1178">
        <f>Raw_Data!A1178</f>
        <v/>
      </c>
      <c r="B1178" s="11">
        <f>Raw_Data!B1178</f>
        <v/>
      </c>
      <c r="C1178">
        <f>Raw_Data!C1178</f>
        <v/>
      </c>
      <c r="D1178">
        <f>Raw_Data!D1178</f>
        <v/>
      </c>
      <c r="E1178">
        <f>Raw_Data!E1178</f>
        <v/>
      </c>
      <c r="F1178">
        <f>Raw_Data!F1178</f>
        <v/>
      </c>
      <c r="G1178">
        <f>Raw_Data!G1178</f>
        <v/>
      </c>
      <c r="H1178">
        <f>Raw_Data!H1178</f>
        <v/>
      </c>
      <c r="I1178">
        <f>Raw_Data!I1178</f>
        <v/>
      </c>
      <c r="J1178" s="12">
        <f>Raw_Data!J1178</f>
        <v/>
      </c>
      <c r="K1178" s="13">
        <f>Raw_Data!K1178</f>
        <v/>
      </c>
      <c r="L1178" s="12">
        <f>Raw_Data!L1178</f>
        <v/>
      </c>
      <c r="M1178" s="12">
        <f>Raw_Data!M1178</f>
        <v/>
      </c>
      <c r="N1178" s="12">
        <f>Raw_Data!N1178</f>
        <v/>
      </c>
      <c r="O1178">
        <f>Raw_Data!O1178</f>
        <v/>
      </c>
      <c r="P1178">
        <f>Raw_Data!P1178</f>
        <v/>
      </c>
      <c r="Q1178">
        <f>YEAR(B1178)</f>
        <v/>
      </c>
      <c r="R1178">
        <f>TEXT(B1178,"mmm")</f>
        <v/>
      </c>
      <c r="S1178" s="15">
        <f>IFERROR(N1178/L1178,0)</f>
        <v/>
      </c>
    </row>
    <row r="1179">
      <c r="A1179">
        <f>Raw_Data!A1179</f>
        <v/>
      </c>
      <c r="B1179" s="11">
        <f>Raw_Data!B1179</f>
        <v/>
      </c>
      <c r="C1179">
        <f>Raw_Data!C1179</f>
        <v/>
      </c>
      <c r="D1179">
        <f>Raw_Data!D1179</f>
        <v/>
      </c>
      <c r="E1179">
        <f>Raw_Data!E1179</f>
        <v/>
      </c>
      <c r="F1179">
        <f>Raw_Data!F1179</f>
        <v/>
      </c>
      <c r="G1179">
        <f>Raw_Data!G1179</f>
        <v/>
      </c>
      <c r="H1179">
        <f>Raw_Data!H1179</f>
        <v/>
      </c>
      <c r="I1179">
        <f>Raw_Data!I1179</f>
        <v/>
      </c>
      <c r="J1179" s="12">
        <f>Raw_Data!J1179</f>
        <v/>
      </c>
      <c r="K1179" s="13">
        <f>Raw_Data!K1179</f>
        <v/>
      </c>
      <c r="L1179" s="12">
        <f>Raw_Data!L1179</f>
        <v/>
      </c>
      <c r="M1179" s="12">
        <f>Raw_Data!M1179</f>
        <v/>
      </c>
      <c r="N1179" s="12">
        <f>Raw_Data!N1179</f>
        <v/>
      </c>
      <c r="O1179">
        <f>Raw_Data!O1179</f>
        <v/>
      </c>
      <c r="P1179">
        <f>Raw_Data!P1179</f>
        <v/>
      </c>
      <c r="Q1179">
        <f>YEAR(B1179)</f>
        <v/>
      </c>
      <c r="R1179">
        <f>TEXT(B1179,"mmm")</f>
        <v/>
      </c>
      <c r="S1179" s="15">
        <f>IFERROR(N1179/L1179,0)</f>
        <v/>
      </c>
    </row>
    <row r="1180">
      <c r="A1180">
        <f>Raw_Data!A1180</f>
        <v/>
      </c>
      <c r="B1180" s="11">
        <f>Raw_Data!B1180</f>
        <v/>
      </c>
      <c r="C1180">
        <f>Raw_Data!C1180</f>
        <v/>
      </c>
      <c r="D1180">
        <f>Raw_Data!D1180</f>
        <v/>
      </c>
      <c r="E1180">
        <f>Raw_Data!E1180</f>
        <v/>
      </c>
      <c r="F1180">
        <f>Raw_Data!F1180</f>
        <v/>
      </c>
      <c r="G1180">
        <f>Raw_Data!G1180</f>
        <v/>
      </c>
      <c r="H1180">
        <f>Raw_Data!H1180</f>
        <v/>
      </c>
      <c r="I1180">
        <f>Raw_Data!I1180</f>
        <v/>
      </c>
      <c r="J1180" s="12">
        <f>Raw_Data!J1180</f>
        <v/>
      </c>
      <c r="K1180" s="13">
        <f>Raw_Data!K1180</f>
        <v/>
      </c>
      <c r="L1180" s="12">
        <f>Raw_Data!L1180</f>
        <v/>
      </c>
      <c r="M1180" s="12">
        <f>Raw_Data!M1180</f>
        <v/>
      </c>
      <c r="N1180" s="12">
        <f>Raw_Data!N1180</f>
        <v/>
      </c>
      <c r="O1180">
        <f>Raw_Data!O1180</f>
        <v/>
      </c>
      <c r="P1180">
        <f>Raw_Data!P1180</f>
        <v/>
      </c>
      <c r="Q1180">
        <f>YEAR(B1180)</f>
        <v/>
      </c>
      <c r="R1180">
        <f>TEXT(B1180,"mmm")</f>
        <v/>
      </c>
      <c r="S1180" s="15">
        <f>IFERROR(N1180/L1180,0)</f>
        <v/>
      </c>
    </row>
    <row r="1181">
      <c r="A1181">
        <f>Raw_Data!A1181</f>
        <v/>
      </c>
      <c r="B1181" s="11">
        <f>Raw_Data!B1181</f>
        <v/>
      </c>
      <c r="C1181">
        <f>Raw_Data!C1181</f>
        <v/>
      </c>
      <c r="D1181">
        <f>Raw_Data!D1181</f>
        <v/>
      </c>
      <c r="E1181">
        <f>Raw_Data!E1181</f>
        <v/>
      </c>
      <c r="F1181">
        <f>Raw_Data!F1181</f>
        <v/>
      </c>
      <c r="G1181">
        <f>Raw_Data!G1181</f>
        <v/>
      </c>
      <c r="H1181">
        <f>Raw_Data!H1181</f>
        <v/>
      </c>
      <c r="I1181">
        <f>Raw_Data!I1181</f>
        <v/>
      </c>
      <c r="J1181" s="12">
        <f>Raw_Data!J1181</f>
        <v/>
      </c>
      <c r="K1181" s="13">
        <f>Raw_Data!K1181</f>
        <v/>
      </c>
      <c r="L1181" s="12">
        <f>Raw_Data!L1181</f>
        <v/>
      </c>
      <c r="M1181" s="12">
        <f>Raw_Data!M1181</f>
        <v/>
      </c>
      <c r="N1181" s="12">
        <f>Raw_Data!N1181</f>
        <v/>
      </c>
      <c r="O1181">
        <f>Raw_Data!O1181</f>
        <v/>
      </c>
      <c r="P1181">
        <f>Raw_Data!P1181</f>
        <v/>
      </c>
      <c r="Q1181">
        <f>YEAR(B1181)</f>
        <v/>
      </c>
      <c r="R1181">
        <f>TEXT(B1181,"mmm")</f>
        <v/>
      </c>
      <c r="S1181" s="15">
        <f>IFERROR(N1181/L1181,0)</f>
        <v/>
      </c>
    </row>
    <row r="1182">
      <c r="A1182">
        <f>Raw_Data!A1182</f>
        <v/>
      </c>
      <c r="B1182" s="11">
        <f>Raw_Data!B1182</f>
        <v/>
      </c>
      <c r="C1182">
        <f>Raw_Data!C1182</f>
        <v/>
      </c>
      <c r="D1182">
        <f>Raw_Data!D1182</f>
        <v/>
      </c>
      <c r="E1182">
        <f>Raw_Data!E1182</f>
        <v/>
      </c>
      <c r="F1182">
        <f>Raw_Data!F1182</f>
        <v/>
      </c>
      <c r="G1182">
        <f>Raw_Data!G1182</f>
        <v/>
      </c>
      <c r="H1182">
        <f>Raw_Data!H1182</f>
        <v/>
      </c>
      <c r="I1182">
        <f>Raw_Data!I1182</f>
        <v/>
      </c>
      <c r="J1182" s="12">
        <f>Raw_Data!J1182</f>
        <v/>
      </c>
      <c r="K1182" s="13">
        <f>Raw_Data!K1182</f>
        <v/>
      </c>
      <c r="L1182" s="12">
        <f>Raw_Data!L1182</f>
        <v/>
      </c>
      <c r="M1182" s="12">
        <f>Raw_Data!M1182</f>
        <v/>
      </c>
      <c r="N1182" s="12">
        <f>Raw_Data!N1182</f>
        <v/>
      </c>
      <c r="O1182">
        <f>Raw_Data!O1182</f>
        <v/>
      </c>
      <c r="P1182">
        <f>Raw_Data!P1182</f>
        <v/>
      </c>
      <c r="Q1182">
        <f>YEAR(B1182)</f>
        <v/>
      </c>
      <c r="R1182">
        <f>TEXT(B1182,"mmm")</f>
        <v/>
      </c>
      <c r="S1182" s="15">
        <f>IFERROR(N1182/L1182,0)</f>
        <v/>
      </c>
    </row>
    <row r="1183">
      <c r="A1183">
        <f>Raw_Data!A1183</f>
        <v/>
      </c>
      <c r="B1183" s="11">
        <f>Raw_Data!B1183</f>
        <v/>
      </c>
      <c r="C1183">
        <f>Raw_Data!C1183</f>
        <v/>
      </c>
      <c r="D1183">
        <f>Raw_Data!D1183</f>
        <v/>
      </c>
      <c r="E1183">
        <f>Raw_Data!E1183</f>
        <v/>
      </c>
      <c r="F1183">
        <f>Raw_Data!F1183</f>
        <v/>
      </c>
      <c r="G1183">
        <f>Raw_Data!G1183</f>
        <v/>
      </c>
      <c r="H1183">
        <f>Raw_Data!H1183</f>
        <v/>
      </c>
      <c r="I1183">
        <f>Raw_Data!I1183</f>
        <v/>
      </c>
      <c r="J1183" s="12">
        <f>Raw_Data!J1183</f>
        <v/>
      </c>
      <c r="K1183" s="13">
        <f>Raw_Data!K1183</f>
        <v/>
      </c>
      <c r="L1183" s="12">
        <f>Raw_Data!L1183</f>
        <v/>
      </c>
      <c r="M1183" s="12">
        <f>Raw_Data!M1183</f>
        <v/>
      </c>
      <c r="N1183" s="12">
        <f>Raw_Data!N1183</f>
        <v/>
      </c>
      <c r="O1183">
        <f>Raw_Data!O1183</f>
        <v/>
      </c>
      <c r="P1183">
        <f>Raw_Data!P1183</f>
        <v/>
      </c>
      <c r="Q1183">
        <f>YEAR(B1183)</f>
        <v/>
      </c>
      <c r="R1183">
        <f>TEXT(B1183,"mmm")</f>
        <v/>
      </c>
      <c r="S1183" s="15">
        <f>IFERROR(N1183/L1183,0)</f>
        <v/>
      </c>
    </row>
    <row r="1184">
      <c r="A1184">
        <f>Raw_Data!A1184</f>
        <v/>
      </c>
      <c r="B1184" s="11">
        <f>Raw_Data!B1184</f>
        <v/>
      </c>
      <c r="C1184">
        <f>Raw_Data!C1184</f>
        <v/>
      </c>
      <c r="D1184">
        <f>Raw_Data!D1184</f>
        <v/>
      </c>
      <c r="E1184">
        <f>Raw_Data!E1184</f>
        <v/>
      </c>
      <c r="F1184">
        <f>Raw_Data!F1184</f>
        <v/>
      </c>
      <c r="G1184">
        <f>Raw_Data!G1184</f>
        <v/>
      </c>
      <c r="H1184">
        <f>Raw_Data!H1184</f>
        <v/>
      </c>
      <c r="I1184">
        <f>Raw_Data!I1184</f>
        <v/>
      </c>
      <c r="J1184" s="12">
        <f>Raw_Data!J1184</f>
        <v/>
      </c>
      <c r="K1184" s="13">
        <f>Raw_Data!K1184</f>
        <v/>
      </c>
      <c r="L1184" s="12">
        <f>Raw_Data!L1184</f>
        <v/>
      </c>
      <c r="M1184" s="12">
        <f>Raw_Data!M1184</f>
        <v/>
      </c>
      <c r="N1184" s="12">
        <f>Raw_Data!N1184</f>
        <v/>
      </c>
      <c r="O1184">
        <f>Raw_Data!O1184</f>
        <v/>
      </c>
      <c r="P1184">
        <f>Raw_Data!P1184</f>
        <v/>
      </c>
      <c r="Q1184">
        <f>YEAR(B1184)</f>
        <v/>
      </c>
      <c r="R1184">
        <f>TEXT(B1184,"mmm")</f>
        <v/>
      </c>
      <c r="S1184" s="15">
        <f>IFERROR(N1184/L1184,0)</f>
        <v/>
      </c>
    </row>
    <row r="1185">
      <c r="A1185">
        <f>Raw_Data!A1185</f>
        <v/>
      </c>
      <c r="B1185" s="11">
        <f>Raw_Data!B1185</f>
        <v/>
      </c>
      <c r="C1185">
        <f>Raw_Data!C1185</f>
        <v/>
      </c>
      <c r="D1185">
        <f>Raw_Data!D1185</f>
        <v/>
      </c>
      <c r="E1185">
        <f>Raw_Data!E1185</f>
        <v/>
      </c>
      <c r="F1185">
        <f>Raw_Data!F1185</f>
        <v/>
      </c>
      <c r="G1185">
        <f>Raw_Data!G1185</f>
        <v/>
      </c>
      <c r="H1185">
        <f>Raw_Data!H1185</f>
        <v/>
      </c>
      <c r="I1185">
        <f>Raw_Data!I1185</f>
        <v/>
      </c>
      <c r="J1185" s="12">
        <f>Raw_Data!J1185</f>
        <v/>
      </c>
      <c r="K1185" s="13">
        <f>Raw_Data!K1185</f>
        <v/>
      </c>
      <c r="L1185" s="12">
        <f>Raw_Data!L1185</f>
        <v/>
      </c>
      <c r="M1185" s="12">
        <f>Raw_Data!M1185</f>
        <v/>
      </c>
      <c r="N1185" s="12">
        <f>Raw_Data!N1185</f>
        <v/>
      </c>
      <c r="O1185">
        <f>Raw_Data!O1185</f>
        <v/>
      </c>
      <c r="P1185">
        <f>Raw_Data!P1185</f>
        <v/>
      </c>
      <c r="Q1185">
        <f>YEAR(B1185)</f>
        <v/>
      </c>
      <c r="R1185">
        <f>TEXT(B1185,"mmm")</f>
        <v/>
      </c>
      <c r="S1185" s="15">
        <f>IFERROR(N1185/L1185,0)</f>
        <v/>
      </c>
    </row>
    <row r="1186">
      <c r="A1186">
        <f>Raw_Data!A1186</f>
        <v/>
      </c>
      <c r="B1186" s="11">
        <f>Raw_Data!B1186</f>
        <v/>
      </c>
      <c r="C1186">
        <f>Raw_Data!C1186</f>
        <v/>
      </c>
      <c r="D1186">
        <f>Raw_Data!D1186</f>
        <v/>
      </c>
      <c r="E1186">
        <f>Raw_Data!E1186</f>
        <v/>
      </c>
      <c r="F1186">
        <f>Raw_Data!F1186</f>
        <v/>
      </c>
      <c r="G1186">
        <f>Raw_Data!G1186</f>
        <v/>
      </c>
      <c r="H1186">
        <f>Raw_Data!H1186</f>
        <v/>
      </c>
      <c r="I1186">
        <f>Raw_Data!I1186</f>
        <v/>
      </c>
      <c r="J1186" s="12">
        <f>Raw_Data!J1186</f>
        <v/>
      </c>
      <c r="K1186" s="13">
        <f>Raw_Data!K1186</f>
        <v/>
      </c>
      <c r="L1186" s="12">
        <f>Raw_Data!L1186</f>
        <v/>
      </c>
      <c r="M1186" s="12">
        <f>Raw_Data!M1186</f>
        <v/>
      </c>
      <c r="N1186" s="12">
        <f>Raw_Data!N1186</f>
        <v/>
      </c>
      <c r="O1186">
        <f>Raw_Data!O1186</f>
        <v/>
      </c>
      <c r="P1186">
        <f>Raw_Data!P1186</f>
        <v/>
      </c>
      <c r="Q1186">
        <f>YEAR(B1186)</f>
        <v/>
      </c>
      <c r="R1186">
        <f>TEXT(B1186,"mmm")</f>
        <v/>
      </c>
      <c r="S1186" s="15">
        <f>IFERROR(N1186/L1186,0)</f>
        <v/>
      </c>
    </row>
    <row r="1187">
      <c r="A1187">
        <f>Raw_Data!A1187</f>
        <v/>
      </c>
      <c r="B1187" s="11">
        <f>Raw_Data!B1187</f>
        <v/>
      </c>
      <c r="C1187">
        <f>Raw_Data!C1187</f>
        <v/>
      </c>
      <c r="D1187">
        <f>Raw_Data!D1187</f>
        <v/>
      </c>
      <c r="E1187">
        <f>Raw_Data!E1187</f>
        <v/>
      </c>
      <c r="F1187">
        <f>Raw_Data!F1187</f>
        <v/>
      </c>
      <c r="G1187">
        <f>Raw_Data!G1187</f>
        <v/>
      </c>
      <c r="H1187">
        <f>Raw_Data!H1187</f>
        <v/>
      </c>
      <c r="I1187">
        <f>Raw_Data!I1187</f>
        <v/>
      </c>
      <c r="J1187" s="12">
        <f>Raw_Data!J1187</f>
        <v/>
      </c>
      <c r="K1187" s="13">
        <f>Raw_Data!K1187</f>
        <v/>
      </c>
      <c r="L1187" s="12">
        <f>Raw_Data!L1187</f>
        <v/>
      </c>
      <c r="M1187" s="12">
        <f>Raw_Data!M1187</f>
        <v/>
      </c>
      <c r="N1187" s="12">
        <f>Raw_Data!N1187</f>
        <v/>
      </c>
      <c r="O1187">
        <f>Raw_Data!O1187</f>
        <v/>
      </c>
      <c r="P1187">
        <f>Raw_Data!P1187</f>
        <v/>
      </c>
      <c r="Q1187">
        <f>YEAR(B1187)</f>
        <v/>
      </c>
      <c r="R1187">
        <f>TEXT(B1187,"mmm")</f>
        <v/>
      </c>
      <c r="S1187" s="15">
        <f>IFERROR(N1187/L1187,0)</f>
        <v/>
      </c>
    </row>
    <row r="1188">
      <c r="A1188">
        <f>Raw_Data!A1188</f>
        <v/>
      </c>
      <c r="B1188" s="11">
        <f>Raw_Data!B1188</f>
        <v/>
      </c>
      <c r="C1188">
        <f>Raw_Data!C1188</f>
        <v/>
      </c>
      <c r="D1188">
        <f>Raw_Data!D1188</f>
        <v/>
      </c>
      <c r="E1188">
        <f>Raw_Data!E1188</f>
        <v/>
      </c>
      <c r="F1188">
        <f>Raw_Data!F1188</f>
        <v/>
      </c>
      <c r="G1188">
        <f>Raw_Data!G1188</f>
        <v/>
      </c>
      <c r="H1188">
        <f>Raw_Data!H1188</f>
        <v/>
      </c>
      <c r="I1188">
        <f>Raw_Data!I1188</f>
        <v/>
      </c>
      <c r="J1188" s="12">
        <f>Raw_Data!J1188</f>
        <v/>
      </c>
      <c r="K1188" s="13">
        <f>Raw_Data!K1188</f>
        <v/>
      </c>
      <c r="L1188" s="12">
        <f>Raw_Data!L1188</f>
        <v/>
      </c>
      <c r="M1188" s="12">
        <f>Raw_Data!M1188</f>
        <v/>
      </c>
      <c r="N1188" s="12">
        <f>Raw_Data!N1188</f>
        <v/>
      </c>
      <c r="O1188">
        <f>Raw_Data!O1188</f>
        <v/>
      </c>
      <c r="P1188">
        <f>Raw_Data!P1188</f>
        <v/>
      </c>
      <c r="Q1188">
        <f>YEAR(B1188)</f>
        <v/>
      </c>
      <c r="R1188">
        <f>TEXT(B1188,"mmm")</f>
        <v/>
      </c>
      <c r="S1188" s="15">
        <f>IFERROR(N1188/L1188,0)</f>
        <v/>
      </c>
    </row>
    <row r="1189">
      <c r="A1189">
        <f>Raw_Data!A1189</f>
        <v/>
      </c>
      <c r="B1189" s="11">
        <f>Raw_Data!B1189</f>
        <v/>
      </c>
      <c r="C1189">
        <f>Raw_Data!C1189</f>
        <v/>
      </c>
      <c r="D1189">
        <f>Raw_Data!D1189</f>
        <v/>
      </c>
      <c r="E1189">
        <f>Raw_Data!E1189</f>
        <v/>
      </c>
      <c r="F1189">
        <f>Raw_Data!F1189</f>
        <v/>
      </c>
      <c r="G1189">
        <f>Raw_Data!G1189</f>
        <v/>
      </c>
      <c r="H1189">
        <f>Raw_Data!H1189</f>
        <v/>
      </c>
      <c r="I1189">
        <f>Raw_Data!I1189</f>
        <v/>
      </c>
      <c r="J1189" s="12">
        <f>Raw_Data!J1189</f>
        <v/>
      </c>
      <c r="K1189" s="13">
        <f>Raw_Data!K1189</f>
        <v/>
      </c>
      <c r="L1189" s="12">
        <f>Raw_Data!L1189</f>
        <v/>
      </c>
      <c r="M1189" s="12">
        <f>Raw_Data!M1189</f>
        <v/>
      </c>
      <c r="N1189" s="12">
        <f>Raw_Data!N1189</f>
        <v/>
      </c>
      <c r="O1189">
        <f>Raw_Data!O1189</f>
        <v/>
      </c>
      <c r="P1189">
        <f>Raw_Data!P1189</f>
        <v/>
      </c>
      <c r="Q1189">
        <f>YEAR(B1189)</f>
        <v/>
      </c>
      <c r="R1189">
        <f>TEXT(B1189,"mmm")</f>
        <v/>
      </c>
      <c r="S1189" s="15">
        <f>IFERROR(N1189/L1189,0)</f>
        <v/>
      </c>
    </row>
    <row r="1190">
      <c r="A1190">
        <f>Raw_Data!A1190</f>
        <v/>
      </c>
      <c r="B1190" s="11">
        <f>Raw_Data!B1190</f>
        <v/>
      </c>
      <c r="C1190">
        <f>Raw_Data!C1190</f>
        <v/>
      </c>
      <c r="D1190">
        <f>Raw_Data!D1190</f>
        <v/>
      </c>
      <c r="E1190">
        <f>Raw_Data!E1190</f>
        <v/>
      </c>
      <c r="F1190">
        <f>Raw_Data!F1190</f>
        <v/>
      </c>
      <c r="G1190">
        <f>Raw_Data!G1190</f>
        <v/>
      </c>
      <c r="H1190">
        <f>Raw_Data!H1190</f>
        <v/>
      </c>
      <c r="I1190">
        <f>Raw_Data!I1190</f>
        <v/>
      </c>
      <c r="J1190" s="12">
        <f>Raw_Data!J1190</f>
        <v/>
      </c>
      <c r="K1190" s="13">
        <f>Raw_Data!K1190</f>
        <v/>
      </c>
      <c r="L1190" s="12">
        <f>Raw_Data!L1190</f>
        <v/>
      </c>
      <c r="M1190" s="12">
        <f>Raw_Data!M1190</f>
        <v/>
      </c>
      <c r="N1190" s="12">
        <f>Raw_Data!N1190</f>
        <v/>
      </c>
      <c r="O1190">
        <f>Raw_Data!O1190</f>
        <v/>
      </c>
      <c r="P1190">
        <f>Raw_Data!P1190</f>
        <v/>
      </c>
      <c r="Q1190">
        <f>YEAR(B1190)</f>
        <v/>
      </c>
      <c r="R1190">
        <f>TEXT(B1190,"mmm")</f>
        <v/>
      </c>
      <c r="S1190" s="15">
        <f>IFERROR(N1190/L1190,0)</f>
        <v/>
      </c>
    </row>
    <row r="1191">
      <c r="A1191">
        <f>Raw_Data!A1191</f>
        <v/>
      </c>
      <c r="B1191" s="11">
        <f>Raw_Data!B1191</f>
        <v/>
      </c>
      <c r="C1191">
        <f>Raw_Data!C1191</f>
        <v/>
      </c>
      <c r="D1191">
        <f>Raw_Data!D1191</f>
        <v/>
      </c>
      <c r="E1191">
        <f>Raw_Data!E1191</f>
        <v/>
      </c>
      <c r="F1191">
        <f>Raw_Data!F1191</f>
        <v/>
      </c>
      <c r="G1191">
        <f>Raw_Data!G1191</f>
        <v/>
      </c>
      <c r="H1191">
        <f>Raw_Data!H1191</f>
        <v/>
      </c>
      <c r="I1191">
        <f>Raw_Data!I1191</f>
        <v/>
      </c>
      <c r="J1191" s="12">
        <f>Raw_Data!J1191</f>
        <v/>
      </c>
      <c r="K1191" s="13">
        <f>Raw_Data!K1191</f>
        <v/>
      </c>
      <c r="L1191" s="12">
        <f>Raw_Data!L1191</f>
        <v/>
      </c>
      <c r="M1191" s="12">
        <f>Raw_Data!M1191</f>
        <v/>
      </c>
      <c r="N1191" s="12">
        <f>Raw_Data!N1191</f>
        <v/>
      </c>
      <c r="O1191">
        <f>Raw_Data!O1191</f>
        <v/>
      </c>
      <c r="P1191">
        <f>Raw_Data!P1191</f>
        <v/>
      </c>
      <c r="Q1191">
        <f>YEAR(B1191)</f>
        <v/>
      </c>
      <c r="R1191">
        <f>TEXT(B1191,"mmm")</f>
        <v/>
      </c>
      <c r="S1191" s="15">
        <f>IFERROR(N1191/L1191,0)</f>
        <v/>
      </c>
    </row>
    <row r="1192">
      <c r="A1192">
        <f>Raw_Data!A1192</f>
        <v/>
      </c>
      <c r="B1192" s="11">
        <f>Raw_Data!B1192</f>
        <v/>
      </c>
      <c r="C1192">
        <f>Raw_Data!C1192</f>
        <v/>
      </c>
      <c r="D1192">
        <f>Raw_Data!D1192</f>
        <v/>
      </c>
      <c r="E1192">
        <f>Raw_Data!E1192</f>
        <v/>
      </c>
      <c r="F1192">
        <f>Raw_Data!F1192</f>
        <v/>
      </c>
      <c r="G1192">
        <f>Raw_Data!G1192</f>
        <v/>
      </c>
      <c r="H1192">
        <f>Raw_Data!H1192</f>
        <v/>
      </c>
      <c r="I1192">
        <f>Raw_Data!I1192</f>
        <v/>
      </c>
      <c r="J1192" s="12">
        <f>Raw_Data!J1192</f>
        <v/>
      </c>
      <c r="K1192" s="13">
        <f>Raw_Data!K1192</f>
        <v/>
      </c>
      <c r="L1192" s="12">
        <f>Raw_Data!L1192</f>
        <v/>
      </c>
      <c r="M1192" s="12">
        <f>Raw_Data!M1192</f>
        <v/>
      </c>
      <c r="N1192" s="12">
        <f>Raw_Data!N1192</f>
        <v/>
      </c>
      <c r="O1192">
        <f>Raw_Data!O1192</f>
        <v/>
      </c>
      <c r="P1192">
        <f>Raw_Data!P1192</f>
        <v/>
      </c>
      <c r="Q1192">
        <f>YEAR(B1192)</f>
        <v/>
      </c>
      <c r="R1192">
        <f>TEXT(B1192,"mmm")</f>
        <v/>
      </c>
      <c r="S1192" s="15">
        <f>IFERROR(N1192/L1192,0)</f>
        <v/>
      </c>
    </row>
    <row r="1193">
      <c r="A1193">
        <f>Raw_Data!A1193</f>
        <v/>
      </c>
      <c r="B1193" s="11">
        <f>Raw_Data!B1193</f>
        <v/>
      </c>
      <c r="C1193">
        <f>Raw_Data!C1193</f>
        <v/>
      </c>
      <c r="D1193">
        <f>Raw_Data!D1193</f>
        <v/>
      </c>
      <c r="E1193">
        <f>Raw_Data!E1193</f>
        <v/>
      </c>
      <c r="F1193">
        <f>Raw_Data!F1193</f>
        <v/>
      </c>
      <c r="G1193">
        <f>Raw_Data!G1193</f>
        <v/>
      </c>
      <c r="H1193">
        <f>Raw_Data!H1193</f>
        <v/>
      </c>
      <c r="I1193">
        <f>Raw_Data!I1193</f>
        <v/>
      </c>
      <c r="J1193" s="12">
        <f>Raw_Data!J1193</f>
        <v/>
      </c>
      <c r="K1193" s="13">
        <f>Raw_Data!K1193</f>
        <v/>
      </c>
      <c r="L1193" s="12">
        <f>Raw_Data!L1193</f>
        <v/>
      </c>
      <c r="M1193" s="12">
        <f>Raw_Data!M1193</f>
        <v/>
      </c>
      <c r="N1193" s="12">
        <f>Raw_Data!N1193</f>
        <v/>
      </c>
      <c r="O1193">
        <f>Raw_Data!O1193</f>
        <v/>
      </c>
      <c r="P1193">
        <f>Raw_Data!P1193</f>
        <v/>
      </c>
      <c r="Q1193">
        <f>YEAR(B1193)</f>
        <v/>
      </c>
      <c r="R1193">
        <f>TEXT(B1193,"mmm")</f>
        <v/>
      </c>
      <c r="S1193" s="15">
        <f>IFERROR(N1193/L1193,0)</f>
        <v/>
      </c>
    </row>
    <row r="1194">
      <c r="A1194">
        <f>Raw_Data!A1194</f>
        <v/>
      </c>
      <c r="B1194" s="11">
        <f>Raw_Data!B1194</f>
        <v/>
      </c>
      <c r="C1194">
        <f>Raw_Data!C1194</f>
        <v/>
      </c>
      <c r="D1194">
        <f>Raw_Data!D1194</f>
        <v/>
      </c>
      <c r="E1194">
        <f>Raw_Data!E1194</f>
        <v/>
      </c>
      <c r="F1194">
        <f>Raw_Data!F1194</f>
        <v/>
      </c>
      <c r="G1194">
        <f>Raw_Data!G1194</f>
        <v/>
      </c>
      <c r="H1194">
        <f>Raw_Data!H1194</f>
        <v/>
      </c>
      <c r="I1194">
        <f>Raw_Data!I1194</f>
        <v/>
      </c>
      <c r="J1194" s="12">
        <f>Raw_Data!J1194</f>
        <v/>
      </c>
      <c r="K1194" s="13">
        <f>Raw_Data!K1194</f>
        <v/>
      </c>
      <c r="L1194" s="12">
        <f>Raw_Data!L1194</f>
        <v/>
      </c>
      <c r="M1194" s="12">
        <f>Raw_Data!M1194</f>
        <v/>
      </c>
      <c r="N1194" s="12">
        <f>Raw_Data!N1194</f>
        <v/>
      </c>
      <c r="O1194">
        <f>Raw_Data!O1194</f>
        <v/>
      </c>
      <c r="P1194">
        <f>Raw_Data!P1194</f>
        <v/>
      </c>
      <c r="Q1194">
        <f>YEAR(B1194)</f>
        <v/>
      </c>
      <c r="R1194">
        <f>TEXT(B1194,"mmm")</f>
        <v/>
      </c>
      <c r="S1194" s="15">
        <f>IFERROR(N1194/L1194,0)</f>
        <v/>
      </c>
    </row>
    <row r="1195">
      <c r="A1195">
        <f>Raw_Data!A1195</f>
        <v/>
      </c>
      <c r="B1195" s="11">
        <f>Raw_Data!B1195</f>
        <v/>
      </c>
      <c r="C1195">
        <f>Raw_Data!C1195</f>
        <v/>
      </c>
      <c r="D1195">
        <f>Raw_Data!D1195</f>
        <v/>
      </c>
      <c r="E1195">
        <f>Raw_Data!E1195</f>
        <v/>
      </c>
      <c r="F1195">
        <f>Raw_Data!F1195</f>
        <v/>
      </c>
      <c r="G1195">
        <f>Raw_Data!G1195</f>
        <v/>
      </c>
      <c r="H1195">
        <f>Raw_Data!H1195</f>
        <v/>
      </c>
      <c r="I1195">
        <f>Raw_Data!I1195</f>
        <v/>
      </c>
      <c r="J1195" s="12">
        <f>Raw_Data!J1195</f>
        <v/>
      </c>
      <c r="K1195" s="13">
        <f>Raw_Data!K1195</f>
        <v/>
      </c>
      <c r="L1195" s="12">
        <f>Raw_Data!L1195</f>
        <v/>
      </c>
      <c r="M1195" s="12">
        <f>Raw_Data!M1195</f>
        <v/>
      </c>
      <c r="N1195" s="12">
        <f>Raw_Data!N1195</f>
        <v/>
      </c>
      <c r="O1195">
        <f>Raw_Data!O1195</f>
        <v/>
      </c>
      <c r="P1195">
        <f>Raw_Data!P1195</f>
        <v/>
      </c>
      <c r="Q1195">
        <f>YEAR(B1195)</f>
        <v/>
      </c>
      <c r="R1195">
        <f>TEXT(B1195,"mmm")</f>
        <v/>
      </c>
      <c r="S1195" s="15">
        <f>IFERROR(N1195/L1195,0)</f>
        <v/>
      </c>
    </row>
    <row r="1196">
      <c r="A1196">
        <f>Raw_Data!A1196</f>
        <v/>
      </c>
      <c r="B1196" s="11">
        <f>Raw_Data!B1196</f>
        <v/>
      </c>
      <c r="C1196">
        <f>Raw_Data!C1196</f>
        <v/>
      </c>
      <c r="D1196">
        <f>Raw_Data!D1196</f>
        <v/>
      </c>
      <c r="E1196">
        <f>Raw_Data!E1196</f>
        <v/>
      </c>
      <c r="F1196">
        <f>Raw_Data!F1196</f>
        <v/>
      </c>
      <c r="G1196">
        <f>Raw_Data!G1196</f>
        <v/>
      </c>
      <c r="H1196">
        <f>Raw_Data!H1196</f>
        <v/>
      </c>
      <c r="I1196">
        <f>Raw_Data!I1196</f>
        <v/>
      </c>
      <c r="J1196" s="12">
        <f>Raw_Data!J1196</f>
        <v/>
      </c>
      <c r="K1196" s="13">
        <f>Raw_Data!K1196</f>
        <v/>
      </c>
      <c r="L1196" s="12">
        <f>Raw_Data!L1196</f>
        <v/>
      </c>
      <c r="M1196" s="12">
        <f>Raw_Data!M1196</f>
        <v/>
      </c>
      <c r="N1196" s="12">
        <f>Raw_Data!N1196</f>
        <v/>
      </c>
      <c r="O1196">
        <f>Raw_Data!O1196</f>
        <v/>
      </c>
      <c r="P1196">
        <f>Raw_Data!P1196</f>
        <v/>
      </c>
      <c r="Q1196">
        <f>YEAR(B1196)</f>
        <v/>
      </c>
      <c r="R1196">
        <f>TEXT(B1196,"mmm")</f>
        <v/>
      </c>
      <c r="S1196" s="15">
        <f>IFERROR(N1196/L1196,0)</f>
        <v/>
      </c>
    </row>
    <row r="1197">
      <c r="A1197">
        <f>Raw_Data!A1197</f>
        <v/>
      </c>
      <c r="B1197" s="11">
        <f>Raw_Data!B1197</f>
        <v/>
      </c>
      <c r="C1197">
        <f>Raw_Data!C1197</f>
        <v/>
      </c>
      <c r="D1197">
        <f>Raw_Data!D1197</f>
        <v/>
      </c>
      <c r="E1197">
        <f>Raw_Data!E1197</f>
        <v/>
      </c>
      <c r="F1197">
        <f>Raw_Data!F1197</f>
        <v/>
      </c>
      <c r="G1197">
        <f>Raw_Data!G1197</f>
        <v/>
      </c>
      <c r="H1197">
        <f>Raw_Data!H1197</f>
        <v/>
      </c>
      <c r="I1197">
        <f>Raw_Data!I1197</f>
        <v/>
      </c>
      <c r="J1197" s="12">
        <f>Raw_Data!J1197</f>
        <v/>
      </c>
      <c r="K1197" s="13">
        <f>Raw_Data!K1197</f>
        <v/>
      </c>
      <c r="L1197" s="12">
        <f>Raw_Data!L1197</f>
        <v/>
      </c>
      <c r="M1197" s="12">
        <f>Raw_Data!M1197</f>
        <v/>
      </c>
      <c r="N1197" s="12">
        <f>Raw_Data!N1197</f>
        <v/>
      </c>
      <c r="O1197">
        <f>Raw_Data!O1197</f>
        <v/>
      </c>
      <c r="P1197">
        <f>Raw_Data!P1197</f>
        <v/>
      </c>
      <c r="Q1197">
        <f>YEAR(B1197)</f>
        <v/>
      </c>
      <c r="R1197">
        <f>TEXT(B1197,"mmm")</f>
        <v/>
      </c>
      <c r="S1197" s="15">
        <f>IFERROR(N1197/L1197,0)</f>
        <v/>
      </c>
    </row>
    <row r="1198">
      <c r="A1198">
        <f>Raw_Data!A1198</f>
        <v/>
      </c>
      <c r="B1198" s="11">
        <f>Raw_Data!B1198</f>
        <v/>
      </c>
      <c r="C1198">
        <f>Raw_Data!C1198</f>
        <v/>
      </c>
      <c r="D1198">
        <f>Raw_Data!D1198</f>
        <v/>
      </c>
      <c r="E1198">
        <f>Raw_Data!E1198</f>
        <v/>
      </c>
      <c r="F1198">
        <f>Raw_Data!F1198</f>
        <v/>
      </c>
      <c r="G1198">
        <f>Raw_Data!G1198</f>
        <v/>
      </c>
      <c r="H1198">
        <f>Raw_Data!H1198</f>
        <v/>
      </c>
      <c r="I1198">
        <f>Raw_Data!I1198</f>
        <v/>
      </c>
      <c r="J1198" s="12">
        <f>Raw_Data!J1198</f>
        <v/>
      </c>
      <c r="K1198" s="13">
        <f>Raw_Data!K1198</f>
        <v/>
      </c>
      <c r="L1198" s="12">
        <f>Raw_Data!L1198</f>
        <v/>
      </c>
      <c r="M1198" s="12">
        <f>Raw_Data!M1198</f>
        <v/>
      </c>
      <c r="N1198" s="12">
        <f>Raw_Data!N1198</f>
        <v/>
      </c>
      <c r="O1198">
        <f>Raw_Data!O1198</f>
        <v/>
      </c>
      <c r="P1198">
        <f>Raw_Data!P1198</f>
        <v/>
      </c>
      <c r="Q1198">
        <f>YEAR(B1198)</f>
        <v/>
      </c>
      <c r="R1198">
        <f>TEXT(B1198,"mmm")</f>
        <v/>
      </c>
      <c r="S1198" s="15">
        <f>IFERROR(N1198/L1198,0)</f>
        <v/>
      </c>
    </row>
    <row r="1199">
      <c r="A1199">
        <f>Raw_Data!A1199</f>
        <v/>
      </c>
      <c r="B1199" s="11">
        <f>Raw_Data!B1199</f>
        <v/>
      </c>
      <c r="C1199">
        <f>Raw_Data!C1199</f>
        <v/>
      </c>
      <c r="D1199">
        <f>Raw_Data!D1199</f>
        <v/>
      </c>
      <c r="E1199">
        <f>Raw_Data!E1199</f>
        <v/>
      </c>
      <c r="F1199">
        <f>Raw_Data!F1199</f>
        <v/>
      </c>
      <c r="G1199">
        <f>Raw_Data!G1199</f>
        <v/>
      </c>
      <c r="H1199">
        <f>Raw_Data!H1199</f>
        <v/>
      </c>
      <c r="I1199">
        <f>Raw_Data!I1199</f>
        <v/>
      </c>
      <c r="J1199" s="12">
        <f>Raw_Data!J1199</f>
        <v/>
      </c>
      <c r="K1199" s="13">
        <f>Raw_Data!K1199</f>
        <v/>
      </c>
      <c r="L1199" s="12">
        <f>Raw_Data!L1199</f>
        <v/>
      </c>
      <c r="M1199" s="12">
        <f>Raw_Data!M1199</f>
        <v/>
      </c>
      <c r="N1199" s="12">
        <f>Raw_Data!N1199</f>
        <v/>
      </c>
      <c r="O1199">
        <f>Raw_Data!O1199</f>
        <v/>
      </c>
      <c r="P1199">
        <f>Raw_Data!P1199</f>
        <v/>
      </c>
      <c r="Q1199">
        <f>YEAR(B1199)</f>
        <v/>
      </c>
      <c r="R1199">
        <f>TEXT(B1199,"mmm")</f>
        <v/>
      </c>
      <c r="S1199" s="15">
        <f>IFERROR(N1199/L1199,0)</f>
        <v/>
      </c>
    </row>
    <row r="1200">
      <c r="A1200">
        <f>Raw_Data!A1200</f>
        <v/>
      </c>
      <c r="B1200" s="11">
        <f>Raw_Data!B1200</f>
        <v/>
      </c>
      <c r="C1200">
        <f>Raw_Data!C1200</f>
        <v/>
      </c>
      <c r="D1200">
        <f>Raw_Data!D1200</f>
        <v/>
      </c>
      <c r="E1200">
        <f>Raw_Data!E1200</f>
        <v/>
      </c>
      <c r="F1200">
        <f>Raw_Data!F1200</f>
        <v/>
      </c>
      <c r="G1200">
        <f>Raw_Data!G1200</f>
        <v/>
      </c>
      <c r="H1200">
        <f>Raw_Data!H1200</f>
        <v/>
      </c>
      <c r="I1200">
        <f>Raw_Data!I1200</f>
        <v/>
      </c>
      <c r="J1200" s="12">
        <f>Raw_Data!J1200</f>
        <v/>
      </c>
      <c r="K1200" s="13">
        <f>Raw_Data!K1200</f>
        <v/>
      </c>
      <c r="L1200" s="12">
        <f>Raw_Data!L1200</f>
        <v/>
      </c>
      <c r="M1200" s="12">
        <f>Raw_Data!M1200</f>
        <v/>
      </c>
      <c r="N1200" s="12">
        <f>Raw_Data!N1200</f>
        <v/>
      </c>
      <c r="O1200">
        <f>Raw_Data!O1200</f>
        <v/>
      </c>
      <c r="P1200">
        <f>Raw_Data!P1200</f>
        <v/>
      </c>
      <c r="Q1200">
        <f>YEAR(B1200)</f>
        <v/>
      </c>
      <c r="R1200">
        <f>TEXT(B1200,"mmm")</f>
        <v/>
      </c>
      <c r="S1200" s="15">
        <f>IFERROR(N1200/L1200,0)</f>
        <v/>
      </c>
    </row>
    <row r="1201">
      <c r="A1201">
        <f>Raw_Data!A1201</f>
        <v/>
      </c>
      <c r="B1201" s="11">
        <f>Raw_Data!B1201</f>
        <v/>
      </c>
      <c r="C1201">
        <f>Raw_Data!C1201</f>
        <v/>
      </c>
      <c r="D1201">
        <f>Raw_Data!D1201</f>
        <v/>
      </c>
      <c r="E1201">
        <f>Raw_Data!E1201</f>
        <v/>
      </c>
      <c r="F1201">
        <f>Raw_Data!F1201</f>
        <v/>
      </c>
      <c r="G1201">
        <f>Raw_Data!G1201</f>
        <v/>
      </c>
      <c r="H1201">
        <f>Raw_Data!H1201</f>
        <v/>
      </c>
      <c r="I1201">
        <f>Raw_Data!I1201</f>
        <v/>
      </c>
      <c r="J1201" s="12">
        <f>Raw_Data!J1201</f>
        <v/>
      </c>
      <c r="K1201" s="13">
        <f>Raw_Data!K1201</f>
        <v/>
      </c>
      <c r="L1201" s="12">
        <f>Raw_Data!L1201</f>
        <v/>
      </c>
      <c r="M1201" s="12">
        <f>Raw_Data!M1201</f>
        <v/>
      </c>
      <c r="N1201" s="12">
        <f>Raw_Data!N1201</f>
        <v/>
      </c>
      <c r="O1201">
        <f>Raw_Data!O1201</f>
        <v/>
      </c>
      <c r="P1201">
        <f>Raw_Data!P1201</f>
        <v/>
      </c>
      <c r="Q1201">
        <f>YEAR(B1201)</f>
        <v/>
      </c>
      <c r="R1201">
        <f>TEXT(B1201,"mmm")</f>
        <v/>
      </c>
      <c r="S1201" s="15">
        <f>IFERROR(N1201/L1201,0)</f>
        <v/>
      </c>
    </row>
    <row r="1202">
      <c r="A1202">
        <f>Raw_Data!A1202</f>
        <v/>
      </c>
      <c r="B1202" s="11">
        <f>Raw_Data!B1202</f>
        <v/>
      </c>
      <c r="C1202">
        <f>Raw_Data!C1202</f>
        <v/>
      </c>
      <c r="D1202">
        <f>Raw_Data!D1202</f>
        <v/>
      </c>
      <c r="E1202">
        <f>Raw_Data!E1202</f>
        <v/>
      </c>
      <c r="F1202">
        <f>Raw_Data!F1202</f>
        <v/>
      </c>
      <c r="G1202">
        <f>Raw_Data!G1202</f>
        <v/>
      </c>
      <c r="H1202">
        <f>Raw_Data!H1202</f>
        <v/>
      </c>
      <c r="I1202">
        <f>Raw_Data!I1202</f>
        <v/>
      </c>
      <c r="J1202" s="12">
        <f>Raw_Data!J1202</f>
        <v/>
      </c>
      <c r="K1202" s="13">
        <f>Raw_Data!K1202</f>
        <v/>
      </c>
      <c r="L1202" s="12">
        <f>Raw_Data!L1202</f>
        <v/>
      </c>
      <c r="M1202" s="12">
        <f>Raw_Data!M1202</f>
        <v/>
      </c>
      <c r="N1202" s="12">
        <f>Raw_Data!N1202</f>
        <v/>
      </c>
      <c r="O1202">
        <f>Raw_Data!O1202</f>
        <v/>
      </c>
      <c r="P1202">
        <f>Raw_Data!P1202</f>
        <v/>
      </c>
      <c r="Q1202">
        <f>YEAR(B1202)</f>
        <v/>
      </c>
      <c r="R1202">
        <f>TEXT(B1202,"mmm")</f>
        <v/>
      </c>
      <c r="S1202" s="15">
        <f>IFERROR(N1202/L1202,0)</f>
        <v/>
      </c>
    </row>
    <row r="1203">
      <c r="A1203">
        <f>Raw_Data!A1203</f>
        <v/>
      </c>
      <c r="B1203" s="11">
        <f>Raw_Data!B1203</f>
        <v/>
      </c>
      <c r="C1203">
        <f>Raw_Data!C1203</f>
        <v/>
      </c>
      <c r="D1203">
        <f>Raw_Data!D1203</f>
        <v/>
      </c>
      <c r="E1203">
        <f>Raw_Data!E1203</f>
        <v/>
      </c>
      <c r="F1203">
        <f>Raw_Data!F1203</f>
        <v/>
      </c>
      <c r="G1203">
        <f>Raw_Data!G1203</f>
        <v/>
      </c>
      <c r="H1203">
        <f>Raw_Data!H1203</f>
        <v/>
      </c>
      <c r="I1203">
        <f>Raw_Data!I1203</f>
        <v/>
      </c>
      <c r="J1203" s="12">
        <f>Raw_Data!J1203</f>
        <v/>
      </c>
      <c r="K1203" s="13">
        <f>Raw_Data!K1203</f>
        <v/>
      </c>
      <c r="L1203" s="12">
        <f>Raw_Data!L1203</f>
        <v/>
      </c>
      <c r="M1203" s="12">
        <f>Raw_Data!M1203</f>
        <v/>
      </c>
      <c r="N1203" s="12">
        <f>Raw_Data!N1203</f>
        <v/>
      </c>
      <c r="O1203">
        <f>Raw_Data!O1203</f>
        <v/>
      </c>
      <c r="P1203">
        <f>Raw_Data!P1203</f>
        <v/>
      </c>
      <c r="Q1203">
        <f>YEAR(B1203)</f>
        <v/>
      </c>
      <c r="R1203">
        <f>TEXT(B1203,"mmm")</f>
        <v/>
      </c>
      <c r="S1203" s="15">
        <f>IFERROR(N1203/L1203,0)</f>
        <v/>
      </c>
    </row>
    <row r="1204">
      <c r="A1204">
        <f>Raw_Data!A1204</f>
        <v/>
      </c>
      <c r="B1204" s="11">
        <f>Raw_Data!B1204</f>
        <v/>
      </c>
      <c r="C1204">
        <f>Raw_Data!C1204</f>
        <v/>
      </c>
      <c r="D1204">
        <f>Raw_Data!D1204</f>
        <v/>
      </c>
      <c r="E1204">
        <f>Raw_Data!E1204</f>
        <v/>
      </c>
      <c r="F1204">
        <f>Raw_Data!F1204</f>
        <v/>
      </c>
      <c r="G1204">
        <f>Raw_Data!G1204</f>
        <v/>
      </c>
      <c r="H1204">
        <f>Raw_Data!H1204</f>
        <v/>
      </c>
      <c r="I1204">
        <f>Raw_Data!I1204</f>
        <v/>
      </c>
      <c r="J1204" s="12">
        <f>Raw_Data!J1204</f>
        <v/>
      </c>
      <c r="K1204" s="13">
        <f>Raw_Data!K1204</f>
        <v/>
      </c>
      <c r="L1204" s="12">
        <f>Raw_Data!L1204</f>
        <v/>
      </c>
      <c r="M1204" s="12">
        <f>Raw_Data!M1204</f>
        <v/>
      </c>
      <c r="N1204" s="12">
        <f>Raw_Data!N1204</f>
        <v/>
      </c>
      <c r="O1204">
        <f>Raw_Data!O1204</f>
        <v/>
      </c>
      <c r="P1204">
        <f>Raw_Data!P1204</f>
        <v/>
      </c>
      <c r="Q1204">
        <f>YEAR(B1204)</f>
        <v/>
      </c>
      <c r="R1204">
        <f>TEXT(B1204,"mmm")</f>
        <v/>
      </c>
      <c r="S1204" s="15">
        <f>IFERROR(N1204/L1204,0)</f>
        <v/>
      </c>
    </row>
    <row r="1205">
      <c r="A1205">
        <f>Raw_Data!A1205</f>
        <v/>
      </c>
      <c r="B1205" s="11">
        <f>Raw_Data!B1205</f>
        <v/>
      </c>
      <c r="C1205">
        <f>Raw_Data!C1205</f>
        <v/>
      </c>
      <c r="D1205">
        <f>Raw_Data!D1205</f>
        <v/>
      </c>
      <c r="E1205">
        <f>Raw_Data!E1205</f>
        <v/>
      </c>
      <c r="F1205">
        <f>Raw_Data!F1205</f>
        <v/>
      </c>
      <c r="G1205">
        <f>Raw_Data!G1205</f>
        <v/>
      </c>
      <c r="H1205">
        <f>Raw_Data!H1205</f>
        <v/>
      </c>
      <c r="I1205">
        <f>Raw_Data!I1205</f>
        <v/>
      </c>
      <c r="J1205" s="12">
        <f>Raw_Data!J1205</f>
        <v/>
      </c>
      <c r="K1205" s="13">
        <f>Raw_Data!K1205</f>
        <v/>
      </c>
      <c r="L1205" s="12">
        <f>Raw_Data!L1205</f>
        <v/>
      </c>
      <c r="M1205" s="12">
        <f>Raw_Data!M1205</f>
        <v/>
      </c>
      <c r="N1205" s="12">
        <f>Raw_Data!N1205</f>
        <v/>
      </c>
      <c r="O1205">
        <f>Raw_Data!O1205</f>
        <v/>
      </c>
      <c r="P1205">
        <f>Raw_Data!P1205</f>
        <v/>
      </c>
      <c r="Q1205">
        <f>YEAR(B1205)</f>
        <v/>
      </c>
      <c r="R1205">
        <f>TEXT(B1205,"mmm")</f>
        <v/>
      </c>
      <c r="S1205" s="15">
        <f>IFERROR(N1205/L1205,0)</f>
        <v/>
      </c>
    </row>
    <row r="1206">
      <c r="A1206">
        <f>Raw_Data!A1206</f>
        <v/>
      </c>
      <c r="B1206" s="11">
        <f>Raw_Data!B1206</f>
        <v/>
      </c>
      <c r="C1206">
        <f>Raw_Data!C1206</f>
        <v/>
      </c>
      <c r="D1206">
        <f>Raw_Data!D1206</f>
        <v/>
      </c>
      <c r="E1206">
        <f>Raw_Data!E1206</f>
        <v/>
      </c>
      <c r="F1206">
        <f>Raw_Data!F1206</f>
        <v/>
      </c>
      <c r="G1206">
        <f>Raw_Data!G1206</f>
        <v/>
      </c>
      <c r="H1206">
        <f>Raw_Data!H1206</f>
        <v/>
      </c>
      <c r="I1206">
        <f>Raw_Data!I1206</f>
        <v/>
      </c>
      <c r="J1206" s="12">
        <f>Raw_Data!J1206</f>
        <v/>
      </c>
      <c r="K1206" s="13">
        <f>Raw_Data!K1206</f>
        <v/>
      </c>
      <c r="L1206" s="12">
        <f>Raw_Data!L1206</f>
        <v/>
      </c>
      <c r="M1206" s="12">
        <f>Raw_Data!M1206</f>
        <v/>
      </c>
      <c r="N1206" s="12">
        <f>Raw_Data!N1206</f>
        <v/>
      </c>
      <c r="O1206">
        <f>Raw_Data!O1206</f>
        <v/>
      </c>
      <c r="P1206">
        <f>Raw_Data!P1206</f>
        <v/>
      </c>
      <c r="Q1206">
        <f>YEAR(B1206)</f>
        <v/>
      </c>
      <c r="R1206">
        <f>TEXT(B1206,"mmm")</f>
        <v/>
      </c>
      <c r="S1206" s="15">
        <f>IFERROR(N1206/L1206,0)</f>
        <v/>
      </c>
    </row>
    <row r="1207">
      <c r="A1207">
        <f>Raw_Data!A1207</f>
        <v/>
      </c>
      <c r="B1207" s="11">
        <f>Raw_Data!B1207</f>
        <v/>
      </c>
      <c r="C1207">
        <f>Raw_Data!C1207</f>
        <v/>
      </c>
      <c r="D1207">
        <f>Raw_Data!D1207</f>
        <v/>
      </c>
      <c r="E1207">
        <f>Raw_Data!E1207</f>
        <v/>
      </c>
      <c r="F1207">
        <f>Raw_Data!F1207</f>
        <v/>
      </c>
      <c r="G1207">
        <f>Raw_Data!G1207</f>
        <v/>
      </c>
      <c r="H1207">
        <f>Raw_Data!H1207</f>
        <v/>
      </c>
      <c r="I1207">
        <f>Raw_Data!I1207</f>
        <v/>
      </c>
      <c r="J1207" s="12">
        <f>Raw_Data!J1207</f>
        <v/>
      </c>
      <c r="K1207" s="13">
        <f>Raw_Data!K1207</f>
        <v/>
      </c>
      <c r="L1207" s="12">
        <f>Raw_Data!L1207</f>
        <v/>
      </c>
      <c r="M1207" s="12">
        <f>Raw_Data!M1207</f>
        <v/>
      </c>
      <c r="N1207" s="12">
        <f>Raw_Data!N1207</f>
        <v/>
      </c>
      <c r="O1207">
        <f>Raw_Data!O1207</f>
        <v/>
      </c>
      <c r="P1207">
        <f>Raw_Data!P1207</f>
        <v/>
      </c>
      <c r="Q1207">
        <f>YEAR(B1207)</f>
        <v/>
      </c>
      <c r="R1207">
        <f>TEXT(B1207,"mmm")</f>
        <v/>
      </c>
      <c r="S1207" s="15">
        <f>IFERROR(N1207/L1207,0)</f>
        <v/>
      </c>
    </row>
    <row r="1208">
      <c r="A1208">
        <f>Raw_Data!A1208</f>
        <v/>
      </c>
      <c r="B1208" s="11">
        <f>Raw_Data!B1208</f>
        <v/>
      </c>
      <c r="C1208">
        <f>Raw_Data!C1208</f>
        <v/>
      </c>
      <c r="D1208">
        <f>Raw_Data!D1208</f>
        <v/>
      </c>
      <c r="E1208">
        <f>Raw_Data!E1208</f>
        <v/>
      </c>
      <c r="F1208">
        <f>Raw_Data!F1208</f>
        <v/>
      </c>
      <c r="G1208">
        <f>Raw_Data!G1208</f>
        <v/>
      </c>
      <c r="H1208">
        <f>Raw_Data!H1208</f>
        <v/>
      </c>
      <c r="I1208">
        <f>Raw_Data!I1208</f>
        <v/>
      </c>
      <c r="J1208" s="12">
        <f>Raw_Data!J1208</f>
        <v/>
      </c>
      <c r="K1208" s="13">
        <f>Raw_Data!K1208</f>
        <v/>
      </c>
      <c r="L1208" s="12">
        <f>Raw_Data!L1208</f>
        <v/>
      </c>
      <c r="M1208" s="12">
        <f>Raw_Data!M1208</f>
        <v/>
      </c>
      <c r="N1208" s="12">
        <f>Raw_Data!N1208</f>
        <v/>
      </c>
      <c r="O1208">
        <f>Raw_Data!O1208</f>
        <v/>
      </c>
      <c r="P1208">
        <f>Raw_Data!P1208</f>
        <v/>
      </c>
      <c r="Q1208">
        <f>YEAR(B1208)</f>
        <v/>
      </c>
      <c r="R1208">
        <f>TEXT(B1208,"mmm")</f>
        <v/>
      </c>
      <c r="S1208" s="15">
        <f>IFERROR(N1208/L1208,0)</f>
        <v/>
      </c>
    </row>
    <row r="1209">
      <c r="A1209">
        <f>Raw_Data!A1209</f>
        <v/>
      </c>
      <c r="B1209" s="11">
        <f>Raw_Data!B1209</f>
        <v/>
      </c>
      <c r="C1209">
        <f>Raw_Data!C1209</f>
        <v/>
      </c>
      <c r="D1209">
        <f>Raw_Data!D1209</f>
        <v/>
      </c>
      <c r="E1209">
        <f>Raw_Data!E1209</f>
        <v/>
      </c>
      <c r="F1209">
        <f>Raw_Data!F1209</f>
        <v/>
      </c>
      <c r="G1209">
        <f>Raw_Data!G1209</f>
        <v/>
      </c>
      <c r="H1209">
        <f>Raw_Data!H1209</f>
        <v/>
      </c>
      <c r="I1209">
        <f>Raw_Data!I1209</f>
        <v/>
      </c>
      <c r="J1209" s="12">
        <f>Raw_Data!J1209</f>
        <v/>
      </c>
      <c r="K1209" s="13">
        <f>Raw_Data!K1209</f>
        <v/>
      </c>
      <c r="L1209" s="12">
        <f>Raw_Data!L1209</f>
        <v/>
      </c>
      <c r="M1209" s="12">
        <f>Raw_Data!M1209</f>
        <v/>
      </c>
      <c r="N1209" s="12">
        <f>Raw_Data!N1209</f>
        <v/>
      </c>
      <c r="O1209">
        <f>Raw_Data!O1209</f>
        <v/>
      </c>
      <c r="P1209">
        <f>Raw_Data!P1209</f>
        <v/>
      </c>
      <c r="Q1209">
        <f>YEAR(B1209)</f>
        <v/>
      </c>
      <c r="R1209">
        <f>TEXT(B1209,"mmm")</f>
        <v/>
      </c>
      <c r="S1209" s="15">
        <f>IFERROR(N1209/L1209,0)</f>
        <v/>
      </c>
    </row>
    <row r="1210">
      <c r="A1210">
        <f>Raw_Data!A1210</f>
        <v/>
      </c>
      <c r="B1210" s="11">
        <f>Raw_Data!B1210</f>
        <v/>
      </c>
      <c r="C1210">
        <f>Raw_Data!C1210</f>
        <v/>
      </c>
      <c r="D1210">
        <f>Raw_Data!D1210</f>
        <v/>
      </c>
      <c r="E1210">
        <f>Raw_Data!E1210</f>
        <v/>
      </c>
      <c r="F1210">
        <f>Raw_Data!F1210</f>
        <v/>
      </c>
      <c r="G1210">
        <f>Raw_Data!G1210</f>
        <v/>
      </c>
      <c r="H1210">
        <f>Raw_Data!H1210</f>
        <v/>
      </c>
      <c r="I1210">
        <f>Raw_Data!I1210</f>
        <v/>
      </c>
      <c r="J1210" s="12">
        <f>Raw_Data!J1210</f>
        <v/>
      </c>
      <c r="K1210" s="13">
        <f>Raw_Data!K1210</f>
        <v/>
      </c>
      <c r="L1210" s="12">
        <f>Raw_Data!L1210</f>
        <v/>
      </c>
      <c r="M1210" s="12">
        <f>Raw_Data!M1210</f>
        <v/>
      </c>
      <c r="N1210" s="12">
        <f>Raw_Data!N1210</f>
        <v/>
      </c>
      <c r="O1210">
        <f>Raw_Data!O1210</f>
        <v/>
      </c>
      <c r="P1210">
        <f>Raw_Data!P1210</f>
        <v/>
      </c>
      <c r="Q1210">
        <f>YEAR(B1210)</f>
        <v/>
      </c>
      <c r="R1210">
        <f>TEXT(B1210,"mmm")</f>
        <v/>
      </c>
      <c r="S1210" s="15">
        <f>IFERROR(N1210/L1210,0)</f>
        <v/>
      </c>
    </row>
    <row r="1211">
      <c r="A1211">
        <f>Raw_Data!A1211</f>
        <v/>
      </c>
      <c r="B1211" s="11">
        <f>Raw_Data!B1211</f>
        <v/>
      </c>
      <c r="C1211">
        <f>Raw_Data!C1211</f>
        <v/>
      </c>
      <c r="D1211">
        <f>Raw_Data!D1211</f>
        <v/>
      </c>
      <c r="E1211">
        <f>Raw_Data!E1211</f>
        <v/>
      </c>
      <c r="F1211">
        <f>Raw_Data!F1211</f>
        <v/>
      </c>
      <c r="G1211">
        <f>Raw_Data!G1211</f>
        <v/>
      </c>
      <c r="H1211">
        <f>Raw_Data!H1211</f>
        <v/>
      </c>
      <c r="I1211">
        <f>Raw_Data!I1211</f>
        <v/>
      </c>
      <c r="J1211" s="12">
        <f>Raw_Data!J1211</f>
        <v/>
      </c>
      <c r="K1211" s="13">
        <f>Raw_Data!K1211</f>
        <v/>
      </c>
      <c r="L1211" s="12">
        <f>Raw_Data!L1211</f>
        <v/>
      </c>
      <c r="M1211" s="12">
        <f>Raw_Data!M1211</f>
        <v/>
      </c>
      <c r="N1211" s="12">
        <f>Raw_Data!N1211</f>
        <v/>
      </c>
      <c r="O1211">
        <f>Raw_Data!O1211</f>
        <v/>
      </c>
      <c r="P1211">
        <f>Raw_Data!P1211</f>
        <v/>
      </c>
      <c r="Q1211">
        <f>YEAR(B1211)</f>
        <v/>
      </c>
      <c r="R1211">
        <f>TEXT(B1211,"mmm")</f>
        <v/>
      </c>
      <c r="S1211" s="15">
        <f>IFERROR(N1211/L1211,0)</f>
        <v/>
      </c>
    </row>
    <row r="1212">
      <c r="A1212">
        <f>Raw_Data!A1212</f>
        <v/>
      </c>
      <c r="B1212" s="11">
        <f>Raw_Data!B1212</f>
        <v/>
      </c>
      <c r="C1212">
        <f>Raw_Data!C1212</f>
        <v/>
      </c>
      <c r="D1212">
        <f>Raw_Data!D1212</f>
        <v/>
      </c>
      <c r="E1212">
        <f>Raw_Data!E1212</f>
        <v/>
      </c>
      <c r="F1212">
        <f>Raw_Data!F1212</f>
        <v/>
      </c>
      <c r="G1212">
        <f>Raw_Data!G1212</f>
        <v/>
      </c>
      <c r="H1212">
        <f>Raw_Data!H1212</f>
        <v/>
      </c>
      <c r="I1212">
        <f>Raw_Data!I1212</f>
        <v/>
      </c>
      <c r="J1212" s="12">
        <f>Raw_Data!J1212</f>
        <v/>
      </c>
      <c r="K1212" s="13">
        <f>Raw_Data!K1212</f>
        <v/>
      </c>
      <c r="L1212" s="12">
        <f>Raw_Data!L1212</f>
        <v/>
      </c>
      <c r="M1212" s="12">
        <f>Raw_Data!M1212</f>
        <v/>
      </c>
      <c r="N1212" s="12">
        <f>Raw_Data!N1212</f>
        <v/>
      </c>
      <c r="O1212">
        <f>Raw_Data!O1212</f>
        <v/>
      </c>
      <c r="P1212">
        <f>Raw_Data!P1212</f>
        <v/>
      </c>
      <c r="Q1212">
        <f>YEAR(B1212)</f>
        <v/>
      </c>
      <c r="R1212">
        <f>TEXT(B1212,"mmm")</f>
        <v/>
      </c>
      <c r="S1212" s="15">
        <f>IFERROR(N1212/L1212,0)</f>
        <v/>
      </c>
    </row>
    <row r="1213">
      <c r="A1213">
        <f>Raw_Data!A1213</f>
        <v/>
      </c>
      <c r="B1213" s="11">
        <f>Raw_Data!B1213</f>
        <v/>
      </c>
      <c r="C1213">
        <f>Raw_Data!C1213</f>
        <v/>
      </c>
      <c r="D1213">
        <f>Raw_Data!D1213</f>
        <v/>
      </c>
      <c r="E1213">
        <f>Raw_Data!E1213</f>
        <v/>
      </c>
      <c r="F1213">
        <f>Raw_Data!F1213</f>
        <v/>
      </c>
      <c r="G1213">
        <f>Raw_Data!G1213</f>
        <v/>
      </c>
      <c r="H1213">
        <f>Raw_Data!H1213</f>
        <v/>
      </c>
      <c r="I1213">
        <f>Raw_Data!I1213</f>
        <v/>
      </c>
      <c r="J1213" s="12">
        <f>Raw_Data!J1213</f>
        <v/>
      </c>
      <c r="K1213" s="13">
        <f>Raw_Data!K1213</f>
        <v/>
      </c>
      <c r="L1213" s="12">
        <f>Raw_Data!L1213</f>
        <v/>
      </c>
      <c r="M1213" s="12">
        <f>Raw_Data!M1213</f>
        <v/>
      </c>
      <c r="N1213" s="12">
        <f>Raw_Data!N1213</f>
        <v/>
      </c>
      <c r="O1213">
        <f>Raw_Data!O1213</f>
        <v/>
      </c>
      <c r="P1213">
        <f>Raw_Data!P1213</f>
        <v/>
      </c>
      <c r="Q1213">
        <f>YEAR(B1213)</f>
        <v/>
      </c>
      <c r="R1213">
        <f>TEXT(B1213,"mmm")</f>
        <v/>
      </c>
      <c r="S1213" s="15">
        <f>IFERROR(N1213/L1213,0)</f>
        <v/>
      </c>
    </row>
    <row r="1214">
      <c r="A1214">
        <f>Raw_Data!A1214</f>
        <v/>
      </c>
      <c r="B1214" s="11">
        <f>Raw_Data!B1214</f>
        <v/>
      </c>
      <c r="C1214">
        <f>Raw_Data!C1214</f>
        <v/>
      </c>
      <c r="D1214">
        <f>Raw_Data!D1214</f>
        <v/>
      </c>
      <c r="E1214">
        <f>Raw_Data!E1214</f>
        <v/>
      </c>
      <c r="F1214">
        <f>Raw_Data!F1214</f>
        <v/>
      </c>
      <c r="G1214">
        <f>Raw_Data!G1214</f>
        <v/>
      </c>
      <c r="H1214">
        <f>Raw_Data!H1214</f>
        <v/>
      </c>
      <c r="I1214">
        <f>Raw_Data!I1214</f>
        <v/>
      </c>
      <c r="J1214" s="12">
        <f>Raw_Data!J1214</f>
        <v/>
      </c>
      <c r="K1214" s="13">
        <f>Raw_Data!K1214</f>
        <v/>
      </c>
      <c r="L1214" s="12">
        <f>Raw_Data!L1214</f>
        <v/>
      </c>
      <c r="M1214" s="12">
        <f>Raw_Data!M1214</f>
        <v/>
      </c>
      <c r="N1214" s="12">
        <f>Raw_Data!N1214</f>
        <v/>
      </c>
      <c r="O1214">
        <f>Raw_Data!O1214</f>
        <v/>
      </c>
      <c r="P1214">
        <f>Raw_Data!P1214</f>
        <v/>
      </c>
      <c r="Q1214">
        <f>YEAR(B1214)</f>
        <v/>
      </c>
      <c r="R1214">
        <f>TEXT(B1214,"mmm")</f>
        <v/>
      </c>
      <c r="S1214" s="15">
        <f>IFERROR(N1214/L1214,0)</f>
        <v/>
      </c>
    </row>
    <row r="1215">
      <c r="A1215">
        <f>Raw_Data!A1215</f>
        <v/>
      </c>
      <c r="B1215" s="11">
        <f>Raw_Data!B1215</f>
        <v/>
      </c>
      <c r="C1215">
        <f>Raw_Data!C1215</f>
        <v/>
      </c>
      <c r="D1215">
        <f>Raw_Data!D1215</f>
        <v/>
      </c>
      <c r="E1215">
        <f>Raw_Data!E1215</f>
        <v/>
      </c>
      <c r="F1215">
        <f>Raw_Data!F1215</f>
        <v/>
      </c>
      <c r="G1215">
        <f>Raw_Data!G1215</f>
        <v/>
      </c>
      <c r="H1215">
        <f>Raw_Data!H1215</f>
        <v/>
      </c>
      <c r="I1215">
        <f>Raw_Data!I1215</f>
        <v/>
      </c>
      <c r="J1215" s="12">
        <f>Raw_Data!J1215</f>
        <v/>
      </c>
      <c r="K1215" s="13">
        <f>Raw_Data!K1215</f>
        <v/>
      </c>
      <c r="L1215" s="12">
        <f>Raw_Data!L1215</f>
        <v/>
      </c>
      <c r="M1215" s="12">
        <f>Raw_Data!M1215</f>
        <v/>
      </c>
      <c r="N1215" s="12">
        <f>Raw_Data!N1215</f>
        <v/>
      </c>
      <c r="O1215">
        <f>Raw_Data!O1215</f>
        <v/>
      </c>
      <c r="P1215">
        <f>Raw_Data!P1215</f>
        <v/>
      </c>
      <c r="Q1215">
        <f>YEAR(B1215)</f>
        <v/>
      </c>
      <c r="R1215">
        <f>TEXT(B1215,"mmm")</f>
        <v/>
      </c>
      <c r="S1215" s="15">
        <f>IFERROR(N1215/L1215,0)</f>
        <v/>
      </c>
    </row>
    <row r="1216">
      <c r="A1216">
        <f>Raw_Data!A1216</f>
        <v/>
      </c>
      <c r="B1216" s="11">
        <f>Raw_Data!B1216</f>
        <v/>
      </c>
      <c r="C1216">
        <f>Raw_Data!C1216</f>
        <v/>
      </c>
      <c r="D1216">
        <f>Raw_Data!D1216</f>
        <v/>
      </c>
      <c r="E1216">
        <f>Raw_Data!E1216</f>
        <v/>
      </c>
      <c r="F1216">
        <f>Raw_Data!F1216</f>
        <v/>
      </c>
      <c r="G1216">
        <f>Raw_Data!G1216</f>
        <v/>
      </c>
      <c r="H1216">
        <f>Raw_Data!H1216</f>
        <v/>
      </c>
      <c r="I1216">
        <f>Raw_Data!I1216</f>
        <v/>
      </c>
      <c r="J1216" s="12">
        <f>Raw_Data!J1216</f>
        <v/>
      </c>
      <c r="K1216" s="13">
        <f>Raw_Data!K1216</f>
        <v/>
      </c>
      <c r="L1216" s="12">
        <f>Raw_Data!L1216</f>
        <v/>
      </c>
      <c r="M1216" s="12">
        <f>Raw_Data!M1216</f>
        <v/>
      </c>
      <c r="N1216" s="12">
        <f>Raw_Data!N1216</f>
        <v/>
      </c>
      <c r="O1216">
        <f>Raw_Data!O1216</f>
        <v/>
      </c>
      <c r="P1216">
        <f>Raw_Data!P1216</f>
        <v/>
      </c>
      <c r="Q1216">
        <f>YEAR(B1216)</f>
        <v/>
      </c>
      <c r="R1216">
        <f>TEXT(B1216,"mmm")</f>
        <v/>
      </c>
      <c r="S1216" s="15">
        <f>IFERROR(N1216/L1216,0)</f>
        <v/>
      </c>
    </row>
    <row r="1217">
      <c r="A1217">
        <f>Raw_Data!A1217</f>
        <v/>
      </c>
      <c r="B1217" s="11">
        <f>Raw_Data!B1217</f>
        <v/>
      </c>
      <c r="C1217">
        <f>Raw_Data!C1217</f>
        <v/>
      </c>
      <c r="D1217">
        <f>Raw_Data!D1217</f>
        <v/>
      </c>
      <c r="E1217">
        <f>Raw_Data!E1217</f>
        <v/>
      </c>
      <c r="F1217">
        <f>Raw_Data!F1217</f>
        <v/>
      </c>
      <c r="G1217">
        <f>Raw_Data!G1217</f>
        <v/>
      </c>
      <c r="H1217">
        <f>Raw_Data!H1217</f>
        <v/>
      </c>
      <c r="I1217">
        <f>Raw_Data!I1217</f>
        <v/>
      </c>
      <c r="J1217" s="12">
        <f>Raw_Data!J1217</f>
        <v/>
      </c>
      <c r="K1217" s="13">
        <f>Raw_Data!K1217</f>
        <v/>
      </c>
      <c r="L1217" s="12">
        <f>Raw_Data!L1217</f>
        <v/>
      </c>
      <c r="M1217" s="12">
        <f>Raw_Data!M1217</f>
        <v/>
      </c>
      <c r="N1217" s="12">
        <f>Raw_Data!N1217</f>
        <v/>
      </c>
      <c r="O1217">
        <f>Raw_Data!O1217</f>
        <v/>
      </c>
      <c r="P1217">
        <f>Raw_Data!P1217</f>
        <v/>
      </c>
      <c r="Q1217">
        <f>YEAR(B1217)</f>
        <v/>
      </c>
      <c r="R1217">
        <f>TEXT(B1217,"mmm")</f>
        <v/>
      </c>
      <c r="S1217" s="15">
        <f>IFERROR(N1217/L1217,0)</f>
        <v/>
      </c>
    </row>
    <row r="1218">
      <c r="A1218">
        <f>Raw_Data!A1218</f>
        <v/>
      </c>
      <c r="B1218" s="11">
        <f>Raw_Data!B1218</f>
        <v/>
      </c>
      <c r="C1218">
        <f>Raw_Data!C1218</f>
        <v/>
      </c>
      <c r="D1218">
        <f>Raw_Data!D1218</f>
        <v/>
      </c>
      <c r="E1218">
        <f>Raw_Data!E1218</f>
        <v/>
      </c>
      <c r="F1218">
        <f>Raw_Data!F1218</f>
        <v/>
      </c>
      <c r="G1218">
        <f>Raw_Data!G1218</f>
        <v/>
      </c>
      <c r="H1218">
        <f>Raw_Data!H1218</f>
        <v/>
      </c>
      <c r="I1218">
        <f>Raw_Data!I1218</f>
        <v/>
      </c>
      <c r="J1218" s="12">
        <f>Raw_Data!J1218</f>
        <v/>
      </c>
      <c r="K1218" s="13">
        <f>Raw_Data!K1218</f>
        <v/>
      </c>
      <c r="L1218" s="12">
        <f>Raw_Data!L1218</f>
        <v/>
      </c>
      <c r="M1218" s="12">
        <f>Raw_Data!M1218</f>
        <v/>
      </c>
      <c r="N1218" s="12">
        <f>Raw_Data!N1218</f>
        <v/>
      </c>
      <c r="O1218">
        <f>Raw_Data!O1218</f>
        <v/>
      </c>
      <c r="P1218">
        <f>Raw_Data!P1218</f>
        <v/>
      </c>
      <c r="Q1218">
        <f>YEAR(B1218)</f>
        <v/>
      </c>
      <c r="R1218">
        <f>TEXT(B1218,"mmm")</f>
        <v/>
      </c>
      <c r="S1218" s="15">
        <f>IFERROR(N1218/L1218,0)</f>
        <v/>
      </c>
    </row>
    <row r="1219">
      <c r="A1219">
        <f>Raw_Data!A1219</f>
        <v/>
      </c>
      <c r="B1219" s="11">
        <f>Raw_Data!B1219</f>
        <v/>
      </c>
      <c r="C1219">
        <f>Raw_Data!C1219</f>
        <v/>
      </c>
      <c r="D1219">
        <f>Raw_Data!D1219</f>
        <v/>
      </c>
      <c r="E1219">
        <f>Raw_Data!E1219</f>
        <v/>
      </c>
      <c r="F1219">
        <f>Raw_Data!F1219</f>
        <v/>
      </c>
      <c r="G1219">
        <f>Raw_Data!G1219</f>
        <v/>
      </c>
      <c r="H1219">
        <f>Raw_Data!H1219</f>
        <v/>
      </c>
      <c r="I1219">
        <f>Raw_Data!I1219</f>
        <v/>
      </c>
      <c r="J1219" s="12">
        <f>Raw_Data!J1219</f>
        <v/>
      </c>
      <c r="K1219" s="13">
        <f>Raw_Data!K1219</f>
        <v/>
      </c>
      <c r="L1219" s="12">
        <f>Raw_Data!L1219</f>
        <v/>
      </c>
      <c r="M1219" s="12">
        <f>Raw_Data!M1219</f>
        <v/>
      </c>
      <c r="N1219" s="12">
        <f>Raw_Data!N1219</f>
        <v/>
      </c>
      <c r="O1219">
        <f>Raw_Data!O1219</f>
        <v/>
      </c>
      <c r="P1219">
        <f>Raw_Data!P1219</f>
        <v/>
      </c>
      <c r="Q1219">
        <f>YEAR(B1219)</f>
        <v/>
      </c>
      <c r="R1219">
        <f>TEXT(B1219,"mmm")</f>
        <v/>
      </c>
      <c r="S1219" s="15">
        <f>IFERROR(N1219/L1219,0)</f>
        <v/>
      </c>
    </row>
    <row r="1220">
      <c r="A1220">
        <f>Raw_Data!A1220</f>
        <v/>
      </c>
      <c r="B1220" s="11">
        <f>Raw_Data!B1220</f>
        <v/>
      </c>
      <c r="C1220">
        <f>Raw_Data!C1220</f>
        <v/>
      </c>
      <c r="D1220">
        <f>Raw_Data!D1220</f>
        <v/>
      </c>
      <c r="E1220">
        <f>Raw_Data!E1220</f>
        <v/>
      </c>
      <c r="F1220">
        <f>Raw_Data!F1220</f>
        <v/>
      </c>
      <c r="G1220">
        <f>Raw_Data!G1220</f>
        <v/>
      </c>
      <c r="H1220">
        <f>Raw_Data!H1220</f>
        <v/>
      </c>
      <c r="I1220">
        <f>Raw_Data!I1220</f>
        <v/>
      </c>
      <c r="J1220" s="12">
        <f>Raw_Data!J1220</f>
        <v/>
      </c>
      <c r="K1220" s="13">
        <f>Raw_Data!K1220</f>
        <v/>
      </c>
      <c r="L1220" s="12">
        <f>Raw_Data!L1220</f>
        <v/>
      </c>
      <c r="M1220" s="12">
        <f>Raw_Data!M1220</f>
        <v/>
      </c>
      <c r="N1220" s="12">
        <f>Raw_Data!N1220</f>
        <v/>
      </c>
      <c r="O1220">
        <f>Raw_Data!O1220</f>
        <v/>
      </c>
      <c r="P1220">
        <f>Raw_Data!P1220</f>
        <v/>
      </c>
      <c r="Q1220">
        <f>YEAR(B1220)</f>
        <v/>
      </c>
      <c r="R1220">
        <f>TEXT(B1220,"mmm")</f>
        <v/>
      </c>
      <c r="S1220" s="15">
        <f>IFERROR(N1220/L1220,0)</f>
        <v/>
      </c>
    </row>
    <row r="1221">
      <c r="A1221">
        <f>Raw_Data!A1221</f>
        <v/>
      </c>
      <c r="B1221" s="11">
        <f>Raw_Data!B1221</f>
        <v/>
      </c>
      <c r="C1221">
        <f>Raw_Data!C1221</f>
        <v/>
      </c>
      <c r="D1221">
        <f>Raw_Data!D1221</f>
        <v/>
      </c>
      <c r="E1221">
        <f>Raw_Data!E1221</f>
        <v/>
      </c>
      <c r="F1221">
        <f>Raw_Data!F1221</f>
        <v/>
      </c>
      <c r="G1221">
        <f>Raw_Data!G1221</f>
        <v/>
      </c>
      <c r="H1221">
        <f>Raw_Data!H1221</f>
        <v/>
      </c>
      <c r="I1221">
        <f>Raw_Data!I1221</f>
        <v/>
      </c>
      <c r="J1221" s="12">
        <f>Raw_Data!J1221</f>
        <v/>
      </c>
      <c r="K1221" s="13">
        <f>Raw_Data!K1221</f>
        <v/>
      </c>
      <c r="L1221" s="12">
        <f>Raw_Data!L1221</f>
        <v/>
      </c>
      <c r="M1221" s="12">
        <f>Raw_Data!M1221</f>
        <v/>
      </c>
      <c r="N1221" s="12">
        <f>Raw_Data!N1221</f>
        <v/>
      </c>
      <c r="O1221">
        <f>Raw_Data!O1221</f>
        <v/>
      </c>
      <c r="P1221">
        <f>Raw_Data!P1221</f>
        <v/>
      </c>
      <c r="Q1221">
        <f>YEAR(B1221)</f>
        <v/>
      </c>
      <c r="R1221">
        <f>TEXT(B1221,"mmm")</f>
        <v/>
      </c>
      <c r="S1221" s="15">
        <f>IFERROR(N1221/L1221,0)</f>
        <v/>
      </c>
    </row>
    <row r="1222">
      <c r="A1222">
        <f>Raw_Data!A1222</f>
        <v/>
      </c>
      <c r="B1222" s="11">
        <f>Raw_Data!B1222</f>
        <v/>
      </c>
      <c r="C1222">
        <f>Raw_Data!C1222</f>
        <v/>
      </c>
      <c r="D1222">
        <f>Raw_Data!D1222</f>
        <v/>
      </c>
      <c r="E1222">
        <f>Raw_Data!E1222</f>
        <v/>
      </c>
      <c r="F1222">
        <f>Raw_Data!F1222</f>
        <v/>
      </c>
      <c r="G1222">
        <f>Raw_Data!G1222</f>
        <v/>
      </c>
      <c r="H1222">
        <f>Raw_Data!H1222</f>
        <v/>
      </c>
      <c r="I1222">
        <f>Raw_Data!I1222</f>
        <v/>
      </c>
      <c r="J1222" s="12">
        <f>Raw_Data!J1222</f>
        <v/>
      </c>
      <c r="K1222" s="13">
        <f>Raw_Data!K1222</f>
        <v/>
      </c>
      <c r="L1222" s="12">
        <f>Raw_Data!L1222</f>
        <v/>
      </c>
      <c r="M1222" s="12">
        <f>Raw_Data!M1222</f>
        <v/>
      </c>
      <c r="N1222" s="12">
        <f>Raw_Data!N1222</f>
        <v/>
      </c>
      <c r="O1222">
        <f>Raw_Data!O1222</f>
        <v/>
      </c>
      <c r="P1222">
        <f>Raw_Data!P1222</f>
        <v/>
      </c>
      <c r="Q1222">
        <f>YEAR(B1222)</f>
        <v/>
      </c>
      <c r="R1222">
        <f>TEXT(B1222,"mmm")</f>
        <v/>
      </c>
      <c r="S1222" s="15">
        <f>IFERROR(N1222/L1222,0)</f>
        <v/>
      </c>
    </row>
    <row r="1223">
      <c r="A1223">
        <f>Raw_Data!A1223</f>
        <v/>
      </c>
      <c r="B1223" s="11">
        <f>Raw_Data!B1223</f>
        <v/>
      </c>
      <c r="C1223">
        <f>Raw_Data!C1223</f>
        <v/>
      </c>
      <c r="D1223">
        <f>Raw_Data!D1223</f>
        <v/>
      </c>
      <c r="E1223">
        <f>Raw_Data!E1223</f>
        <v/>
      </c>
      <c r="F1223">
        <f>Raw_Data!F1223</f>
        <v/>
      </c>
      <c r="G1223">
        <f>Raw_Data!G1223</f>
        <v/>
      </c>
      <c r="H1223">
        <f>Raw_Data!H1223</f>
        <v/>
      </c>
      <c r="I1223">
        <f>Raw_Data!I1223</f>
        <v/>
      </c>
      <c r="J1223" s="12">
        <f>Raw_Data!J1223</f>
        <v/>
      </c>
      <c r="K1223" s="13">
        <f>Raw_Data!K1223</f>
        <v/>
      </c>
      <c r="L1223" s="12">
        <f>Raw_Data!L1223</f>
        <v/>
      </c>
      <c r="M1223" s="12">
        <f>Raw_Data!M1223</f>
        <v/>
      </c>
      <c r="N1223" s="12">
        <f>Raw_Data!N1223</f>
        <v/>
      </c>
      <c r="O1223">
        <f>Raw_Data!O1223</f>
        <v/>
      </c>
      <c r="P1223">
        <f>Raw_Data!P1223</f>
        <v/>
      </c>
      <c r="Q1223">
        <f>YEAR(B1223)</f>
        <v/>
      </c>
      <c r="R1223">
        <f>TEXT(B1223,"mmm")</f>
        <v/>
      </c>
      <c r="S1223" s="15">
        <f>IFERROR(N1223/L1223,0)</f>
        <v/>
      </c>
    </row>
    <row r="1224">
      <c r="A1224">
        <f>Raw_Data!A1224</f>
        <v/>
      </c>
      <c r="B1224" s="11">
        <f>Raw_Data!B1224</f>
        <v/>
      </c>
      <c r="C1224">
        <f>Raw_Data!C1224</f>
        <v/>
      </c>
      <c r="D1224">
        <f>Raw_Data!D1224</f>
        <v/>
      </c>
      <c r="E1224">
        <f>Raw_Data!E1224</f>
        <v/>
      </c>
      <c r="F1224">
        <f>Raw_Data!F1224</f>
        <v/>
      </c>
      <c r="G1224">
        <f>Raw_Data!G1224</f>
        <v/>
      </c>
      <c r="H1224">
        <f>Raw_Data!H1224</f>
        <v/>
      </c>
      <c r="I1224">
        <f>Raw_Data!I1224</f>
        <v/>
      </c>
      <c r="J1224" s="12">
        <f>Raw_Data!J1224</f>
        <v/>
      </c>
      <c r="K1224" s="13">
        <f>Raw_Data!K1224</f>
        <v/>
      </c>
      <c r="L1224" s="12">
        <f>Raw_Data!L1224</f>
        <v/>
      </c>
      <c r="M1224" s="12">
        <f>Raw_Data!M1224</f>
        <v/>
      </c>
      <c r="N1224" s="12">
        <f>Raw_Data!N1224</f>
        <v/>
      </c>
      <c r="O1224">
        <f>Raw_Data!O1224</f>
        <v/>
      </c>
      <c r="P1224">
        <f>Raw_Data!P1224</f>
        <v/>
      </c>
      <c r="Q1224">
        <f>YEAR(B1224)</f>
        <v/>
      </c>
      <c r="R1224">
        <f>TEXT(B1224,"mmm")</f>
        <v/>
      </c>
      <c r="S1224" s="15">
        <f>IFERROR(N1224/L1224,0)</f>
        <v/>
      </c>
    </row>
    <row r="1225">
      <c r="A1225">
        <f>Raw_Data!A1225</f>
        <v/>
      </c>
      <c r="B1225" s="11">
        <f>Raw_Data!B1225</f>
        <v/>
      </c>
      <c r="C1225">
        <f>Raw_Data!C1225</f>
        <v/>
      </c>
      <c r="D1225">
        <f>Raw_Data!D1225</f>
        <v/>
      </c>
      <c r="E1225">
        <f>Raw_Data!E1225</f>
        <v/>
      </c>
      <c r="F1225">
        <f>Raw_Data!F1225</f>
        <v/>
      </c>
      <c r="G1225">
        <f>Raw_Data!G1225</f>
        <v/>
      </c>
      <c r="H1225">
        <f>Raw_Data!H1225</f>
        <v/>
      </c>
      <c r="I1225">
        <f>Raw_Data!I1225</f>
        <v/>
      </c>
      <c r="J1225" s="12">
        <f>Raw_Data!J1225</f>
        <v/>
      </c>
      <c r="K1225" s="13">
        <f>Raw_Data!K1225</f>
        <v/>
      </c>
      <c r="L1225" s="12">
        <f>Raw_Data!L1225</f>
        <v/>
      </c>
      <c r="M1225" s="12">
        <f>Raw_Data!M1225</f>
        <v/>
      </c>
      <c r="N1225" s="12">
        <f>Raw_Data!N1225</f>
        <v/>
      </c>
      <c r="O1225">
        <f>Raw_Data!O1225</f>
        <v/>
      </c>
      <c r="P1225">
        <f>Raw_Data!P1225</f>
        <v/>
      </c>
      <c r="Q1225">
        <f>YEAR(B1225)</f>
        <v/>
      </c>
      <c r="R1225">
        <f>TEXT(B1225,"mmm")</f>
        <v/>
      </c>
      <c r="S1225" s="15">
        <f>IFERROR(N1225/L1225,0)</f>
        <v/>
      </c>
    </row>
    <row r="1226">
      <c r="A1226">
        <f>Raw_Data!A1226</f>
        <v/>
      </c>
      <c r="B1226" s="11">
        <f>Raw_Data!B1226</f>
        <v/>
      </c>
      <c r="C1226">
        <f>Raw_Data!C1226</f>
        <v/>
      </c>
      <c r="D1226">
        <f>Raw_Data!D1226</f>
        <v/>
      </c>
      <c r="E1226">
        <f>Raw_Data!E1226</f>
        <v/>
      </c>
      <c r="F1226">
        <f>Raw_Data!F1226</f>
        <v/>
      </c>
      <c r="G1226">
        <f>Raw_Data!G1226</f>
        <v/>
      </c>
      <c r="H1226">
        <f>Raw_Data!H1226</f>
        <v/>
      </c>
      <c r="I1226">
        <f>Raw_Data!I1226</f>
        <v/>
      </c>
      <c r="J1226" s="12">
        <f>Raw_Data!J1226</f>
        <v/>
      </c>
      <c r="K1226" s="13">
        <f>Raw_Data!K1226</f>
        <v/>
      </c>
      <c r="L1226" s="12">
        <f>Raw_Data!L1226</f>
        <v/>
      </c>
      <c r="M1226" s="12">
        <f>Raw_Data!M1226</f>
        <v/>
      </c>
      <c r="N1226" s="12">
        <f>Raw_Data!N1226</f>
        <v/>
      </c>
      <c r="O1226">
        <f>Raw_Data!O1226</f>
        <v/>
      </c>
      <c r="P1226">
        <f>Raw_Data!P1226</f>
        <v/>
      </c>
      <c r="Q1226">
        <f>YEAR(B1226)</f>
        <v/>
      </c>
      <c r="R1226">
        <f>TEXT(B1226,"mmm")</f>
        <v/>
      </c>
      <c r="S1226" s="15">
        <f>IFERROR(N1226/L1226,0)</f>
        <v/>
      </c>
    </row>
    <row r="1227">
      <c r="A1227">
        <f>Raw_Data!A1227</f>
        <v/>
      </c>
      <c r="B1227" s="11">
        <f>Raw_Data!B1227</f>
        <v/>
      </c>
      <c r="C1227">
        <f>Raw_Data!C1227</f>
        <v/>
      </c>
      <c r="D1227">
        <f>Raw_Data!D1227</f>
        <v/>
      </c>
      <c r="E1227">
        <f>Raw_Data!E1227</f>
        <v/>
      </c>
      <c r="F1227">
        <f>Raw_Data!F1227</f>
        <v/>
      </c>
      <c r="G1227">
        <f>Raw_Data!G1227</f>
        <v/>
      </c>
      <c r="H1227">
        <f>Raw_Data!H1227</f>
        <v/>
      </c>
      <c r="I1227">
        <f>Raw_Data!I1227</f>
        <v/>
      </c>
      <c r="J1227" s="12">
        <f>Raw_Data!J1227</f>
        <v/>
      </c>
      <c r="K1227" s="13">
        <f>Raw_Data!K1227</f>
        <v/>
      </c>
      <c r="L1227" s="12">
        <f>Raw_Data!L1227</f>
        <v/>
      </c>
      <c r="M1227" s="12">
        <f>Raw_Data!M1227</f>
        <v/>
      </c>
      <c r="N1227" s="12">
        <f>Raw_Data!N1227</f>
        <v/>
      </c>
      <c r="O1227">
        <f>Raw_Data!O1227</f>
        <v/>
      </c>
      <c r="P1227">
        <f>Raw_Data!P1227</f>
        <v/>
      </c>
      <c r="Q1227">
        <f>YEAR(B1227)</f>
        <v/>
      </c>
      <c r="R1227">
        <f>TEXT(B1227,"mmm")</f>
        <v/>
      </c>
      <c r="S1227" s="15">
        <f>IFERROR(N1227/L1227,0)</f>
        <v/>
      </c>
    </row>
    <row r="1228">
      <c r="A1228">
        <f>Raw_Data!A1228</f>
        <v/>
      </c>
      <c r="B1228" s="11">
        <f>Raw_Data!B1228</f>
        <v/>
      </c>
      <c r="C1228">
        <f>Raw_Data!C1228</f>
        <v/>
      </c>
      <c r="D1228">
        <f>Raw_Data!D1228</f>
        <v/>
      </c>
      <c r="E1228">
        <f>Raw_Data!E1228</f>
        <v/>
      </c>
      <c r="F1228">
        <f>Raw_Data!F1228</f>
        <v/>
      </c>
      <c r="G1228">
        <f>Raw_Data!G1228</f>
        <v/>
      </c>
      <c r="H1228">
        <f>Raw_Data!H1228</f>
        <v/>
      </c>
      <c r="I1228">
        <f>Raw_Data!I1228</f>
        <v/>
      </c>
      <c r="J1228" s="12">
        <f>Raw_Data!J1228</f>
        <v/>
      </c>
      <c r="K1228" s="13">
        <f>Raw_Data!K1228</f>
        <v/>
      </c>
      <c r="L1228" s="12">
        <f>Raw_Data!L1228</f>
        <v/>
      </c>
      <c r="M1228" s="12">
        <f>Raw_Data!M1228</f>
        <v/>
      </c>
      <c r="N1228" s="12">
        <f>Raw_Data!N1228</f>
        <v/>
      </c>
      <c r="O1228">
        <f>Raw_Data!O1228</f>
        <v/>
      </c>
      <c r="P1228">
        <f>Raw_Data!P1228</f>
        <v/>
      </c>
      <c r="Q1228">
        <f>YEAR(B1228)</f>
        <v/>
      </c>
      <c r="R1228">
        <f>TEXT(B1228,"mmm")</f>
        <v/>
      </c>
      <c r="S1228" s="15">
        <f>IFERROR(N1228/L1228,0)</f>
        <v/>
      </c>
    </row>
    <row r="1229">
      <c r="A1229">
        <f>Raw_Data!A1229</f>
        <v/>
      </c>
      <c r="B1229" s="11">
        <f>Raw_Data!B1229</f>
        <v/>
      </c>
      <c r="C1229">
        <f>Raw_Data!C1229</f>
        <v/>
      </c>
      <c r="D1229">
        <f>Raw_Data!D1229</f>
        <v/>
      </c>
      <c r="E1229">
        <f>Raw_Data!E1229</f>
        <v/>
      </c>
      <c r="F1229">
        <f>Raw_Data!F1229</f>
        <v/>
      </c>
      <c r="G1229">
        <f>Raw_Data!G1229</f>
        <v/>
      </c>
      <c r="H1229">
        <f>Raw_Data!H1229</f>
        <v/>
      </c>
      <c r="I1229">
        <f>Raw_Data!I1229</f>
        <v/>
      </c>
      <c r="J1229" s="12">
        <f>Raw_Data!J1229</f>
        <v/>
      </c>
      <c r="K1229" s="13">
        <f>Raw_Data!K1229</f>
        <v/>
      </c>
      <c r="L1229" s="12">
        <f>Raw_Data!L1229</f>
        <v/>
      </c>
      <c r="M1229" s="12">
        <f>Raw_Data!M1229</f>
        <v/>
      </c>
      <c r="N1229" s="12">
        <f>Raw_Data!N1229</f>
        <v/>
      </c>
      <c r="O1229">
        <f>Raw_Data!O1229</f>
        <v/>
      </c>
      <c r="P1229">
        <f>Raw_Data!P1229</f>
        <v/>
      </c>
      <c r="Q1229">
        <f>YEAR(B1229)</f>
        <v/>
      </c>
      <c r="R1229">
        <f>TEXT(B1229,"mmm")</f>
        <v/>
      </c>
      <c r="S1229" s="15">
        <f>IFERROR(N1229/L1229,0)</f>
        <v/>
      </c>
    </row>
    <row r="1230">
      <c r="A1230">
        <f>Raw_Data!A1230</f>
        <v/>
      </c>
      <c r="B1230" s="11">
        <f>Raw_Data!B1230</f>
        <v/>
      </c>
      <c r="C1230">
        <f>Raw_Data!C1230</f>
        <v/>
      </c>
      <c r="D1230">
        <f>Raw_Data!D1230</f>
        <v/>
      </c>
      <c r="E1230">
        <f>Raw_Data!E1230</f>
        <v/>
      </c>
      <c r="F1230">
        <f>Raw_Data!F1230</f>
        <v/>
      </c>
      <c r="G1230">
        <f>Raw_Data!G1230</f>
        <v/>
      </c>
      <c r="H1230">
        <f>Raw_Data!H1230</f>
        <v/>
      </c>
      <c r="I1230">
        <f>Raw_Data!I1230</f>
        <v/>
      </c>
      <c r="J1230" s="12">
        <f>Raw_Data!J1230</f>
        <v/>
      </c>
      <c r="K1230" s="13">
        <f>Raw_Data!K1230</f>
        <v/>
      </c>
      <c r="L1230" s="12">
        <f>Raw_Data!L1230</f>
        <v/>
      </c>
      <c r="M1230" s="12">
        <f>Raw_Data!M1230</f>
        <v/>
      </c>
      <c r="N1230" s="12">
        <f>Raw_Data!N1230</f>
        <v/>
      </c>
      <c r="O1230">
        <f>Raw_Data!O1230</f>
        <v/>
      </c>
      <c r="P1230">
        <f>Raw_Data!P1230</f>
        <v/>
      </c>
      <c r="Q1230">
        <f>YEAR(B1230)</f>
        <v/>
      </c>
      <c r="R1230">
        <f>TEXT(B1230,"mmm")</f>
        <v/>
      </c>
      <c r="S1230" s="15">
        <f>IFERROR(N1230/L1230,0)</f>
        <v/>
      </c>
    </row>
    <row r="1231">
      <c r="A1231">
        <f>Raw_Data!A1231</f>
        <v/>
      </c>
      <c r="B1231" s="11">
        <f>Raw_Data!B1231</f>
        <v/>
      </c>
      <c r="C1231">
        <f>Raw_Data!C1231</f>
        <v/>
      </c>
      <c r="D1231">
        <f>Raw_Data!D1231</f>
        <v/>
      </c>
      <c r="E1231">
        <f>Raw_Data!E1231</f>
        <v/>
      </c>
      <c r="F1231">
        <f>Raw_Data!F1231</f>
        <v/>
      </c>
      <c r="G1231">
        <f>Raw_Data!G1231</f>
        <v/>
      </c>
      <c r="H1231">
        <f>Raw_Data!H1231</f>
        <v/>
      </c>
      <c r="I1231">
        <f>Raw_Data!I1231</f>
        <v/>
      </c>
      <c r="J1231" s="12">
        <f>Raw_Data!J1231</f>
        <v/>
      </c>
      <c r="K1231" s="13">
        <f>Raw_Data!K1231</f>
        <v/>
      </c>
      <c r="L1231" s="12">
        <f>Raw_Data!L1231</f>
        <v/>
      </c>
      <c r="M1231" s="12">
        <f>Raw_Data!M1231</f>
        <v/>
      </c>
      <c r="N1231" s="12">
        <f>Raw_Data!N1231</f>
        <v/>
      </c>
      <c r="O1231">
        <f>Raw_Data!O1231</f>
        <v/>
      </c>
      <c r="P1231">
        <f>Raw_Data!P1231</f>
        <v/>
      </c>
      <c r="Q1231">
        <f>YEAR(B1231)</f>
        <v/>
      </c>
      <c r="R1231">
        <f>TEXT(B1231,"mmm")</f>
        <v/>
      </c>
      <c r="S1231" s="15">
        <f>IFERROR(N1231/L1231,0)</f>
        <v/>
      </c>
    </row>
    <row r="1232">
      <c r="A1232">
        <f>Raw_Data!A1232</f>
        <v/>
      </c>
      <c r="B1232" s="11">
        <f>Raw_Data!B1232</f>
        <v/>
      </c>
      <c r="C1232">
        <f>Raw_Data!C1232</f>
        <v/>
      </c>
      <c r="D1232">
        <f>Raw_Data!D1232</f>
        <v/>
      </c>
      <c r="E1232">
        <f>Raw_Data!E1232</f>
        <v/>
      </c>
      <c r="F1232">
        <f>Raw_Data!F1232</f>
        <v/>
      </c>
      <c r="G1232">
        <f>Raw_Data!G1232</f>
        <v/>
      </c>
      <c r="H1232">
        <f>Raw_Data!H1232</f>
        <v/>
      </c>
      <c r="I1232">
        <f>Raw_Data!I1232</f>
        <v/>
      </c>
      <c r="J1232" s="12">
        <f>Raw_Data!J1232</f>
        <v/>
      </c>
      <c r="K1232" s="13">
        <f>Raw_Data!K1232</f>
        <v/>
      </c>
      <c r="L1232" s="12">
        <f>Raw_Data!L1232</f>
        <v/>
      </c>
      <c r="M1232" s="12">
        <f>Raw_Data!M1232</f>
        <v/>
      </c>
      <c r="N1232" s="12">
        <f>Raw_Data!N1232</f>
        <v/>
      </c>
      <c r="O1232">
        <f>Raw_Data!O1232</f>
        <v/>
      </c>
      <c r="P1232">
        <f>Raw_Data!P1232</f>
        <v/>
      </c>
      <c r="Q1232">
        <f>YEAR(B1232)</f>
        <v/>
      </c>
      <c r="R1232">
        <f>TEXT(B1232,"mmm")</f>
        <v/>
      </c>
      <c r="S1232" s="15">
        <f>IFERROR(N1232/L1232,0)</f>
        <v/>
      </c>
    </row>
    <row r="1233">
      <c r="A1233">
        <f>Raw_Data!A1233</f>
        <v/>
      </c>
      <c r="B1233" s="11">
        <f>Raw_Data!B1233</f>
        <v/>
      </c>
      <c r="C1233">
        <f>Raw_Data!C1233</f>
        <v/>
      </c>
      <c r="D1233">
        <f>Raw_Data!D1233</f>
        <v/>
      </c>
      <c r="E1233">
        <f>Raw_Data!E1233</f>
        <v/>
      </c>
      <c r="F1233">
        <f>Raw_Data!F1233</f>
        <v/>
      </c>
      <c r="G1233">
        <f>Raw_Data!G1233</f>
        <v/>
      </c>
      <c r="H1233">
        <f>Raw_Data!H1233</f>
        <v/>
      </c>
      <c r="I1233">
        <f>Raw_Data!I1233</f>
        <v/>
      </c>
      <c r="J1233" s="12">
        <f>Raw_Data!J1233</f>
        <v/>
      </c>
      <c r="K1233" s="13">
        <f>Raw_Data!K1233</f>
        <v/>
      </c>
      <c r="L1233" s="12">
        <f>Raw_Data!L1233</f>
        <v/>
      </c>
      <c r="M1233" s="12">
        <f>Raw_Data!M1233</f>
        <v/>
      </c>
      <c r="N1233" s="12">
        <f>Raw_Data!N1233</f>
        <v/>
      </c>
      <c r="O1233">
        <f>Raw_Data!O1233</f>
        <v/>
      </c>
      <c r="P1233">
        <f>Raw_Data!P1233</f>
        <v/>
      </c>
      <c r="Q1233">
        <f>YEAR(B1233)</f>
        <v/>
      </c>
      <c r="R1233">
        <f>TEXT(B1233,"mmm")</f>
        <v/>
      </c>
      <c r="S1233" s="15">
        <f>IFERROR(N1233/L1233,0)</f>
        <v/>
      </c>
    </row>
    <row r="1234">
      <c r="A1234">
        <f>Raw_Data!A1234</f>
        <v/>
      </c>
      <c r="B1234" s="11">
        <f>Raw_Data!B1234</f>
        <v/>
      </c>
      <c r="C1234">
        <f>Raw_Data!C1234</f>
        <v/>
      </c>
      <c r="D1234">
        <f>Raw_Data!D1234</f>
        <v/>
      </c>
      <c r="E1234">
        <f>Raw_Data!E1234</f>
        <v/>
      </c>
      <c r="F1234">
        <f>Raw_Data!F1234</f>
        <v/>
      </c>
      <c r="G1234">
        <f>Raw_Data!G1234</f>
        <v/>
      </c>
      <c r="H1234">
        <f>Raw_Data!H1234</f>
        <v/>
      </c>
      <c r="I1234">
        <f>Raw_Data!I1234</f>
        <v/>
      </c>
      <c r="J1234" s="12">
        <f>Raw_Data!J1234</f>
        <v/>
      </c>
      <c r="K1234" s="13">
        <f>Raw_Data!K1234</f>
        <v/>
      </c>
      <c r="L1234" s="12">
        <f>Raw_Data!L1234</f>
        <v/>
      </c>
      <c r="M1234" s="12">
        <f>Raw_Data!M1234</f>
        <v/>
      </c>
      <c r="N1234" s="12">
        <f>Raw_Data!N1234</f>
        <v/>
      </c>
      <c r="O1234">
        <f>Raw_Data!O1234</f>
        <v/>
      </c>
      <c r="P1234">
        <f>Raw_Data!P1234</f>
        <v/>
      </c>
      <c r="Q1234">
        <f>YEAR(B1234)</f>
        <v/>
      </c>
      <c r="R1234">
        <f>TEXT(B1234,"mmm")</f>
        <v/>
      </c>
      <c r="S1234" s="15">
        <f>IFERROR(N1234/L1234,0)</f>
        <v/>
      </c>
    </row>
    <row r="1235">
      <c r="A1235">
        <f>Raw_Data!A1235</f>
        <v/>
      </c>
      <c r="B1235" s="11">
        <f>Raw_Data!B1235</f>
        <v/>
      </c>
      <c r="C1235">
        <f>Raw_Data!C1235</f>
        <v/>
      </c>
      <c r="D1235">
        <f>Raw_Data!D1235</f>
        <v/>
      </c>
      <c r="E1235">
        <f>Raw_Data!E1235</f>
        <v/>
      </c>
      <c r="F1235">
        <f>Raw_Data!F1235</f>
        <v/>
      </c>
      <c r="G1235">
        <f>Raw_Data!G1235</f>
        <v/>
      </c>
      <c r="H1235">
        <f>Raw_Data!H1235</f>
        <v/>
      </c>
      <c r="I1235">
        <f>Raw_Data!I1235</f>
        <v/>
      </c>
      <c r="J1235" s="12">
        <f>Raw_Data!J1235</f>
        <v/>
      </c>
      <c r="K1235" s="13">
        <f>Raw_Data!K1235</f>
        <v/>
      </c>
      <c r="L1235" s="12">
        <f>Raw_Data!L1235</f>
        <v/>
      </c>
      <c r="M1235" s="12">
        <f>Raw_Data!M1235</f>
        <v/>
      </c>
      <c r="N1235" s="12">
        <f>Raw_Data!N1235</f>
        <v/>
      </c>
      <c r="O1235">
        <f>Raw_Data!O1235</f>
        <v/>
      </c>
      <c r="P1235">
        <f>Raw_Data!P1235</f>
        <v/>
      </c>
      <c r="Q1235">
        <f>YEAR(B1235)</f>
        <v/>
      </c>
      <c r="R1235">
        <f>TEXT(B1235,"mmm")</f>
        <v/>
      </c>
      <c r="S1235" s="15">
        <f>IFERROR(N1235/L1235,0)</f>
        <v/>
      </c>
    </row>
    <row r="1236">
      <c r="A1236">
        <f>Raw_Data!A1236</f>
        <v/>
      </c>
      <c r="B1236" s="11">
        <f>Raw_Data!B1236</f>
        <v/>
      </c>
      <c r="C1236">
        <f>Raw_Data!C1236</f>
        <v/>
      </c>
      <c r="D1236">
        <f>Raw_Data!D1236</f>
        <v/>
      </c>
      <c r="E1236">
        <f>Raw_Data!E1236</f>
        <v/>
      </c>
      <c r="F1236">
        <f>Raw_Data!F1236</f>
        <v/>
      </c>
      <c r="G1236">
        <f>Raw_Data!G1236</f>
        <v/>
      </c>
      <c r="H1236">
        <f>Raw_Data!H1236</f>
        <v/>
      </c>
      <c r="I1236">
        <f>Raw_Data!I1236</f>
        <v/>
      </c>
      <c r="J1236" s="12">
        <f>Raw_Data!J1236</f>
        <v/>
      </c>
      <c r="K1236" s="13">
        <f>Raw_Data!K1236</f>
        <v/>
      </c>
      <c r="L1236" s="12">
        <f>Raw_Data!L1236</f>
        <v/>
      </c>
      <c r="M1236" s="12">
        <f>Raw_Data!M1236</f>
        <v/>
      </c>
      <c r="N1236" s="12">
        <f>Raw_Data!N1236</f>
        <v/>
      </c>
      <c r="O1236">
        <f>Raw_Data!O1236</f>
        <v/>
      </c>
      <c r="P1236">
        <f>Raw_Data!P1236</f>
        <v/>
      </c>
      <c r="Q1236">
        <f>YEAR(B1236)</f>
        <v/>
      </c>
      <c r="R1236">
        <f>TEXT(B1236,"mmm")</f>
        <v/>
      </c>
      <c r="S1236" s="15">
        <f>IFERROR(N1236/L1236,0)</f>
        <v/>
      </c>
    </row>
    <row r="1237">
      <c r="A1237">
        <f>Raw_Data!A1237</f>
        <v/>
      </c>
      <c r="B1237" s="11">
        <f>Raw_Data!B1237</f>
        <v/>
      </c>
      <c r="C1237">
        <f>Raw_Data!C1237</f>
        <v/>
      </c>
      <c r="D1237">
        <f>Raw_Data!D1237</f>
        <v/>
      </c>
      <c r="E1237">
        <f>Raw_Data!E1237</f>
        <v/>
      </c>
      <c r="F1237">
        <f>Raw_Data!F1237</f>
        <v/>
      </c>
      <c r="G1237">
        <f>Raw_Data!G1237</f>
        <v/>
      </c>
      <c r="H1237">
        <f>Raw_Data!H1237</f>
        <v/>
      </c>
      <c r="I1237">
        <f>Raw_Data!I1237</f>
        <v/>
      </c>
      <c r="J1237" s="12">
        <f>Raw_Data!J1237</f>
        <v/>
      </c>
      <c r="K1237" s="13">
        <f>Raw_Data!K1237</f>
        <v/>
      </c>
      <c r="L1237" s="12">
        <f>Raw_Data!L1237</f>
        <v/>
      </c>
      <c r="M1237" s="12">
        <f>Raw_Data!M1237</f>
        <v/>
      </c>
      <c r="N1237" s="12">
        <f>Raw_Data!N1237</f>
        <v/>
      </c>
      <c r="O1237">
        <f>Raw_Data!O1237</f>
        <v/>
      </c>
      <c r="P1237">
        <f>Raw_Data!P1237</f>
        <v/>
      </c>
      <c r="Q1237">
        <f>YEAR(B1237)</f>
        <v/>
      </c>
      <c r="R1237">
        <f>TEXT(B1237,"mmm")</f>
        <v/>
      </c>
      <c r="S1237" s="15">
        <f>IFERROR(N1237/L1237,0)</f>
        <v/>
      </c>
    </row>
    <row r="1238">
      <c r="A1238">
        <f>Raw_Data!A1238</f>
        <v/>
      </c>
      <c r="B1238" s="11">
        <f>Raw_Data!B1238</f>
        <v/>
      </c>
      <c r="C1238">
        <f>Raw_Data!C1238</f>
        <v/>
      </c>
      <c r="D1238">
        <f>Raw_Data!D1238</f>
        <v/>
      </c>
      <c r="E1238">
        <f>Raw_Data!E1238</f>
        <v/>
      </c>
      <c r="F1238">
        <f>Raw_Data!F1238</f>
        <v/>
      </c>
      <c r="G1238">
        <f>Raw_Data!G1238</f>
        <v/>
      </c>
      <c r="H1238">
        <f>Raw_Data!H1238</f>
        <v/>
      </c>
      <c r="I1238">
        <f>Raw_Data!I1238</f>
        <v/>
      </c>
      <c r="J1238" s="12">
        <f>Raw_Data!J1238</f>
        <v/>
      </c>
      <c r="K1238" s="13">
        <f>Raw_Data!K1238</f>
        <v/>
      </c>
      <c r="L1238" s="12">
        <f>Raw_Data!L1238</f>
        <v/>
      </c>
      <c r="M1238" s="12">
        <f>Raw_Data!M1238</f>
        <v/>
      </c>
      <c r="N1238" s="12">
        <f>Raw_Data!N1238</f>
        <v/>
      </c>
      <c r="O1238">
        <f>Raw_Data!O1238</f>
        <v/>
      </c>
      <c r="P1238">
        <f>Raw_Data!P1238</f>
        <v/>
      </c>
      <c r="Q1238">
        <f>YEAR(B1238)</f>
        <v/>
      </c>
      <c r="R1238">
        <f>TEXT(B1238,"mmm")</f>
        <v/>
      </c>
      <c r="S1238" s="15">
        <f>IFERROR(N1238/L1238,0)</f>
        <v/>
      </c>
    </row>
    <row r="1239">
      <c r="A1239">
        <f>Raw_Data!A1239</f>
        <v/>
      </c>
      <c r="B1239" s="11">
        <f>Raw_Data!B1239</f>
        <v/>
      </c>
      <c r="C1239">
        <f>Raw_Data!C1239</f>
        <v/>
      </c>
      <c r="D1239">
        <f>Raw_Data!D1239</f>
        <v/>
      </c>
      <c r="E1239">
        <f>Raw_Data!E1239</f>
        <v/>
      </c>
      <c r="F1239">
        <f>Raw_Data!F1239</f>
        <v/>
      </c>
      <c r="G1239">
        <f>Raw_Data!G1239</f>
        <v/>
      </c>
      <c r="H1239">
        <f>Raw_Data!H1239</f>
        <v/>
      </c>
      <c r="I1239">
        <f>Raw_Data!I1239</f>
        <v/>
      </c>
      <c r="J1239" s="12">
        <f>Raw_Data!J1239</f>
        <v/>
      </c>
      <c r="K1239" s="13">
        <f>Raw_Data!K1239</f>
        <v/>
      </c>
      <c r="L1239" s="12">
        <f>Raw_Data!L1239</f>
        <v/>
      </c>
      <c r="M1239" s="12">
        <f>Raw_Data!M1239</f>
        <v/>
      </c>
      <c r="N1239" s="12">
        <f>Raw_Data!N1239</f>
        <v/>
      </c>
      <c r="O1239">
        <f>Raw_Data!O1239</f>
        <v/>
      </c>
      <c r="P1239">
        <f>Raw_Data!P1239</f>
        <v/>
      </c>
      <c r="Q1239">
        <f>YEAR(B1239)</f>
        <v/>
      </c>
      <c r="R1239">
        <f>TEXT(B1239,"mmm")</f>
        <v/>
      </c>
      <c r="S1239" s="15">
        <f>IFERROR(N1239/L1239,0)</f>
        <v/>
      </c>
    </row>
    <row r="1240">
      <c r="A1240">
        <f>Raw_Data!A1240</f>
        <v/>
      </c>
      <c r="B1240" s="11">
        <f>Raw_Data!B1240</f>
        <v/>
      </c>
      <c r="C1240">
        <f>Raw_Data!C1240</f>
        <v/>
      </c>
      <c r="D1240">
        <f>Raw_Data!D1240</f>
        <v/>
      </c>
      <c r="E1240">
        <f>Raw_Data!E1240</f>
        <v/>
      </c>
      <c r="F1240">
        <f>Raw_Data!F1240</f>
        <v/>
      </c>
      <c r="G1240">
        <f>Raw_Data!G1240</f>
        <v/>
      </c>
      <c r="H1240">
        <f>Raw_Data!H1240</f>
        <v/>
      </c>
      <c r="I1240">
        <f>Raw_Data!I1240</f>
        <v/>
      </c>
      <c r="J1240" s="12">
        <f>Raw_Data!J1240</f>
        <v/>
      </c>
      <c r="K1240" s="13">
        <f>Raw_Data!K1240</f>
        <v/>
      </c>
      <c r="L1240" s="12">
        <f>Raw_Data!L1240</f>
        <v/>
      </c>
      <c r="M1240" s="12">
        <f>Raw_Data!M1240</f>
        <v/>
      </c>
      <c r="N1240" s="12">
        <f>Raw_Data!N1240</f>
        <v/>
      </c>
      <c r="O1240">
        <f>Raw_Data!O1240</f>
        <v/>
      </c>
      <c r="P1240">
        <f>Raw_Data!P1240</f>
        <v/>
      </c>
      <c r="Q1240">
        <f>YEAR(B1240)</f>
        <v/>
      </c>
      <c r="R1240">
        <f>TEXT(B1240,"mmm")</f>
        <v/>
      </c>
      <c r="S1240" s="15">
        <f>IFERROR(N1240/L1240,0)</f>
        <v/>
      </c>
    </row>
    <row r="1241">
      <c r="A1241">
        <f>Raw_Data!A1241</f>
        <v/>
      </c>
      <c r="B1241" s="11">
        <f>Raw_Data!B1241</f>
        <v/>
      </c>
      <c r="C1241">
        <f>Raw_Data!C1241</f>
        <v/>
      </c>
      <c r="D1241">
        <f>Raw_Data!D1241</f>
        <v/>
      </c>
      <c r="E1241">
        <f>Raw_Data!E1241</f>
        <v/>
      </c>
      <c r="F1241">
        <f>Raw_Data!F1241</f>
        <v/>
      </c>
      <c r="G1241">
        <f>Raw_Data!G1241</f>
        <v/>
      </c>
      <c r="H1241">
        <f>Raw_Data!H1241</f>
        <v/>
      </c>
      <c r="I1241">
        <f>Raw_Data!I1241</f>
        <v/>
      </c>
      <c r="J1241" s="12">
        <f>Raw_Data!J1241</f>
        <v/>
      </c>
      <c r="K1241" s="13">
        <f>Raw_Data!K1241</f>
        <v/>
      </c>
      <c r="L1241" s="12">
        <f>Raw_Data!L1241</f>
        <v/>
      </c>
      <c r="M1241" s="12">
        <f>Raw_Data!M1241</f>
        <v/>
      </c>
      <c r="N1241" s="12">
        <f>Raw_Data!N1241</f>
        <v/>
      </c>
      <c r="O1241">
        <f>Raw_Data!O1241</f>
        <v/>
      </c>
      <c r="P1241">
        <f>Raw_Data!P1241</f>
        <v/>
      </c>
      <c r="Q1241">
        <f>YEAR(B1241)</f>
        <v/>
      </c>
      <c r="R1241">
        <f>TEXT(B1241,"mmm")</f>
        <v/>
      </c>
      <c r="S1241" s="15">
        <f>IFERROR(N1241/L1241,0)</f>
        <v/>
      </c>
    </row>
    <row r="1242">
      <c r="A1242">
        <f>Raw_Data!A1242</f>
        <v/>
      </c>
      <c r="B1242" s="11">
        <f>Raw_Data!B1242</f>
        <v/>
      </c>
      <c r="C1242">
        <f>Raw_Data!C1242</f>
        <v/>
      </c>
      <c r="D1242">
        <f>Raw_Data!D1242</f>
        <v/>
      </c>
      <c r="E1242">
        <f>Raw_Data!E1242</f>
        <v/>
      </c>
      <c r="F1242">
        <f>Raw_Data!F1242</f>
        <v/>
      </c>
      <c r="G1242">
        <f>Raw_Data!G1242</f>
        <v/>
      </c>
      <c r="H1242">
        <f>Raw_Data!H1242</f>
        <v/>
      </c>
      <c r="I1242">
        <f>Raw_Data!I1242</f>
        <v/>
      </c>
      <c r="J1242" s="12">
        <f>Raw_Data!J1242</f>
        <v/>
      </c>
      <c r="K1242" s="13">
        <f>Raw_Data!K1242</f>
        <v/>
      </c>
      <c r="L1242" s="12">
        <f>Raw_Data!L1242</f>
        <v/>
      </c>
      <c r="M1242" s="12">
        <f>Raw_Data!M1242</f>
        <v/>
      </c>
      <c r="N1242" s="12">
        <f>Raw_Data!N1242</f>
        <v/>
      </c>
      <c r="O1242">
        <f>Raw_Data!O1242</f>
        <v/>
      </c>
      <c r="P1242">
        <f>Raw_Data!P1242</f>
        <v/>
      </c>
      <c r="Q1242">
        <f>YEAR(B1242)</f>
        <v/>
      </c>
      <c r="R1242">
        <f>TEXT(B1242,"mmm")</f>
        <v/>
      </c>
      <c r="S1242" s="15">
        <f>IFERROR(N1242/L1242,0)</f>
        <v/>
      </c>
    </row>
    <row r="1243">
      <c r="A1243">
        <f>Raw_Data!A1243</f>
        <v/>
      </c>
      <c r="B1243" s="11">
        <f>Raw_Data!B1243</f>
        <v/>
      </c>
      <c r="C1243">
        <f>Raw_Data!C1243</f>
        <v/>
      </c>
      <c r="D1243">
        <f>Raw_Data!D1243</f>
        <v/>
      </c>
      <c r="E1243">
        <f>Raw_Data!E1243</f>
        <v/>
      </c>
      <c r="F1243">
        <f>Raw_Data!F1243</f>
        <v/>
      </c>
      <c r="G1243">
        <f>Raw_Data!G1243</f>
        <v/>
      </c>
      <c r="H1243">
        <f>Raw_Data!H1243</f>
        <v/>
      </c>
      <c r="I1243">
        <f>Raw_Data!I1243</f>
        <v/>
      </c>
      <c r="J1243" s="12">
        <f>Raw_Data!J1243</f>
        <v/>
      </c>
      <c r="K1243" s="13">
        <f>Raw_Data!K1243</f>
        <v/>
      </c>
      <c r="L1243" s="12">
        <f>Raw_Data!L1243</f>
        <v/>
      </c>
      <c r="M1243" s="12">
        <f>Raw_Data!M1243</f>
        <v/>
      </c>
      <c r="N1243" s="12">
        <f>Raw_Data!N1243</f>
        <v/>
      </c>
      <c r="O1243">
        <f>Raw_Data!O1243</f>
        <v/>
      </c>
      <c r="P1243">
        <f>Raw_Data!P1243</f>
        <v/>
      </c>
      <c r="Q1243">
        <f>YEAR(B1243)</f>
        <v/>
      </c>
      <c r="R1243">
        <f>TEXT(B1243,"mmm")</f>
        <v/>
      </c>
      <c r="S1243" s="15">
        <f>IFERROR(N1243/L1243,0)</f>
        <v/>
      </c>
    </row>
    <row r="1244">
      <c r="A1244">
        <f>Raw_Data!A1244</f>
        <v/>
      </c>
      <c r="B1244" s="11">
        <f>Raw_Data!B1244</f>
        <v/>
      </c>
      <c r="C1244">
        <f>Raw_Data!C1244</f>
        <v/>
      </c>
      <c r="D1244">
        <f>Raw_Data!D1244</f>
        <v/>
      </c>
      <c r="E1244">
        <f>Raw_Data!E1244</f>
        <v/>
      </c>
      <c r="F1244">
        <f>Raw_Data!F1244</f>
        <v/>
      </c>
      <c r="G1244">
        <f>Raw_Data!G1244</f>
        <v/>
      </c>
      <c r="H1244">
        <f>Raw_Data!H1244</f>
        <v/>
      </c>
      <c r="I1244">
        <f>Raw_Data!I1244</f>
        <v/>
      </c>
      <c r="J1244" s="12">
        <f>Raw_Data!J1244</f>
        <v/>
      </c>
      <c r="K1244" s="13">
        <f>Raw_Data!K1244</f>
        <v/>
      </c>
      <c r="L1244" s="12">
        <f>Raw_Data!L1244</f>
        <v/>
      </c>
      <c r="M1244" s="12">
        <f>Raw_Data!M1244</f>
        <v/>
      </c>
      <c r="N1244" s="12">
        <f>Raw_Data!N1244</f>
        <v/>
      </c>
      <c r="O1244">
        <f>Raw_Data!O1244</f>
        <v/>
      </c>
      <c r="P1244">
        <f>Raw_Data!P1244</f>
        <v/>
      </c>
      <c r="Q1244">
        <f>YEAR(B1244)</f>
        <v/>
      </c>
      <c r="R1244">
        <f>TEXT(B1244,"mmm")</f>
        <v/>
      </c>
      <c r="S1244" s="15">
        <f>IFERROR(N1244/L1244,0)</f>
        <v/>
      </c>
    </row>
    <row r="1245">
      <c r="A1245">
        <f>Raw_Data!A1245</f>
        <v/>
      </c>
      <c r="B1245" s="11">
        <f>Raw_Data!B1245</f>
        <v/>
      </c>
      <c r="C1245">
        <f>Raw_Data!C1245</f>
        <v/>
      </c>
      <c r="D1245">
        <f>Raw_Data!D1245</f>
        <v/>
      </c>
      <c r="E1245">
        <f>Raw_Data!E1245</f>
        <v/>
      </c>
      <c r="F1245">
        <f>Raw_Data!F1245</f>
        <v/>
      </c>
      <c r="G1245">
        <f>Raw_Data!G1245</f>
        <v/>
      </c>
      <c r="H1245">
        <f>Raw_Data!H1245</f>
        <v/>
      </c>
      <c r="I1245">
        <f>Raw_Data!I1245</f>
        <v/>
      </c>
      <c r="J1245" s="12">
        <f>Raw_Data!J1245</f>
        <v/>
      </c>
      <c r="K1245" s="13">
        <f>Raw_Data!K1245</f>
        <v/>
      </c>
      <c r="L1245" s="12">
        <f>Raw_Data!L1245</f>
        <v/>
      </c>
      <c r="M1245" s="12">
        <f>Raw_Data!M1245</f>
        <v/>
      </c>
      <c r="N1245" s="12">
        <f>Raw_Data!N1245</f>
        <v/>
      </c>
      <c r="O1245">
        <f>Raw_Data!O1245</f>
        <v/>
      </c>
      <c r="P1245">
        <f>Raw_Data!P1245</f>
        <v/>
      </c>
      <c r="Q1245">
        <f>YEAR(B1245)</f>
        <v/>
      </c>
      <c r="R1245">
        <f>TEXT(B1245,"mmm")</f>
        <v/>
      </c>
      <c r="S1245" s="15">
        <f>IFERROR(N1245/L1245,0)</f>
        <v/>
      </c>
    </row>
    <row r="1246">
      <c r="A1246">
        <f>Raw_Data!A1246</f>
        <v/>
      </c>
      <c r="B1246" s="11">
        <f>Raw_Data!B1246</f>
        <v/>
      </c>
      <c r="C1246">
        <f>Raw_Data!C1246</f>
        <v/>
      </c>
      <c r="D1246">
        <f>Raw_Data!D1246</f>
        <v/>
      </c>
      <c r="E1246">
        <f>Raw_Data!E1246</f>
        <v/>
      </c>
      <c r="F1246">
        <f>Raw_Data!F1246</f>
        <v/>
      </c>
      <c r="G1246">
        <f>Raw_Data!G1246</f>
        <v/>
      </c>
      <c r="H1246">
        <f>Raw_Data!H1246</f>
        <v/>
      </c>
      <c r="I1246">
        <f>Raw_Data!I1246</f>
        <v/>
      </c>
      <c r="J1246" s="12">
        <f>Raw_Data!J1246</f>
        <v/>
      </c>
      <c r="K1246" s="13">
        <f>Raw_Data!K1246</f>
        <v/>
      </c>
      <c r="L1246" s="12">
        <f>Raw_Data!L1246</f>
        <v/>
      </c>
      <c r="M1246" s="12">
        <f>Raw_Data!M1246</f>
        <v/>
      </c>
      <c r="N1246" s="12">
        <f>Raw_Data!N1246</f>
        <v/>
      </c>
      <c r="O1246">
        <f>Raw_Data!O1246</f>
        <v/>
      </c>
      <c r="P1246">
        <f>Raw_Data!P1246</f>
        <v/>
      </c>
      <c r="Q1246">
        <f>YEAR(B1246)</f>
        <v/>
      </c>
      <c r="R1246">
        <f>TEXT(B1246,"mmm")</f>
        <v/>
      </c>
      <c r="S1246" s="15">
        <f>IFERROR(N1246/L1246,0)</f>
        <v/>
      </c>
    </row>
    <row r="1247">
      <c r="A1247">
        <f>Raw_Data!A1247</f>
        <v/>
      </c>
      <c r="B1247" s="11">
        <f>Raw_Data!B1247</f>
        <v/>
      </c>
      <c r="C1247">
        <f>Raw_Data!C1247</f>
        <v/>
      </c>
      <c r="D1247">
        <f>Raw_Data!D1247</f>
        <v/>
      </c>
      <c r="E1247">
        <f>Raw_Data!E1247</f>
        <v/>
      </c>
      <c r="F1247">
        <f>Raw_Data!F1247</f>
        <v/>
      </c>
      <c r="G1247">
        <f>Raw_Data!G1247</f>
        <v/>
      </c>
      <c r="H1247">
        <f>Raw_Data!H1247</f>
        <v/>
      </c>
      <c r="I1247">
        <f>Raw_Data!I1247</f>
        <v/>
      </c>
      <c r="J1247" s="12">
        <f>Raw_Data!J1247</f>
        <v/>
      </c>
      <c r="K1247" s="13">
        <f>Raw_Data!K1247</f>
        <v/>
      </c>
      <c r="L1247" s="12">
        <f>Raw_Data!L1247</f>
        <v/>
      </c>
      <c r="M1247" s="12">
        <f>Raw_Data!M1247</f>
        <v/>
      </c>
      <c r="N1247" s="12">
        <f>Raw_Data!N1247</f>
        <v/>
      </c>
      <c r="O1247">
        <f>Raw_Data!O1247</f>
        <v/>
      </c>
      <c r="P1247">
        <f>Raw_Data!P1247</f>
        <v/>
      </c>
      <c r="Q1247">
        <f>YEAR(B1247)</f>
        <v/>
      </c>
      <c r="R1247">
        <f>TEXT(B1247,"mmm")</f>
        <v/>
      </c>
      <c r="S1247" s="15">
        <f>IFERROR(N1247/L1247,0)</f>
        <v/>
      </c>
    </row>
    <row r="1248">
      <c r="A1248">
        <f>Raw_Data!A1248</f>
        <v/>
      </c>
      <c r="B1248" s="11">
        <f>Raw_Data!B1248</f>
        <v/>
      </c>
      <c r="C1248">
        <f>Raw_Data!C1248</f>
        <v/>
      </c>
      <c r="D1248">
        <f>Raw_Data!D1248</f>
        <v/>
      </c>
      <c r="E1248">
        <f>Raw_Data!E1248</f>
        <v/>
      </c>
      <c r="F1248">
        <f>Raw_Data!F1248</f>
        <v/>
      </c>
      <c r="G1248">
        <f>Raw_Data!G1248</f>
        <v/>
      </c>
      <c r="H1248">
        <f>Raw_Data!H1248</f>
        <v/>
      </c>
      <c r="I1248">
        <f>Raw_Data!I1248</f>
        <v/>
      </c>
      <c r="J1248" s="12">
        <f>Raw_Data!J1248</f>
        <v/>
      </c>
      <c r="K1248" s="13">
        <f>Raw_Data!K1248</f>
        <v/>
      </c>
      <c r="L1248" s="12">
        <f>Raw_Data!L1248</f>
        <v/>
      </c>
      <c r="M1248" s="12">
        <f>Raw_Data!M1248</f>
        <v/>
      </c>
      <c r="N1248" s="12">
        <f>Raw_Data!N1248</f>
        <v/>
      </c>
      <c r="O1248">
        <f>Raw_Data!O1248</f>
        <v/>
      </c>
      <c r="P1248">
        <f>Raw_Data!P1248</f>
        <v/>
      </c>
      <c r="Q1248">
        <f>YEAR(B1248)</f>
        <v/>
      </c>
      <c r="R1248">
        <f>TEXT(B1248,"mmm")</f>
        <v/>
      </c>
      <c r="S1248" s="15">
        <f>IFERROR(N1248/L1248,0)</f>
        <v/>
      </c>
    </row>
    <row r="1249">
      <c r="A1249">
        <f>Raw_Data!A1249</f>
        <v/>
      </c>
      <c r="B1249" s="11">
        <f>Raw_Data!B1249</f>
        <v/>
      </c>
      <c r="C1249">
        <f>Raw_Data!C1249</f>
        <v/>
      </c>
      <c r="D1249">
        <f>Raw_Data!D1249</f>
        <v/>
      </c>
      <c r="E1249">
        <f>Raw_Data!E1249</f>
        <v/>
      </c>
      <c r="F1249">
        <f>Raw_Data!F1249</f>
        <v/>
      </c>
      <c r="G1249">
        <f>Raw_Data!G1249</f>
        <v/>
      </c>
      <c r="H1249">
        <f>Raw_Data!H1249</f>
        <v/>
      </c>
      <c r="I1249">
        <f>Raw_Data!I1249</f>
        <v/>
      </c>
      <c r="J1249" s="12">
        <f>Raw_Data!J1249</f>
        <v/>
      </c>
      <c r="K1249" s="13">
        <f>Raw_Data!K1249</f>
        <v/>
      </c>
      <c r="L1249" s="12">
        <f>Raw_Data!L1249</f>
        <v/>
      </c>
      <c r="M1249" s="12">
        <f>Raw_Data!M1249</f>
        <v/>
      </c>
      <c r="N1249" s="12">
        <f>Raw_Data!N1249</f>
        <v/>
      </c>
      <c r="O1249">
        <f>Raw_Data!O1249</f>
        <v/>
      </c>
      <c r="P1249">
        <f>Raw_Data!P1249</f>
        <v/>
      </c>
      <c r="Q1249">
        <f>YEAR(B1249)</f>
        <v/>
      </c>
      <c r="R1249">
        <f>TEXT(B1249,"mmm")</f>
        <v/>
      </c>
      <c r="S1249" s="15">
        <f>IFERROR(N1249/L1249,0)</f>
        <v/>
      </c>
    </row>
    <row r="1250">
      <c r="A1250">
        <f>Raw_Data!A1250</f>
        <v/>
      </c>
      <c r="B1250" s="11">
        <f>Raw_Data!B1250</f>
        <v/>
      </c>
      <c r="C1250">
        <f>Raw_Data!C1250</f>
        <v/>
      </c>
      <c r="D1250">
        <f>Raw_Data!D1250</f>
        <v/>
      </c>
      <c r="E1250">
        <f>Raw_Data!E1250</f>
        <v/>
      </c>
      <c r="F1250">
        <f>Raw_Data!F1250</f>
        <v/>
      </c>
      <c r="G1250">
        <f>Raw_Data!G1250</f>
        <v/>
      </c>
      <c r="H1250">
        <f>Raw_Data!H1250</f>
        <v/>
      </c>
      <c r="I1250">
        <f>Raw_Data!I1250</f>
        <v/>
      </c>
      <c r="J1250" s="12">
        <f>Raw_Data!J1250</f>
        <v/>
      </c>
      <c r="K1250" s="13">
        <f>Raw_Data!K1250</f>
        <v/>
      </c>
      <c r="L1250" s="12">
        <f>Raw_Data!L1250</f>
        <v/>
      </c>
      <c r="M1250" s="12">
        <f>Raw_Data!M1250</f>
        <v/>
      </c>
      <c r="N1250" s="12">
        <f>Raw_Data!N1250</f>
        <v/>
      </c>
      <c r="O1250">
        <f>Raw_Data!O1250</f>
        <v/>
      </c>
      <c r="P1250">
        <f>Raw_Data!P1250</f>
        <v/>
      </c>
      <c r="Q1250">
        <f>YEAR(B1250)</f>
        <v/>
      </c>
      <c r="R1250">
        <f>TEXT(B1250,"mmm")</f>
        <v/>
      </c>
      <c r="S1250" s="15">
        <f>IFERROR(N1250/L1250,0)</f>
        <v/>
      </c>
    </row>
    <row r="1251">
      <c r="A1251">
        <f>Raw_Data!A1251</f>
        <v/>
      </c>
      <c r="B1251" s="11">
        <f>Raw_Data!B1251</f>
        <v/>
      </c>
      <c r="C1251">
        <f>Raw_Data!C1251</f>
        <v/>
      </c>
      <c r="D1251">
        <f>Raw_Data!D1251</f>
        <v/>
      </c>
      <c r="E1251">
        <f>Raw_Data!E1251</f>
        <v/>
      </c>
      <c r="F1251">
        <f>Raw_Data!F1251</f>
        <v/>
      </c>
      <c r="G1251">
        <f>Raw_Data!G1251</f>
        <v/>
      </c>
      <c r="H1251">
        <f>Raw_Data!H1251</f>
        <v/>
      </c>
      <c r="I1251">
        <f>Raw_Data!I1251</f>
        <v/>
      </c>
      <c r="J1251" s="12">
        <f>Raw_Data!J1251</f>
        <v/>
      </c>
      <c r="K1251" s="13">
        <f>Raw_Data!K1251</f>
        <v/>
      </c>
      <c r="L1251" s="12">
        <f>Raw_Data!L1251</f>
        <v/>
      </c>
      <c r="M1251" s="12">
        <f>Raw_Data!M1251</f>
        <v/>
      </c>
      <c r="N1251" s="12">
        <f>Raw_Data!N1251</f>
        <v/>
      </c>
      <c r="O1251">
        <f>Raw_Data!O1251</f>
        <v/>
      </c>
      <c r="P1251">
        <f>Raw_Data!P1251</f>
        <v/>
      </c>
      <c r="Q1251">
        <f>YEAR(B1251)</f>
        <v/>
      </c>
      <c r="R1251">
        <f>TEXT(B1251,"mmm")</f>
        <v/>
      </c>
      <c r="S1251" s="15">
        <f>IFERROR(N1251/L1251,0)</f>
        <v/>
      </c>
    </row>
    <row r="1252">
      <c r="A1252">
        <f>Raw_Data!A1252</f>
        <v/>
      </c>
      <c r="B1252" s="11">
        <f>Raw_Data!B1252</f>
        <v/>
      </c>
      <c r="C1252">
        <f>Raw_Data!C1252</f>
        <v/>
      </c>
      <c r="D1252">
        <f>Raw_Data!D1252</f>
        <v/>
      </c>
      <c r="E1252">
        <f>Raw_Data!E1252</f>
        <v/>
      </c>
      <c r="F1252">
        <f>Raw_Data!F1252</f>
        <v/>
      </c>
      <c r="G1252">
        <f>Raw_Data!G1252</f>
        <v/>
      </c>
      <c r="H1252">
        <f>Raw_Data!H1252</f>
        <v/>
      </c>
      <c r="I1252">
        <f>Raw_Data!I1252</f>
        <v/>
      </c>
      <c r="J1252" s="12">
        <f>Raw_Data!J1252</f>
        <v/>
      </c>
      <c r="K1252" s="13">
        <f>Raw_Data!K1252</f>
        <v/>
      </c>
      <c r="L1252" s="12">
        <f>Raw_Data!L1252</f>
        <v/>
      </c>
      <c r="M1252" s="12">
        <f>Raw_Data!M1252</f>
        <v/>
      </c>
      <c r="N1252" s="12">
        <f>Raw_Data!N1252</f>
        <v/>
      </c>
      <c r="O1252">
        <f>Raw_Data!O1252</f>
        <v/>
      </c>
      <c r="P1252">
        <f>Raw_Data!P1252</f>
        <v/>
      </c>
      <c r="Q1252">
        <f>YEAR(B1252)</f>
        <v/>
      </c>
      <c r="R1252">
        <f>TEXT(B1252,"mmm")</f>
        <v/>
      </c>
      <c r="S1252" s="15">
        <f>IFERROR(N1252/L1252,0)</f>
        <v/>
      </c>
    </row>
    <row r="1253">
      <c r="A1253">
        <f>Raw_Data!A1253</f>
        <v/>
      </c>
      <c r="B1253" s="11">
        <f>Raw_Data!B1253</f>
        <v/>
      </c>
      <c r="C1253">
        <f>Raw_Data!C1253</f>
        <v/>
      </c>
      <c r="D1253">
        <f>Raw_Data!D1253</f>
        <v/>
      </c>
      <c r="E1253">
        <f>Raw_Data!E1253</f>
        <v/>
      </c>
      <c r="F1253">
        <f>Raw_Data!F1253</f>
        <v/>
      </c>
      <c r="G1253">
        <f>Raw_Data!G1253</f>
        <v/>
      </c>
      <c r="H1253">
        <f>Raw_Data!H1253</f>
        <v/>
      </c>
      <c r="I1253">
        <f>Raw_Data!I1253</f>
        <v/>
      </c>
      <c r="J1253" s="12">
        <f>Raw_Data!J1253</f>
        <v/>
      </c>
      <c r="K1253" s="13">
        <f>Raw_Data!K1253</f>
        <v/>
      </c>
      <c r="L1253" s="12">
        <f>Raw_Data!L1253</f>
        <v/>
      </c>
      <c r="M1253" s="12">
        <f>Raw_Data!M1253</f>
        <v/>
      </c>
      <c r="N1253" s="12">
        <f>Raw_Data!N1253</f>
        <v/>
      </c>
      <c r="O1253">
        <f>Raw_Data!O1253</f>
        <v/>
      </c>
      <c r="P1253">
        <f>Raw_Data!P1253</f>
        <v/>
      </c>
      <c r="Q1253">
        <f>YEAR(B1253)</f>
        <v/>
      </c>
      <c r="R1253">
        <f>TEXT(B1253,"mmm")</f>
        <v/>
      </c>
      <c r="S1253" s="15">
        <f>IFERROR(N1253/L1253,0)</f>
        <v/>
      </c>
    </row>
    <row r="1254">
      <c r="A1254">
        <f>Raw_Data!A1254</f>
        <v/>
      </c>
      <c r="B1254" s="11">
        <f>Raw_Data!B1254</f>
        <v/>
      </c>
      <c r="C1254">
        <f>Raw_Data!C1254</f>
        <v/>
      </c>
      <c r="D1254">
        <f>Raw_Data!D1254</f>
        <v/>
      </c>
      <c r="E1254">
        <f>Raw_Data!E1254</f>
        <v/>
      </c>
      <c r="F1254">
        <f>Raw_Data!F1254</f>
        <v/>
      </c>
      <c r="G1254">
        <f>Raw_Data!G1254</f>
        <v/>
      </c>
      <c r="H1254">
        <f>Raw_Data!H1254</f>
        <v/>
      </c>
      <c r="I1254">
        <f>Raw_Data!I1254</f>
        <v/>
      </c>
      <c r="J1254" s="12">
        <f>Raw_Data!J1254</f>
        <v/>
      </c>
      <c r="K1254" s="13">
        <f>Raw_Data!K1254</f>
        <v/>
      </c>
      <c r="L1254" s="12">
        <f>Raw_Data!L1254</f>
        <v/>
      </c>
      <c r="M1254" s="12">
        <f>Raw_Data!M1254</f>
        <v/>
      </c>
      <c r="N1254" s="12">
        <f>Raw_Data!N1254</f>
        <v/>
      </c>
      <c r="O1254">
        <f>Raw_Data!O1254</f>
        <v/>
      </c>
      <c r="P1254">
        <f>Raw_Data!P1254</f>
        <v/>
      </c>
      <c r="Q1254">
        <f>YEAR(B1254)</f>
        <v/>
      </c>
      <c r="R1254">
        <f>TEXT(B1254,"mmm")</f>
        <v/>
      </c>
      <c r="S1254" s="15">
        <f>IFERROR(N1254/L1254,0)</f>
        <v/>
      </c>
    </row>
    <row r="1255">
      <c r="A1255">
        <f>Raw_Data!A1255</f>
        <v/>
      </c>
      <c r="B1255" s="11">
        <f>Raw_Data!B1255</f>
        <v/>
      </c>
      <c r="C1255">
        <f>Raw_Data!C1255</f>
        <v/>
      </c>
      <c r="D1255">
        <f>Raw_Data!D1255</f>
        <v/>
      </c>
      <c r="E1255">
        <f>Raw_Data!E1255</f>
        <v/>
      </c>
      <c r="F1255">
        <f>Raw_Data!F1255</f>
        <v/>
      </c>
      <c r="G1255">
        <f>Raw_Data!G1255</f>
        <v/>
      </c>
      <c r="H1255">
        <f>Raw_Data!H1255</f>
        <v/>
      </c>
      <c r="I1255">
        <f>Raw_Data!I1255</f>
        <v/>
      </c>
      <c r="J1255" s="12">
        <f>Raw_Data!J1255</f>
        <v/>
      </c>
      <c r="K1255" s="13">
        <f>Raw_Data!K1255</f>
        <v/>
      </c>
      <c r="L1255" s="12">
        <f>Raw_Data!L1255</f>
        <v/>
      </c>
      <c r="M1255" s="12">
        <f>Raw_Data!M1255</f>
        <v/>
      </c>
      <c r="N1255" s="12">
        <f>Raw_Data!N1255</f>
        <v/>
      </c>
      <c r="O1255">
        <f>Raw_Data!O1255</f>
        <v/>
      </c>
      <c r="P1255">
        <f>Raw_Data!P1255</f>
        <v/>
      </c>
      <c r="Q1255">
        <f>YEAR(B1255)</f>
        <v/>
      </c>
      <c r="R1255">
        <f>TEXT(B1255,"mmm")</f>
        <v/>
      </c>
      <c r="S1255" s="15">
        <f>IFERROR(N1255/L1255,0)</f>
        <v/>
      </c>
    </row>
    <row r="1256">
      <c r="A1256">
        <f>Raw_Data!A1256</f>
        <v/>
      </c>
      <c r="B1256" s="11">
        <f>Raw_Data!B1256</f>
        <v/>
      </c>
      <c r="C1256">
        <f>Raw_Data!C1256</f>
        <v/>
      </c>
      <c r="D1256">
        <f>Raw_Data!D1256</f>
        <v/>
      </c>
      <c r="E1256">
        <f>Raw_Data!E1256</f>
        <v/>
      </c>
      <c r="F1256">
        <f>Raw_Data!F1256</f>
        <v/>
      </c>
      <c r="G1256">
        <f>Raw_Data!G1256</f>
        <v/>
      </c>
      <c r="H1256">
        <f>Raw_Data!H1256</f>
        <v/>
      </c>
      <c r="I1256">
        <f>Raw_Data!I1256</f>
        <v/>
      </c>
      <c r="J1256" s="12">
        <f>Raw_Data!J1256</f>
        <v/>
      </c>
      <c r="K1256" s="13">
        <f>Raw_Data!K1256</f>
        <v/>
      </c>
      <c r="L1256" s="12">
        <f>Raw_Data!L1256</f>
        <v/>
      </c>
      <c r="M1256" s="12">
        <f>Raw_Data!M1256</f>
        <v/>
      </c>
      <c r="N1256" s="12">
        <f>Raw_Data!N1256</f>
        <v/>
      </c>
      <c r="O1256">
        <f>Raw_Data!O1256</f>
        <v/>
      </c>
      <c r="P1256">
        <f>Raw_Data!P1256</f>
        <v/>
      </c>
      <c r="Q1256">
        <f>YEAR(B1256)</f>
        <v/>
      </c>
      <c r="R1256">
        <f>TEXT(B1256,"mmm")</f>
        <v/>
      </c>
      <c r="S1256" s="15">
        <f>IFERROR(N1256/L1256,0)</f>
        <v/>
      </c>
    </row>
    <row r="1257">
      <c r="A1257">
        <f>Raw_Data!A1257</f>
        <v/>
      </c>
      <c r="B1257" s="11">
        <f>Raw_Data!B1257</f>
        <v/>
      </c>
      <c r="C1257">
        <f>Raw_Data!C1257</f>
        <v/>
      </c>
      <c r="D1257">
        <f>Raw_Data!D1257</f>
        <v/>
      </c>
      <c r="E1257">
        <f>Raw_Data!E1257</f>
        <v/>
      </c>
      <c r="F1257">
        <f>Raw_Data!F1257</f>
        <v/>
      </c>
      <c r="G1257">
        <f>Raw_Data!G1257</f>
        <v/>
      </c>
      <c r="H1257">
        <f>Raw_Data!H1257</f>
        <v/>
      </c>
      <c r="I1257">
        <f>Raw_Data!I1257</f>
        <v/>
      </c>
      <c r="J1257" s="12">
        <f>Raw_Data!J1257</f>
        <v/>
      </c>
      <c r="K1257" s="13">
        <f>Raw_Data!K1257</f>
        <v/>
      </c>
      <c r="L1257" s="12">
        <f>Raw_Data!L1257</f>
        <v/>
      </c>
      <c r="M1257" s="12">
        <f>Raw_Data!M1257</f>
        <v/>
      </c>
      <c r="N1257" s="12">
        <f>Raw_Data!N1257</f>
        <v/>
      </c>
      <c r="O1257">
        <f>Raw_Data!O1257</f>
        <v/>
      </c>
      <c r="P1257">
        <f>Raw_Data!P1257</f>
        <v/>
      </c>
      <c r="Q1257">
        <f>YEAR(B1257)</f>
        <v/>
      </c>
      <c r="R1257">
        <f>TEXT(B1257,"mmm")</f>
        <v/>
      </c>
      <c r="S1257" s="15">
        <f>IFERROR(N1257/L1257,0)</f>
        <v/>
      </c>
    </row>
    <row r="1258">
      <c r="A1258">
        <f>Raw_Data!A1258</f>
        <v/>
      </c>
      <c r="B1258" s="11">
        <f>Raw_Data!B1258</f>
        <v/>
      </c>
      <c r="C1258">
        <f>Raw_Data!C1258</f>
        <v/>
      </c>
      <c r="D1258">
        <f>Raw_Data!D1258</f>
        <v/>
      </c>
      <c r="E1258">
        <f>Raw_Data!E1258</f>
        <v/>
      </c>
      <c r="F1258">
        <f>Raw_Data!F1258</f>
        <v/>
      </c>
      <c r="G1258">
        <f>Raw_Data!G1258</f>
        <v/>
      </c>
      <c r="H1258">
        <f>Raw_Data!H1258</f>
        <v/>
      </c>
      <c r="I1258">
        <f>Raw_Data!I1258</f>
        <v/>
      </c>
      <c r="J1258" s="12">
        <f>Raw_Data!J1258</f>
        <v/>
      </c>
      <c r="K1258" s="13">
        <f>Raw_Data!K1258</f>
        <v/>
      </c>
      <c r="L1258" s="12">
        <f>Raw_Data!L1258</f>
        <v/>
      </c>
      <c r="M1258" s="12">
        <f>Raw_Data!M1258</f>
        <v/>
      </c>
      <c r="N1258" s="12">
        <f>Raw_Data!N1258</f>
        <v/>
      </c>
      <c r="O1258">
        <f>Raw_Data!O1258</f>
        <v/>
      </c>
      <c r="P1258">
        <f>Raw_Data!P1258</f>
        <v/>
      </c>
      <c r="Q1258">
        <f>YEAR(B1258)</f>
        <v/>
      </c>
      <c r="R1258">
        <f>TEXT(B1258,"mmm")</f>
        <v/>
      </c>
      <c r="S1258" s="15">
        <f>IFERROR(N1258/L1258,0)</f>
        <v/>
      </c>
    </row>
    <row r="1259">
      <c r="A1259">
        <f>Raw_Data!A1259</f>
        <v/>
      </c>
      <c r="B1259" s="11">
        <f>Raw_Data!B1259</f>
        <v/>
      </c>
      <c r="C1259">
        <f>Raw_Data!C1259</f>
        <v/>
      </c>
      <c r="D1259">
        <f>Raw_Data!D1259</f>
        <v/>
      </c>
      <c r="E1259">
        <f>Raw_Data!E1259</f>
        <v/>
      </c>
      <c r="F1259">
        <f>Raw_Data!F1259</f>
        <v/>
      </c>
      <c r="G1259">
        <f>Raw_Data!G1259</f>
        <v/>
      </c>
      <c r="H1259">
        <f>Raw_Data!H1259</f>
        <v/>
      </c>
      <c r="I1259">
        <f>Raw_Data!I1259</f>
        <v/>
      </c>
      <c r="J1259" s="12">
        <f>Raw_Data!J1259</f>
        <v/>
      </c>
      <c r="K1259" s="13">
        <f>Raw_Data!K1259</f>
        <v/>
      </c>
      <c r="L1259" s="12">
        <f>Raw_Data!L1259</f>
        <v/>
      </c>
      <c r="M1259" s="12">
        <f>Raw_Data!M1259</f>
        <v/>
      </c>
      <c r="N1259" s="12">
        <f>Raw_Data!N1259</f>
        <v/>
      </c>
      <c r="O1259">
        <f>Raw_Data!O1259</f>
        <v/>
      </c>
      <c r="P1259">
        <f>Raw_Data!P1259</f>
        <v/>
      </c>
      <c r="Q1259">
        <f>YEAR(B1259)</f>
        <v/>
      </c>
      <c r="R1259">
        <f>TEXT(B1259,"mmm")</f>
        <v/>
      </c>
      <c r="S1259" s="15">
        <f>IFERROR(N1259/L1259,0)</f>
        <v/>
      </c>
    </row>
    <row r="1260">
      <c r="A1260">
        <f>Raw_Data!A1260</f>
        <v/>
      </c>
      <c r="B1260" s="11">
        <f>Raw_Data!B1260</f>
        <v/>
      </c>
      <c r="C1260">
        <f>Raw_Data!C1260</f>
        <v/>
      </c>
      <c r="D1260">
        <f>Raw_Data!D1260</f>
        <v/>
      </c>
      <c r="E1260">
        <f>Raw_Data!E1260</f>
        <v/>
      </c>
      <c r="F1260">
        <f>Raw_Data!F1260</f>
        <v/>
      </c>
      <c r="G1260">
        <f>Raw_Data!G1260</f>
        <v/>
      </c>
      <c r="H1260">
        <f>Raw_Data!H1260</f>
        <v/>
      </c>
      <c r="I1260">
        <f>Raw_Data!I1260</f>
        <v/>
      </c>
      <c r="J1260" s="12">
        <f>Raw_Data!J1260</f>
        <v/>
      </c>
      <c r="K1260" s="13">
        <f>Raw_Data!K1260</f>
        <v/>
      </c>
      <c r="L1260" s="12">
        <f>Raw_Data!L1260</f>
        <v/>
      </c>
      <c r="M1260" s="12">
        <f>Raw_Data!M1260</f>
        <v/>
      </c>
      <c r="N1260" s="12">
        <f>Raw_Data!N1260</f>
        <v/>
      </c>
      <c r="O1260">
        <f>Raw_Data!O1260</f>
        <v/>
      </c>
      <c r="P1260">
        <f>Raw_Data!P1260</f>
        <v/>
      </c>
      <c r="Q1260">
        <f>YEAR(B1260)</f>
        <v/>
      </c>
      <c r="R1260">
        <f>TEXT(B1260,"mmm")</f>
        <v/>
      </c>
      <c r="S1260" s="15">
        <f>IFERROR(N1260/L1260,0)</f>
        <v/>
      </c>
    </row>
    <row r="1261">
      <c r="A1261">
        <f>Raw_Data!A1261</f>
        <v/>
      </c>
      <c r="B1261" s="11">
        <f>Raw_Data!B1261</f>
        <v/>
      </c>
      <c r="C1261">
        <f>Raw_Data!C1261</f>
        <v/>
      </c>
      <c r="D1261">
        <f>Raw_Data!D1261</f>
        <v/>
      </c>
      <c r="E1261">
        <f>Raw_Data!E1261</f>
        <v/>
      </c>
      <c r="F1261">
        <f>Raw_Data!F1261</f>
        <v/>
      </c>
      <c r="G1261">
        <f>Raw_Data!G1261</f>
        <v/>
      </c>
      <c r="H1261">
        <f>Raw_Data!H1261</f>
        <v/>
      </c>
      <c r="I1261">
        <f>Raw_Data!I1261</f>
        <v/>
      </c>
      <c r="J1261" s="12">
        <f>Raw_Data!J1261</f>
        <v/>
      </c>
      <c r="K1261" s="13">
        <f>Raw_Data!K1261</f>
        <v/>
      </c>
      <c r="L1261" s="12">
        <f>Raw_Data!L1261</f>
        <v/>
      </c>
      <c r="M1261" s="12">
        <f>Raw_Data!M1261</f>
        <v/>
      </c>
      <c r="N1261" s="12">
        <f>Raw_Data!N1261</f>
        <v/>
      </c>
      <c r="O1261">
        <f>Raw_Data!O1261</f>
        <v/>
      </c>
      <c r="P1261">
        <f>Raw_Data!P1261</f>
        <v/>
      </c>
      <c r="Q1261">
        <f>YEAR(B1261)</f>
        <v/>
      </c>
      <c r="R1261">
        <f>TEXT(B1261,"mmm")</f>
        <v/>
      </c>
      <c r="S1261" s="15">
        <f>IFERROR(N1261/L1261,0)</f>
        <v/>
      </c>
    </row>
    <row r="1262">
      <c r="A1262">
        <f>Raw_Data!A1262</f>
        <v/>
      </c>
      <c r="B1262" s="11">
        <f>Raw_Data!B1262</f>
        <v/>
      </c>
      <c r="C1262">
        <f>Raw_Data!C1262</f>
        <v/>
      </c>
      <c r="D1262">
        <f>Raw_Data!D1262</f>
        <v/>
      </c>
      <c r="E1262">
        <f>Raw_Data!E1262</f>
        <v/>
      </c>
      <c r="F1262">
        <f>Raw_Data!F1262</f>
        <v/>
      </c>
      <c r="G1262">
        <f>Raw_Data!G1262</f>
        <v/>
      </c>
      <c r="H1262">
        <f>Raw_Data!H1262</f>
        <v/>
      </c>
      <c r="I1262">
        <f>Raw_Data!I1262</f>
        <v/>
      </c>
      <c r="J1262" s="12">
        <f>Raw_Data!J1262</f>
        <v/>
      </c>
      <c r="K1262" s="13">
        <f>Raw_Data!K1262</f>
        <v/>
      </c>
      <c r="L1262" s="12">
        <f>Raw_Data!L1262</f>
        <v/>
      </c>
      <c r="M1262" s="12">
        <f>Raw_Data!M1262</f>
        <v/>
      </c>
      <c r="N1262" s="12">
        <f>Raw_Data!N1262</f>
        <v/>
      </c>
      <c r="O1262">
        <f>Raw_Data!O1262</f>
        <v/>
      </c>
      <c r="P1262">
        <f>Raw_Data!P1262</f>
        <v/>
      </c>
      <c r="Q1262">
        <f>YEAR(B1262)</f>
        <v/>
      </c>
      <c r="R1262">
        <f>TEXT(B1262,"mmm")</f>
        <v/>
      </c>
      <c r="S1262" s="15">
        <f>IFERROR(N1262/L1262,0)</f>
        <v/>
      </c>
    </row>
    <row r="1263">
      <c r="A1263">
        <f>Raw_Data!A1263</f>
        <v/>
      </c>
      <c r="B1263" s="11">
        <f>Raw_Data!B1263</f>
        <v/>
      </c>
      <c r="C1263">
        <f>Raw_Data!C1263</f>
        <v/>
      </c>
      <c r="D1263">
        <f>Raw_Data!D1263</f>
        <v/>
      </c>
      <c r="E1263">
        <f>Raw_Data!E1263</f>
        <v/>
      </c>
      <c r="F1263">
        <f>Raw_Data!F1263</f>
        <v/>
      </c>
      <c r="G1263">
        <f>Raw_Data!G1263</f>
        <v/>
      </c>
      <c r="H1263">
        <f>Raw_Data!H1263</f>
        <v/>
      </c>
      <c r="I1263">
        <f>Raw_Data!I1263</f>
        <v/>
      </c>
      <c r="J1263" s="12">
        <f>Raw_Data!J1263</f>
        <v/>
      </c>
      <c r="K1263" s="13">
        <f>Raw_Data!K1263</f>
        <v/>
      </c>
      <c r="L1263" s="12">
        <f>Raw_Data!L1263</f>
        <v/>
      </c>
      <c r="M1263" s="12">
        <f>Raw_Data!M1263</f>
        <v/>
      </c>
      <c r="N1263" s="12">
        <f>Raw_Data!N1263</f>
        <v/>
      </c>
      <c r="O1263">
        <f>Raw_Data!O1263</f>
        <v/>
      </c>
      <c r="P1263">
        <f>Raw_Data!P1263</f>
        <v/>
      </c>
      <c r="Q1263">
        <f>YEAR(B1263)</f>
        <v/>
      </c>
      <c r="R1263">
        <f>TEXT(B1263,"mmm")</f>
        <v/>
      </c>
      <c r="S1263" s="15">
        <f>IFERROR(N1263/L1263,0)</f>
        <v/>
      </c>
    </row>
    <row r="1264">
      <c r="A1264">
        <f>Raw_Data!A1264</f>
        <v/>
      </c>
      <c r="B1264" s="11">
        <f>Raw_Data!B1264</f>
        <v/>
      </c>
      <c r="C1264">
        <f>Raw_Data!C1264</f>
        <v/>
      </c>
      <c r="D1264">
        <f>Raw_Data!D1264</f>
        <v/>
      </c>
      <c r="E1264">
        <f>Raw_Data!E1264</f>
        <v/>
      </c>
      <c r="F1264">
        <f>Raw_Data!F1264</f>
        <v/>
      </c>
      <c r="G1264">
        <f>Raw_Data!G1264</f>
        <v/>
      </c>
      <c r="H1264">
        <f>Raw_Data!H1264</f>
        <v/>
      </c>
      <c r="I1264">
        <f>Raw_Data!I1264</f>
        <v/>
      </c>
      <c r="J1264" s="12">
        <f>Raw_Data!J1264</f>
        <v/>
      </c>
      <c r="K1264" s="13">
        <f>Raw_Data!K1264</f>
        <v/>
      </c>
      <c r="L1264" s="12">
        <f>Raw_Data!L1264</f>
        <v/>
      </c>
      <c r="M1264" s="12">
        <f>Raw_Data!M1264</f>
        <v/>
      </c>
      <c r="N1264" s="12">
        <f>Raw_Data!N1264</f>
        <v/>
      </c>
      <c r="O1264">
        <f>Raw_Data!O1264</f>
        <v/>
      </c>
      <c r="P1264">
        <f>Raw_Data!P1264</f>
        <v/>
      </c>
      <c r="Q1264">
        <f>YEAR(B1264)</f>
        <v/>
      </c>
      <c r="R1264">
        <f>TEXT(B1264,"mmm")</f>
        <v/>
      </c>
      <c r="S1264" s="15">
        <f>IFERROR(N1264/L1264,0)</f>
        <v/>
      </c>
    </row>
    <row r="1265">
      <c r="A1265">
        <f>Raw_Data!A1265</f>
        <v/>
      </c>
      <c r="B1265" s="11">
        <f>Raw_Data!B1265</f>
        <v/>
      </c>
      <c r="C1265">
        <f>Raw_Data!C1265</f>
        <v/>
      </c>
      <c r="D1265">
        <f>Raw_Data!D1265</f>
        <v/>
      </c>
      <c r="E1265">
        <f>Raw_Data!E1265</f>
        <v/>
      </c>
      <c r="F1265">
        <f>Raw_Data!F1265</f>
        <v/>
      </c>
      <c r="G1265">
        <f>Raw_Data!G1265</f>
        <v/>
      </c>
      <c r="H1265">
        <f>Raw_Data!H1265</f>
        <v/>
      </c>
      <c r="I1265">
        <f>Raw_Data!I1265</f>
        <v/>
      </c>
      <c r="J1265" s="12">
        <f>Raw_Data!J1265</f>
        <v/>
      </c>
      <c r="K1265" s="13">
        <f>Raw_Data!K1265</f>
        <v/>
      </c>
      <c r="L1265" s="12">
        <f>Raw_Data!L1265</f>
        <v/>
      </c>
      <c r="M1265" s="12">
        <f>Raw_Data!M1265</f>
        <v/>
      </c>
      <c r="N1265" s="12">
        <f>Raw_Data!N1265</f>
        <v/>
      </c>
      <c r="O1265">
        <f>Raw_Data!O1265</f>
        <v/>
      </c>
      <c r="P1265">
        <f>Raw_Data!P1265</f>
        <v/>
      </c>
      <c r="Q1265">
        <f>YEAR(B1265)</f>
        <v/>
      </c>
      <c r="R1265">
        <f>TEXT(B1265,"mmm")</f>
        <v/>
      </c>
      <c r="S1265" s="15">
        <f>IFERROR(N1265/L1265,0)</f>
        <v/>
      </c>
    </row>
    <row r="1266">
      <c r="A1266">
        <f>Raw_Data!A1266</f>
        <v/>
      </c>
      <c r="B1266" s="11">
        <f>Raw_Data!B1266</f>
        <v/>
      </c>
      <c r="C1266">
        <f>Raw_Data!C1266</f>
        <v/>
      </c>
      <c r="D1266">
        <f>Raw_Data!D1266</f>
        <v/>
      </c>
      <c r="E1266">
        <f>Raw_Data!E1266</f>
        <v/>
      </c>
      <c r="F1266">
        <f>Raw_Data!F1266</f>
        <v/>
      </c>
      <c r="G1266">
        <f>Raw_Data!G1266</f>
        <v/>
      </c>
      <c r="H1266">
        <f>Raw_Data!H1266</f>
        <v/>
      </c>
      <c r="I1266">
        <f>Raw_Data!I1266</f>
        <v/>
      </c>
      <c r="J1266" s="12">
        <f>Raw_Data!J1266</f>
        <v/>
      </c>
      <c r="K1266" s="13">
        <f>Raw_Data!K1266</f>
        <v/>
      </c>
      <c r="L1266" s="12">
        <f>Raw_Data!L1266</f>
        <v/>
      </c>
      <c r="M1266" s="12">
        <f>Raw_Data!M1266</f>
        <v/>
      </c>
      <c r="N1266" s="12">
        <f>Raw_Data!N1266</f>
        <v/>
      </c>
      <c r="O1266">
        <f>Raw_Data!O1266</f>
        <v/>
      </c>
      <c r="P1266">
        <f>Raw_Data!P1266</f>
        <v/>
      </c>
      <c r="Q1266">
        <f>YEAR(B1266)</f>
        <v/>
      </c>
      <c r="R1266">
        <f>TEXT(B1266,"mmm")</f>
        <v/>
      </c>
      <c r="S1266" s="15">
        <f>IFERROR(N1266/L1266,0)</f>
        <v/>
      </c>
    </row>
    <row r="1267">
      <c r="A1267">
        <f>Raw_Data!A1267</f>
        <v/>
      </c>
      <c r="B1267" s="11">
        <f>Raw_Data!B1267</f>
        <v/>
      </c>
      <c r="C1267">
        <f>Raw_Data!C1267</f>
        <v/>
      </c>
      <c r="D1267">
        <f>Raw_Data!D1267</f>
        <v/>
      </c>
      <c r="E1267">
        <f>Raw_Data!E1267</f>
        <v/>
      </c>
      <c r="F1267">
        <f>Raw_Data!F1267</f>
        <v/>
      </c>
      <c r="G1267">
        <f>Raw_Data!G1267</f>
        <v/>
      </c>
      <c r="H1267">
        <f>Raw_Data!H1267</f>
        <v/>
      </c>
      <c r="I1267">
        <f>Raw_Data!I1267</f>
        <v/>
      </c>
      <c r="J1267" s="12">
        <f>Raw_Data!J1267</f>
        <v/>
      </c>
      <c r="K1267" s="13">
        <f>Raw_Data!K1267</f>
        <v/>
      </c>
      <c r="L1267" s="12">
        <f>Raw_Data!L1267</f>
        <v/>
      </c>
      <c r="M1267" s="12">
        <f>Raw_Data!M1267</f>
        <v/>
      </c>
      <c r="N1267" s="12">
        <f>Raw_Data!N1267</f>
        <v/>
      </c>
      <c r="O1267">
        <f>Raw_Data!O1267</f>
        <v/>
      </c>
      <c r="P1267">
        <f>Raw_Data!P1267</f>
        <v/>
      </c>
      <c r="Q1267">
        <f>YEAR(B1267)</f>
        <v/>
      </c>
      <c r="R1267">
        <f>TEXT(B1267,"mmm")</f>
        <v/>
      </c>
      <c r="S1267" s="15">
        <f>IFERROR(N1267/L1267,0)</f>
        <v/>
      </c>
    </row>
    <row r="1268">
      <c r="A1268">
        <f>Raw_Data!A1268</f>
        <v/>
      </c>
      <c r="B1268" s="11">
        <f>Raw_Data!B1268</f>
        <v/>
      </c>
      <c r="C1268">
        <f>Raw_Data!C1268</f>
        <v/>
      </c>
      <c r="D1268">
        <f>Raw_Data!D1268</f>
        <v/>
      </c>
      <c r="E1268">
        <f>Raw_Data!E1268</f>
        <v/>
      </c>
      <c r="F1268">
        <f>Raw_Data!F1268</f>
        <v/>
      </c>
      <c r="G1268">
        <f>Raw_Data!G1268</f>
        <v/>
      </c>
      <c r="H1268">
        <f>Raw_Data!H1268</f>
        <v/>
      </c>
      <c r="I1268">
        <f>Raw_Data!I1268</f>
        <v/>
      </c>
      <c r="J1268" s="12">
        <f>Raw_Data!J1268</f>
        <v/>
      </c>
      <c r="K1268" s="13">
        <f>Raw_Data!K1268</f>
        <v/>
      </c>
      <c r="L1268" s="12">
        <f>Raw_Data!L1268</f>
        <v/>
      </c>
      <c r="M1268" s="12">
        <f>Raw_Data!M1268</f>
        <v/>
      </c>
      <c r="N1268" s="12">
        <f>Raw_Data!N1268</f>
        <v/>
      </c>
      <c r="O1268">
        <f>Raw_Data!O1268</f>
        <v/>
      </c>
      <c r="P1268">
        <f>Raw_Data!P1268</f>
        <v/>
      </c>
      <c r="Q1268">
        <f>YEAR(B1268)</f>
        <v/>
      </c>
      <c r="R1268">
        <f>TEXT(B1268,"mmm")</f>
        <v/>
      </c>
      <c r="S1268" s="15">
        <f>IFERROR(N1268/L1268,0)</f>
        <v/>
      </c>
    </row>
    <row r="1269">
      <c r="A1269">
        <f>Raw_Data!A1269</f>
        <v/>
      </c>
      <c r="B1269" s="11">
        <f>Raw_Data!B1269</f>
        <v/>
      </c>
      <c r="C1269">
        <f>Raw_Data!C1269</f>
        <v/>
      </c>
      <c r="D1269">
        <f>Raw_Data!D1269</f>
        <v/>
      </c>
      <c r="E1269">
        <f>Raw_Data!E1269</f>
        <v/>
      </c>
      <c r="F1269">
        <f>Raw_Data!F1269</f>
        <v/>
      </c>
      <c r="G1269">
        <f>Raw_Data!G1269</f>
        <v/>
      </c>
      <c r="H1269">
        <f>Raw_Data!H1269</f>
        <v/>
      </c>
      <c r="I1269">
        <f>Raw_Data!I1269</f>
        <v/>
      </c>
      <c r="J1269" s="12">
        <f>Raw_Data!J1269</f>
        <v/>
      </c>
      <c r="K1269" s="13">
        <f>Raw_Data!K1269</f>
        <v/>
      </c>
      <c r="L1269" s="12">
        <f>Raw_Data!L1269</f>
        <v/>
      </c>
      <c r="M1269" s="12">
        <f>Raw_Data!M1269</f>
        <v/>
      </c>
      <c r="N1269" s="12">
        <f>Raw_Data!N1269</f>
        <v/>
      </c>
      <c r="O1269">
        <f>Raw_Data!O1269</f>
        <v/>
      </c>
      <c r="P1269">
        <f>Raw_Data!P1269</f>
        <v/>
      </c>
      <c r="Q1269">
        <f>YEAR(B1269)</f>
        <v/>
      </c>
      <c r="R1269">
        <f>TEXT(B1269,"mmm")</f>
        <v/>
      </c>
      <c r="S1269" s="15">
        <f>IFERROR(N1269/L1269,0)</f>
        <v/>
      </c>
    </row>
    <row r="1270">
      <c r="A1270">
        <f>Raw_Data!A1270</f>
        <v/>
      </c>
      <c r="B1270" s="11">
        <f>Raw_Data!B1270</f>
        <v/>
      </c>
      <c r="C1270">
        <f>Raw_Data!C1270</f>
        <v/>
      </c>
      <c r="D1270">
        <f>Raw_Data!D1270</f>
        <v/>
      </c>
      <c r="E1270">
        <f>Raw_Data!E1270</f>
        <v/>
      </c>
      <c r="F1270">
        <f>Raw_Data!F1270</f>
        <v/>
      </c>
      <c r="G1270">
        <f>Raw_Data!G1270</f>
        <v/>
      </c>
      <c r="H1270">
        <f>Raw_Data!H1270</f>
        <v/>
      </c>
      <c r="I1270">
        <f>Raw_Data!I1270</f>
        <v/>
      </c>
      <c r="J1270" s="12">
        <f>Raw_Data!J1270</f>
        <v/>
      </c>
      <c r="K1270" s="13">
        <f>Raw_Data!K1270</f>
        <v/>
      </c>
      <c r="L1270" s="12">
        <f>Raw_Data!L1270</f>
        <v/>
      </c>
      <c r="M1270" s="12">
        <f>Raw_Data!M1270</f>
        <v/>
      </c>
      <c r="N1270" s="12">
        <f>Raw_Data!N1270</f>
        <v/>
      </c>
      <c r="O1270">
        <f>Raw_Data!O1270</f>
        <v/>
      </c>
      <c r="P1270">
        <f>Raw_Data!P1270</f>
        <v/>
      </c>
      <c r="Q1270">
        <f>YEAR(B1270)</f>
        <v/>
      </c>
      <c r="R1270">
        <f>TEXT(B1270,"mmm")</f>
        <v/>
      </c>
      <c r="S1270" s="15">
        <f>IFERROR(N1270/L1270,0)</f>
        <v/>
      </c>
    </row>
    <row r="1271">
      <c r="A1271">
        <f>Raw_Data!A1271</f>
        <v/>
      </c>
      <c r="B1271" s="11">
        <f>Raw_Data!B1271</f>
        <v/>
      </c>
      <c r="C1271">
        <f>Raw_Data!C1271</f>
        <v/>
      </c>
      <c r="D1271">
        <f>Raw_Data!D1271</f>
        <v/>
      </c>
      <c r="E1271">
        <f>Raw_Data!E1271</f>
        <v/>
      </c>
      <c r="F1271">
        <f>Raw_Data!F1271</f>
        <v/>
      </c>
      <c r="G1271">
        <f>Raw_Data!G1271</f>
        <v/>
      </c>
      <c r="H1271">
        <f>Raw_Data!H1271</f>
        <v/>
      </c>
      <c r="I1271">
        <f>Raw_Data!I1271</f>
        <v/>
      </c>
      <c r="J1271" s="12">
        <f>Raw_Data!J1271</f>
        <v/>
      </c>
      <c r="K1271" s="13">
        <f>Raw_Data!K1271</f>
        <v/>
      </c>
      <c r="L1271" s="12">
        <f>Raw_Data!L1271</f>
        <v/>
      </c>
      <c r="M1271" s="12">
        <f>Raw_Data!M1271</f>
        <v/>
      </c>
      <c r="N1271" s="12">
        <f>Raw_Data!N1271</f>
        <v/>
      </c>
      <c r="O1271">
        <f>Raw_Data!O1271</f>
        <v/>
      </c>
      <c r="P1271">
        <f>Raw_Data!P1271</f>
        <v/>
      </c>
      <c r="Q1271">
        <f>YEAR(B1271)</f>
        <v/>
      </c>
      <c r="R1271">
        <f>TEXT(B1271,"mmm")</f>
        <v/>
      </c>
      <c r="S1271" s="15">
        <f>IFERROR(N1271/L1271,0)</f>
        <v/>
      </c>
    </row>
    <row r="1272">
      <c r="A1272">
        <f>Raw_Data!A1272</f>
        <v/>
      </c>
      <c r="B1272" s="11">
        <f>Raw_Data!B1272</f>
        <v/>
      </c>
      <c r="C1272">
        <f>Raw_Data!C1272</f>
        <v/>
      </c>
      <c r="D1272">
        <f>Raw_Data!D1272</f>
        <v/>
      </c>
      <c r="E1272">
        <f>Raw_Data!E1272</f>
        <v/>
      </c>
      <c r="F1272">
        <f>Raw_Data!F1272</f>
        <v/>
      </c>
      <c r="G1272">
        <f>Raw_Data!G1272</f>
        <v/>
      </c>
      <c r="H1272">
        <f>Raw_Data!H1272</f>
        <v/>
      </c>
      <c r="I1272">
        <f>Raw_Data!I1272</f>
        <v/>
      </c>
      <c r="J1272" s="12">
        <f>Raw_Data!J1272</f>
        <v/>
      </c>
      <c r="K1272" s="13">
        <f>Raw_Data!K1272</f>
        <v/>
      </c>
      <c r="L1272" s="12">
        <f>Raw_Data!L1272</f>
        <v/>
      </c>
      <c r="M1272" s="12">
        <f>Raw_Data!M1272</f>
        <v/>
      </c>
      <c r="N1272" s="12">
        <f>Raw_Data!N1272</f>
        <v/>
      </c>
      <c r="O1272">
        <f>Raw_Data!O1272</f>
        <v/>
      </c>
      <c r="P1272">
        <f>Raw_Data!P1272</f>
        <v/>
      </c>
      <c r="Q1272">
        <f>YEAR(B1272)</f>
        <v/>
      </c>
      <c r="R1272">
        <f>TEXT(B1272,"mmm")</f>
        <v/>
      </c>
      <c r="S1272" s="15">
        <f>IFERROR(N1272/L1272,0)</f>
        <v/>
      </c>
    </row>
    <row r="1273">
      <c r="A1273">
        <f>Raw_Data!A1273</f>
        <v/>
      </c>
      <c r="B1273" s="11">
        <f>Raw_Data!B1273</f>
        <v/>
      </c>
      <c r="C1273">
        <f>Raw_Data!C1273</f>
        <v/>
      </c>
      <c r="D1273">
        <f>Raw_Data!D1273</f>
        <v/>
      </c>
      <c r="E1273">
        <f>Raw_Data!E1273</f>
        <v/>
      </c>
      <c r="F1273">
        <f>Raw_Data!F1273</f>
        <v/>
      </c>
      <c r="G1273">
        <f>Raw_Data!G1273</f>
        <v/>
      </c>
      <c r="H1273">
        <f>Raw_Data!H1273</f>
        <v/>
      </c>
      <c r="I1273">
        <f>Raw_Data!I1273</f>
        <v/>
      </c>
      <c r="J1273" s="12">
        <f>Raw_Data!J1273</f>
        <v/>
      </c>
      <c r="K1273" s="13">
        <f>Raw_Data!K1273</f>
        <v/>
      </c>
      <c r="L1273" s="12">
        <f>Raw_Data!L1273</f>
        <v/>
      </c>
      <c r="M1273" s="12">
        <f>Raw_Data!M1273</f>
        <v/>
      </c>
      <c r="N1273" s="12">
        <f>Raw_Data!N1273</f>
        <v/>
      </c>
      <c r="O1273">
        <f>Raw_Data!O1273</f>
        <v/>
      </c>
      <c r="P1273">
        <f>Raw_Data!P1273</f>
        <v/>
      </c>
      <c r="Q1273">
        <f>YEAR(B1273)</f>
        <v/>
      </c>
      <c r="R1273">
        <f>TEXT(B1273,"mmm")</f>
        <v/>
      </c>
      <c r="S1273" s="15">
        <f>IFERROR(N1273/L1273,0)</f>
        <v/>
      </c>
    </row>
    <row r="1274">
      <c r="A1274">
        <f>Raw_Data!A1274</f>
        <v/>
      </c>
      <c r="B1274" s="11">
        <f>Raw_Data!B1274</f>
        <v/>
      </c>
      <c r="C1274">
        <f>Raw_Data!C1274</f>
        <v/>
      </c>
      <c r="D1274">
        <f>Raw_Data!D1274</f>
        <v/>
      </c>
      <c r="E1274">
        <f>Raw_Data!E1274</f>
        <v/>
      </c>
      <c r="F1274">
        <f>Raw_Data!F1274</f>
        <v/>
      </c>
      <c r="G1274">
        <f>Raw_Data!G1274</f>
        <v/>
      </c>
      <c r="H1274">
        <f>Raw_Data!H1274</f>
        <v/>
      </c>
      <c r="I1274">
        <f>Raw_Data!I1274</f>
        <v/>
      </c>
      <c r="J1274" s="12">
        <f>Raw_Data!J1274</f>
        <v/>
      </c>
      <c r="K1274" s="13">
        <f>Raw_Data!K1274</f>
        <v/>
      </c>
      <c r="L1274" s="12">
        <f>Raw_Data!L1274</f>
        <v/>
      </c>
      <c r="M1274" s="12">
        <f>Raw_Data!M1274</f>
        <v/>
      </c>
      <c r="N1274" s="12">
        <f>Raw_Data!N1274</f>
        <v/>
      </c>
      <c r="O1274">
        <f>Raw_Data!O1274</f>
        <v/>
      </c>
      <c r="P1274">
        <f>Raw_Data!P1274</f>
        <v/>
      </c>
      <c r="Q1274">
        <f>YEAR(B1274)</f>
        <v/>
      </c>
      <c r="R1274">
        <f>TEXT(B1274,"mmm")</f>
        <v/>
      </c>
      <c r="S1274" s="15">
        <f>IFERROR(N1274/L1274,0)</f>
        <v/>
      </c>
    </row>
    <row r="1275">
      <c r="A1275">
        <f>Raw_Data!A1275</f>
        <v/>
      </c>
      <c r="B1275" s="11">
        <f>Raw_Data!B1275</f>
        <v/>
      </c>
      <c r="C1275">
        <f>Raw_Data!C1275</f>
        <v/>
      </c>
      <c r="D1275">
        <f>Raw_Data!D1275</f>
        <v/>
      </c>
      <c r="E1275">
        <f>Raw_Data!E1275</f>
        <v/>
      </c>
      <c r="F1275">
        <f>Raw_Data!F1275</f>
        <v/>
      </c>
      <c r="G1275">
        <f>Raw_Data!G1275</f>
        <v/>
      </c>
      <c r="H1275">
        <f>Raw_Data!H1275</f>
        <v/>
      </c>
      <c r="I1275">
        <f>Raw_Data!I1275</f>
        <v/>
      </c>
      <c r="J1275" s="12">
        <f>Raw_Data!J1275</f>
        <v/>
      </c>
      <c r="K1275" s="13">
        <f>Raw_Data!K1275</f>
        <v/>
      </c>
      <c r="L1275" s="12">
        <f>Raw_Data!L1275</f>
        <v/>
      </c>
      <c r="M1275" s="12">
        <f>Raw_Data!M1275</f>
        <v/>
      </c>
      <c r="N1275" s="12">
        <f>Raw_Data!N1275</f>
        <v/>
      </c>
      <c r="O1275">
        <f>Raw_Data!O1275</f>
        <v/>
      </c>
      <c r="P1275">
        <f>Raw_Data!P1275</f>
        <v/>
      </c>
      <c r="Q1275">
        <f>YEAR(B1275)</f>
        <v/>
      </c>
      <c r="R1275">
        <f>TEXT(B1275,"mmm")</f>
        <v/>
      </c>
      <c r="S1275" s="15">
        <f>IFERROR(N1275/L1275,0)</f>
        <v/>
      </c>
    </row>
    <row r="1276">
      <c r="A1276">
        <f>Raw_Data!A1276</f>
        <v/>
      </c>
      <c r="B1276" s="11">
        <f>Raw_Data!B1276</f>
        <v/>
      </c>
      <c r="C1276">
        <f>Raw_Data!C1276</f>
        <v/>
      </c>
      <c r="D1276">
        <f>Raw_Data!D1276</f>
        <v/>
      </c>
      <c r="E1276">
        <f>Raw_Data!E1276</f>
        <v/>
      </c>
      <c r="F1276">
        <f>Raw_Data!F1276</f>
        <v/>
      </c>
      <c r="G1276">
        <f>Raw_Data!G1276</f>
        <v/>
      </c>
      <c r="H1276">
        <f>Raw_Data!H1276</f>
        <v/>
      </c>
      <c r="I1276">
        <f>Raw_Data!I1276</f>
        <v/>
      </c>
      <c r="J1276" s="12">
        <f>Raw_Data!J1276</f>
        <v/>
      </c>
      <c r="K1276" s="13">
        <f>Raw_Data!K1276</f>
        <v/>
      </c>
      <c r="L1276" s="12">
        <f>Raw_Data!L1276</f>
        <v/>
      </c>
      <c r="M1276" s="12">
        <f>Raw_Data!M1276</f>
        <v/>
      </c>
      <c r="N1276" s="12">
        <f>Raw_Data!N1276</f>
        <v/>
      </c>
      <c r="O1276">
        <f>Raw_Data!O1276</f>
        <v/>
      </c>
      <c r="P1276">
        <f>Raw_Data!P1276</f>
        <v/>
      </c>
      <c r="Q1276">
        <f>YEAR(B1276)</f>
        <v/>
      </c>
      <c r="R1276">
        <f>TEXT(B1276,"mmm")</f>
        <v/>
      </c>
      <c r="S1276" s="15">
        <f>IFERROR(N1276/L1276,0)</f>
        <v/>
      </c>
    </row>
    <row r="1277">
      <c r="A1277">
        <f>Raw_Data!A1277</f>
        <v/>
      </c>
      <c r="B1277" s="11">
        <f>Raw_Data!B1277</f>
        <v/>
      </c>
      <c r="C1277">
        <f>Raw_Data!C1277</f>
        <v/>
      </c>
      <c r="D1277">
        <f>Raw_Data!D1277</f>
        <v/>
      </c>
      <c r="E1277">
        <f>Raw_Data!E1277</f>
        <v/>
      </c>
      <c r="F1277">
        <f>Raw_Data!F1277</f>
        <v/>
      </c>
      <c r="G1277">
        <f>Raw_Data!G1277</f>
        <v/>
      </c>
      <c r="H1277">
        <f>Raw_Data!H1277</f>
        <v/>
      </c>
      <c r="I1277">
        <f>Raw_Data!I1277</f>
        <v/>
      </c>
      <c r="J1277" s="12">
        <f>Raw_Data!J1277</f>
        <v/>
      </c>
      <c r="K1277" s="13">
        <f>Raw_Data!K1277</f>
        <v/>
      </c>
      <c r="L1277" s="12">
        <f>Raw_Data!L1277</f>
        <v/>
      </c>
      <c r="M1277" s="12">
        <f>Raw_Data!M1277</f>
        <v/>
      </c>
      <c r="N1277" s="12">
        <f>Raw_Data!N1277</f>
        <v/>
      </c>
      <c r="O1277">
        <f>Raw_Data!O1277</f>
        <v/>
      </c>
      <c r="P1277">
        <f>Raw_Data!P1277</f>
        <v/>
      </c>
      <c r="Q1277">
        <f>YEAR(B1277)</f>
        <v/>
      </c>
      <c r="R1277">
        <f>TEXT(B1277,"mmm")</f>
        <v/>
      </c>
      <c r="S1277" s="15">
        <f>IFERROR(N1277/L1277,0)</f>
        <v/>
      </c>
    </row>
    <row r="1278">
      <c r="A1278">
        <f>Raw_Data!A1278</f>
        <v/>
      </c>
      <c r="B1278" s="11">
        <f>Raw_Data!B1278</f>
        <v/>
      </c>
      <c r="C1278">
        <f>Raw_Data!C1278</f>
        <v/>
      </c>
      <c r="D1278">
        <f>Raw_Data!D1278</f>
        <v/>
      </c>
      <c r="E1278">
        <f>Raw_Data!E1278</f>
        <v/>
      </c>
      <c r="F1278">
        <f>Raw_Data!F1278</f>
        <v/>
      </c>
      <c r="G1278">
        <f>Raw_Data!G1278</f>
        <v/>
      </c>
      <c r="H1278">
        <f>Raw_Data!H1278</f>
        <v/>
      </c>
      <c r="I1278">
        <f>Raw_Data!I1278</f>
        <v/>
      </c>
      <c r="J1278" s="12">
        <f>Raw_Data!J1278</f>
        <v/>
      </c>
      <c r="K1278" s="13">
        <f>Raw_Data!K1278</f>
        <v/>
      </c>
      <c r="L1278" s="12">
        <f>Raw_Data!L1278</f>
        <v/>
      </c>
      <c r="M1278" s="12">
        <f>Raw_Data!M1278</f>
        <v/>
      </c>
      <c r="N1278" s="12">
        <f>Raw_Data!N1278</f>
        <v/>
      </c>
      <c r="O1278">
        <f>Raw_Data!O1278</f>
        <v/>
      </c>
      <c r="P1278">
        <f>Raw_Data!P1278</f>
        <v/>
      </c>
      <c r="Q1278">
        <f>YEAR(B1278)</f>
        <v/>
      </c>
      <c r="R1278">
        <f>TEXT(B1278,"mmm")</f>
        <v/>
      </c>
      <c r="S1278" s="15">
        <f>IFERROR(N1278/L1278,0)</f>
        <v/>
      </c>
    </row>
    <row r="1279">
      <c r="A1279">
        <f>Raw_Data!A1279</f>
        <v/>
      </c>
      <c r="B1279" s="11">
        <f>Raw_Data!B1279</f>
        <v/>
      </c>
      <c r="C1279">
        <f>Raw_Data!C1279</f>
        <v/>
      </c>
      <c r="D1279">
        <f>Raw_Data!D1279</f>
        <v/>
      </c>
      <c r="E1279">
        <f>Raw_Data!E1279</f>
        <v/>
      </c>
      <c r="F1279">
        <f>Raw_Data!F1279</f>
        <v/>
      </c>
      <c r="G1279">
        <f>Raw_Data!G1279</f>
        <v/>
      </c>
      <c r="H1279">
        <f>Raw_Data!H1279</f>
        <v/>
      </c>
      <c r="I1279">
        <f>Raw_Data!I1279</f>
        <v/>
      </c>
      <c r="J1279" s="12">
        <f>Raw_Data!J1279</f>
        <v/>
      </c>
      <c r="K1279" s="13">
        <f>Raw_Data!K1279</f>
        <v/>
      </c>
      <c r="L1279" s="12">
        <f>Raw_Data!L1279</f>
        <v/>
      </c>
      <c r="M1279" s="12">
        <f>Raw_Data!M1279</f>
        <v/>
      </c>
      <c r="N1279" s="12">
        <f>Raw_Data!N1279</f>
        <v/>
      </c>
      <c r="O1279">
        <f>Raw_Data!O1279</f>
        <v/>
      </c>
      <c r="P1279">
        <f>Raw_Data!P1279</f>
        <v/>
      </c>
      <c r="Q1279">
        <f>YEAR(B1279)</f>
        <v/>
      </c>
      <c r="R1279">
        <f>TEXT(B1279,"mmm")</f>
        <v/>
      </c>
      <c r="S1279" s="15">
        <f>IFERROR(N1279/L1279,0)</f>
        <v/>
      </c>
    </row>
    <row r="1280">
      <c r="A1280">
        <f>Raw_Data!A1280</f>
        <v/>
      </c>
      <c r="B1280" s="11">
        <f>Raw_Data!B1280</f>
        <v/>
      </c>
      <c r="C1280">
        <f>Raw_Data!C1280</f>
        <v/>
      </c>
      <c r="D1280">
        <f>Raw_Data!D1280</f>
        <v/>
      </c>
      <c r="E1280">
        <f>Raw_Data!E1280</f>
        <v/>
      </c>
      <c r="F1280">
        <f>Raw_Data!F1280</f>
        <v/>
      </c>
      <c r="G1280">
        <f>Raw_Data!G1280</f>
        <v/>
      </c>
      <c r="H1280">
        <f>Raw_Data!H1280</f>
        <v/>
      </c>
      <c r="I1280">
        <f>Raw_Data!I1280</f>
        <v/>
      </c>
      <c r="J1280" s="12">
        <f>Raw_Data!J1280</f>
        <v/>
      </c>
      <c r="K1280" s="13">
        <f>Raw_Data!K1280</f>
        <v/>
      </c>
      <c r="L1280" s="12">
        <f>Raw_Data!L1280</f>
        <v/>
      </c>
      <c r="M1280" s="12">
        <f>Raw_Data!M1280</f>
        <v/>
      </c>
      <c r="N1280" s="12">
        <f>Raw_Data!N1280</f>
        <v/>
      </c>
      <c r="O1280">
        <f>Raw_Data!O1280</f>
        <v/>
      </c>
      <c r="P1280">
        <f>Raw_Data!P1280</f>
        <v/>
      </c>
      <c r="Q1280">
        <f>YEAR(B1280)</f>
        <v/>
      </c>
      <c r="R1280">
        <f>TEXT(B1280,"mmm")</f>
        <v/>
      </c>
      <c r="S1280" s="15">
        <f>IFERROR(N1280/L1280,0)</f>
        <v/>
      </c>
    </row>
    <row r="1281">
      <c r="A1281">
        <f>Raw_Data!A1281</f>
        <v/>
      </c>
      <c r="B1281" s="11">
        <f>Raw_Data!B1281</f>
        <v/>
      </c>
      <c r="C1281">
        <f>Raw_Data!C1281</f>
        <v/>
      </c>
      <c r="D1281">
        <f>Raw_Data!D1281</f>
        <v/>
      </c>
      <c r="E1281">
        <f>Raw_Data!E1281</f>
        <v/>
      </c>
      <c r="F1281">
        <f>Raw_Data!F1281</f>
        <v/>
      </c>
      <c r="G1281">
        <f>Raw_Data!G1281</f>
        <v/>
      </c>
      <c r="H1281">
        <f>Raw_Data!H1281</f>
        <v/>
      </c>
      <c r="I1281">
        <f>Raw_Data!I1281</f>
        <v/>
      </c>
      <c r="J1281" s="12">
        <f>Raw_Data!J1281</f>
        <v/>
      </c>
      <c r="K1281" s="13">
        <f>Raw_Data!K1281</f>
        <v/>
      </c>
      <c r="L1281" s="12">
        <f>Raw_Data!L1281</f>
        <v/>
      </c>
      <c r="M1281" s="12">
        <f>Raw_Data!M1281</f>
        <v/>
      </c>
      <c r="N1281" s="12">
        <f>Raw_Data!N1281</f>
        <v/>
      </c>
      <c r="O1281">
        <f>Raw_Data!O1281</f>
        <v/>
      </c>
      <c r="P1281">
        <f>Raw_Data!P1281</f>
        <v/>
      </c>
      <c r="Q1281">
        <f>YEAR(B1281)</f>
        <v/>
      </c>
      <c r="R1281">
        <f>TEXT(B1281,"mmm")</f>
        <v/>
      </c>
      <c r="S1281" s="15">
        <f>IFERROR(N1281/L1281,0)</f>
        <v/>
      </c>
    </row>
    <row r="1282">
      <c r="A1282">
        <f>Raw_Data!A1282</f>
        <v/>
      </c>
      <c r="B1282" s="11">
        <f>Raw_Data!B1282</f>
        <v/>
      </c>
      <c r="C1282">
        <f>Raw_Data!C1282</f>
        <v/>
      </c>
      <c r="D1282">
        <f>Raw_Data!D1282</f>
        <v/>
      </c>
      <c r="E1282">
        <f>Raw_Data!E1282</f>
        <v/>
      </c>
      <c r="F1282">
        <f>Raw_Data!F1282</f>
        <v/>
      </c>
      <c r="G1282">
        <f>Raw_Data!G1282</f>
        <v/>
      </c>
      <c r="H1282">
        <f>Raw_Data!H1282</f>
        <v/>
      </c>
      <c r="I1282">
        <f>Raw_Data!I1282</f>
        <v/>
      </c>
      <c r="J1282" s="12">
        <f>Raw_Data!J1282</f>
        <v/>
      </c>
      <c r="K1282" s="13">
        <f>Raw_Data!K1282</f>
        <v/>
      </c>
      <c r="L1282" s="12">
        <f>Raw_Data!L1282</f>
        <v/>
      </c>
      <c r="M1282" s="12">
        <f>Raw_Data!M1282</f>
        <v/>
      </c>
      <c r="N1282" s="12">
        <f>Raw_Data!N1282</f>
        <v/>
      </c>
      <c r="O1282">
        <f>Raw_Data!O1282</f>
        <v/>
      </c>
      <c r="P1282">
        <f>Raw_Data!P1282</f>
        <v/>
      </c>
      <c r="Q1282">
        <f>YEAR(B1282)</f>
        <v/>
      </c>
      <c r="R1282">
        <f>TEXT(B1282,"mmm")</f>
        <v/>
      </c>
      <c r="S1282" s="15">
        <f>IFERROR(N1282/L1282,0)</f>
        <v/>
      </c>
    </row>
    <row r="1283">
      <c r="A1283">
        <f>Raw_Data!A1283</f>
        <v/>
      </c>
      <c r="B1283" s="11">
        <f>Raw_Data!B1283</f>
        <v/>
      </c>
      <c r="C1283">
        <f>Raw_Data!C1283</f>
        <v/>
      </c>
      <c r="D1283">
        <f>Raw_Data!D1283</f>
        <v/>
      </c>
      <c r="E1283">
        <f>Raw_Data!E1283</f>
        <v/>
      </c>
      <c r="F1283">
        <f>Raw_Data!F1283</f>
        <v/>
      </c>
      <c r="G1283">
        <f>Raw_Data!G1283</f>
        <v/>
      </c>
      <c r="H1283">
        <f>Raw_Data!H1283</f>
        <v/>
      </c>
      <c r="I1283">
        <f>Raw_Data!I1283</f>
        <v/>
      </c>
      <c r="J1283" s="12">
        <f>Raw_Data!J1283</f>
        <v/>
      </c>
      <c r="K1283" s="13">
        <f>Raw_Data!K1283</f>
        <v/>
      </c>
      <c r="L1283" s="12">
        <f>Raw_Data!L1283</f>
        <v/>
      </c>
      <c r="M1283" s="12">
        <f>Raw_Data!M1283</f>
        <v/>
      </c>
      <c r="N1283" s="12">
        <f>Raw_Data!N1283</f>
        <v/>
      </c>
      <c r="O1283">
        <f>Raw_Data!O1283</f>
        <v/>
      </c>
      <c r="P1283">
        <f>Raw_Data!P1283</f>
        <v/>
      </c>
      <c r="Q1283">
        <f>YEAR(B1283)</f>
        <v/>
      </c>
      <c r="R1283">
        <f>TEXT(B1283,"mmm")</f>
        <v/>
      </c>
      <c r="S1283" s="15">
        <f>IFERROR(N1283/L1283,0)</f>
        <v/>
      </c>
    </row>
    <row r="1284">
      <c r="A1284">
        <f>Raw_Data!A1284</f>
        <v/>
      </c>
      <c r="B1284" s="11">
        <f>Raw_Data!B1284</f>
        <v/>
      </c>
      <c r="C1284">
        <f>Raw_Data!C1284</f>
        <v/>
      </c>
      <c r="D1284">
        <f>Raw_Data!D1284</f>
        <v/>
      </c>
      <c r="E1284">
        <f>Raw_Data!E1284</f>
        <v/>
      </c>
      <c r="F1284">
        <f>Raw_Data!F1284</f>
        <v/>
      </c>
      <c r="G1284">
        <f>Raw_Data!G1284</f>
        <v/>
      </c>
      <c r="H1284">
        <f>Raw_Data!H1284</f>
        <v/>
      </c>
      <c r="I1284">
        <f>Raw_Data!I1284</f>
        <v/>
      </c>
      <c r="J1284" s="12">
        <f>Raw_Data!J1284</f>
        <v/>
      </c>
      <c r="K1284" s="13">
        <f>Raw_Data!K1284</f>
        <v/>
      </c>
      <c r="L1284" s="12">
        <f>Raw_Data!L1284</f>
        <v/>
      </c>
      <c r="M1284" s="12">
        <f>Raw_Data!M1284</f>
        <v/>
      </c>
      <c r="N1284" s="12">
        <f>Raw_Data!N1284</f>
        <v/>
      </c>
      <c r="O1284">
        <f>Raw_Data!O1284</f>
        <v/>
      </c>
      <c r="P1284">
        <f>Raw_Data!P1284</f>
        <v/>
      </c>
      <c r="Q1284">
        <f>YEAR(B1284)</f>
        <v/>
      </c>
      <c r="R1284">
        <f>TEXT(B1284,"mmm")</f>
        <v/>
      </c>
      <c r="S1284" s="15">
        <f>IFERROR(N1284/L1284,0)</f>
        <v/>
      </c>
    </row>
    <row r="1285">
      <c r="A1285">
        <f>Raw_Data!A1285</f>
        <v/>
      </c>
      <c r="B1285" s="11">
        <f>Raw_Data!B1285</f>
        <v/>
      </c>
      <c r="C1285">
        <f>Raw_Data!C1285</f>
        <v/>
      </c>
      <c r="D1285">
        <f>Raw_Data!D1285</f>
        <v/>
      </c>
      <c r="E1285">
        <f>Raw_Data!E1285</f>
        <v/>
      </c>
      <c r="F1285">
        <f>Raw_Data!F1285</f>
        <v/>
      </c>
      <c r="G1285">
        <f>Raw_Data!G1285</f>
        <v/>
      </c>
      <c r="H1285">
        <f>Raw_Data!H1285</f>
        <v/>
      </c>
      <c r="I1285">
        <f>Raw_Data!I1285</f>
        <v/>
      </c>
      <c r="J1285" s="12">
        <f>Raw_Data!J1285</f>
        <v/>
      </c>
      <c r="K1285" s="13">
        <f>Raw_Data!K1285</f>
        <v/>
      </c>
      <c r="L1285" s="12">
        <f>Raw_Data!L1285</f>
        <v/>
      </c>
      <c r="M1285" s="12">
        <f>Raw_Data!M1285</f>
        <v/>
      </c>
      <c r="N1285" s="12">
        <f>Raw_Data!N1285</f>
        <v/>
      </c>
      <c r="O1285">
        <f>Raw_Data!O1285</f>
        <v/>
      </c>
      <c r="P1285">
        <f>Raw_Data!P1285</f>
        <v/>
      </c>
      <c r="Q1285">
        <f>YEAR(B1285)</f>
        <v/>
      </c>
      <c r="R1285">
        <f>TEXT(B1285,"mmm")</f>
        <v/>
      </c>
      <c r="S1285" s="15">
        <f>IFERROR(N1285/L1285,0)</f>
        <v/>
      </c>
    </row>
    <row r="1286">
      <c r="A1286">
        <f>Raw_Data!A1286</f>
        <v/>
      </c>
      <c r="B1286" s="11">
        <f>Raw_Data!B1286</f>
        <v/>
      </c>
      <c r="C1286">
        <f>Raw_Data!C1286</f>
        <v/>
      </c>
      <c r="D1286">
        <f>Raw_Data!D1286</f>
        <v/>
      </c>
      <c r="E1286">
        <f>Raw_Data!E1286</f>
        <v/>
      </c>
      <c r="F1286">
        <f>Raw_Data!F1286</f>
        <v/>
      </c>
      <c r="G1286">
        <f>Raw_Data!G1286</f>
        <v/>
      </c>
      <c r="H1286">
        <f>Raw_Data!H1286</f>
        <v/>
      </c>
      <c r="I1286">
        <f>Raw_Data!I1286</f>
        <v/>
      </c>
      <c r="J1286" s="12">
        <f>Raw_Data!J1286</f>
        <v/>
      </c>
      <c r="K1286" s="13">
        <f>Raw_Data!K1286</f>
        <v/>
      </c>
      <c r="L1286" s="12">
        <f>Raw_Data!L1286</f>
        <v/>
      </c>
      <c r="M1286" s="12">
        <f>Raw_Data!M1286</f>
        <v/>
      </c>
      <c r="N1286" s="12">
        <f>Raw_Data!N1286</f>
        <v/>
      </c>
      <c r="O1286">
        <f>Raw_Data!O1286</f>
        <v/>
      </c>
      <c r="P1286">
        <f>Raw_Data!P1286</f>
        <v/>
      </c>
      <c r="Q1286">
        <f>YEAR(B1286)</f>
        <v/>
      </c>
      <c r="R1286">
        <f>TEXT(B1286,"mmm")</f>
        <v/>
      </c>
      <c r="S1286" s="15">
        <f>IFERROR(N1286/L1286,0)</f>
        <v/>
      </c>
    </row>
    <row r="1287">
      <c r="A1287">
        <f>Raw_Data!A1287</f>
        <v/>
      </c>
      <c r="B1287" s="11">
        <f>Raw_Data!B1287</f>
        <v/>
      </c>
      <c r="C1287">
        <f>Raw_Data!C1287</f>
        <v/>
      </c>
      <c r="D1287">
        <f>Raw_Data!D1287</f>
        <v/>
      </c>
      <c r="E1287">
        <f>Raw_Data!E1287</f>
        <v/>
      </c>
      <c r="F1287">
        <f>Raw_Data!F1287</f>
        <v/>
      </c>
      <c r="G1287">
        <f>Raw_Data!G1287</f>
        <v/>
      </c>
      <c r="H1287">
        <f>Raw_Data!H1287</f>
        <v/>
      </c>
      <c r="I1287">
        <f>Raw_Data!I1287</f>
        <v/>
      </c>
      <c r="J1287" s="12">
        <f>Raw_Data!J1287</f>
        <v/>
      </c>
      <c r="K1287" s="13">
        <f>Raw_Data!K1287</f>
        <v/>
      </c>
      <c r="L1287" s="12">
        <f>Raw_Data!L1287</f>
        <v/>
      </c>
      <c r="M1287" s="12">
        <f>Raw_Data!M1287</f>
        <v/>
      </c>
      <c r="N1287" s="12">
        <f>Raw_Data!N1287</f>
        <v/>
      </c>
      <c r="O1287">
        <f>Raw_Data!O1287</f>
        <v/>
      </c>
      <c r="P1287">
        <f>Raw_Data!P1287</f>
        <v/>
      </c>
      <c r="Q1287">
        <f>YEAR(B1287)</f>
        <v/>
      </c>
      <c r="R1287">
        <f>TEXT(B1287,"mmm")</f>
        <v/>
      </c>
      <c r="S1287" s="15">
        <f>IFERROR(N1287/L1287,0)</f>
        <v/>
      </c>
    </row>
    <row r="1288">
      <c r="A1288">
        <f>Raw_Data!A1288</f>
        <v/>
      </c>
      <c r="B1288" s="11">
        <f>Raw_Data!B1288</f>
        <v/>
      </c>
      <c r="C1288">
        <f>Raw_Data!C1288</f>
        <v/>
      </c>
      <c r="D1288">
        <f>Raw_Data!D1288</f>
        <v/>
      </c>
      <c r="E1288">
        <f>Raw_Data!E1288</f>
        <v/>
      </c>
      <c r="F1288">
        <f>Raw_Data!F1288</f>
        <v/>
      </c>
      <c r="G1288">
        <f>Raw_Data!G1288</f>
        <v/>
      </c>
      <c r="H1288">
        <f>Raw_Data!H1288</f>
        <v/>
      </c>
      <c r="I1288">
        <f>Raw_Data!I1288</f>
        <v/>
      </c>
      <c r="J1288" s="12">
        <f>Raw_Data!J1288</f>
        <v/>
      </c>
      <c r="K1288" s="13">
        <f>Raw_Data!K1288</f>
        <v/>
      </c>
      <c r="L1288" s="12">
        <f>Raw_Data!L1288</f>
        <v/>
      </c>
      <c r="M1288" s="12">
        <f>Raw_Data!M1288</f>
        <v/>
      </c>
      <c r="N1288" s="12">
        <f>Raw_Data!N1288</f>
        <v/>
      </c>
      <c r="O1288">
        <f>Raw_Data!O1288</f>
        <v/>
      </c>
      <c r="P1288">
        <f>Raw_Data!P1288</f>
        <v/>
      </c>
      <c r="Q1288">
        <f>YEAR(B1288)</f>
        <v/>
      </c>
      <c r="R1288">
        <f>TEXT(B1288,"mmm")</f>
        <v/>
      </c>
      <c r="S1288" s="15">
        <f>IFERROR(N1288/L1288,0)</f>
        <v/>
      </c>
    </row>
    <row r="1289">
      <c r="A1289">
        <f>Raw_Data!A1289</f>
        <v/>
      </c>
      <c r="B1289" s="11">
        <f>Raw_Data!B1289</f>
        <v/>
      </c>
      <c r="C1289">
        <f>Raw_Data!C1289</f>
        <v/>
      </c>
      <c r="D1289">
        <f>Raw_Data!D1289</f>
        <v/>
      </c>
      <c r="E1289">
        <f>Raw_Data!E1289</f>
        <v/>
      </c>
      <c r="F1289">
        <f>Raw_Data!F1289</f>
        <v/>
      </c>
      <c r="G1289">
        <f>Raw_Data!G1289</f>
        <v/>
      </c>
      <c r="H1289">
        <f>Raw_Data!H1289</f>
        <v/>
      </c>
      <c r="I1289">
        <f>Raw_Data!I1289</f>
        <v/>
      </c>
      <c r="J1289" s="12">
        <f>Raw_Data!J1289</f>
        <v/>
      </c>
      <c r="K1289" s="13">
        <f>Raw_Data!K1289</f>
        <v/>
      </c>
      <c r="L1289" s="12">
        <f>Raw_Data!L1289</f>
        <v/>
      </c>
      <c r="M1289" s="12">
        <f>Raw_Data!M1289</f>
        <v/>
      </c>
      <c r="N1289" s="12">
        <f>Raw_Data!N1289</f>
        <v/>
      </c>
      <c r="O1289">
        <f>Raw_Data!O1289</f>
        <v/>
      </c>
      <c r="P1289">
        <f>Raw_Data!P1289</f>
        <v/>
      </c>
      <c r="Q1289">
        <f>YEAR(B1289)</f>
        <v/>
      </c>
      <c r="R1289">
        <f>TEXT(B1289,"mmm")</f>
        <v/>
      </c>
      <c r="S1289" s="15">
        <f>IFERROR(N1289/L1289,0)</f>
        <v/>
      </c>
    </row>
    <row r="1290">
      <c r="A1290">
        <f>Raw_Data!A1290</f>
        <v/>
      </c>
      <c r="B1290" s="11">
        <f>Raw_Data!B1290</f>
        <v/>
      </c>
      <c r="C1290">
        <f>Raw_Data!C1290</f>
        <v/>
      </c>
      <c r="D1290">
        <f>Raw_Data!D1290</f>
        <v/>
      </c>
      <c r="E1290">
        <f>Raw_Data!E1290</f>
        <v/>
      </c>
      <c r="F1290">
        <f>Raw_Data!F1290</f>
        <v/>
      </c>
      <c r="G1290">
        <f>Raw_Data!G1290</f>
        <v/>
      </c>
      <c r="H1290">
        <f>Raw_Data!H1290</f>
        <v/>
      </c>
      <c r="I1290">
        <f>Raw_Data!I1290</f>
        <v/>
      </c>
      <c r="J1290" s="12">
        <f>Raw_Data!J1290</f>
        <v/>
      </c>
      <c r="K1290" s="13">
        <f>Raw_Data!K1290</f>
        <v/>
      </c>
      <c r="L1290" s="12">
        <f>Raw_Data!L1290</f>
        <v/>
      </c>
      <c r="M1290" s="12">
        <f>Raw_Data!M1290</f>
        <v/>
      </c>
      <c r="N1290" s="12">
        <f>Raw_Data!N1290</f>
        <v/>
      </c>
      <c r="O1290">
        <f>Raw_Data!O1290</f>
        <v/>
      </c>
      <c r="P1290">
        <f>Raw_Data!P1290</f>
        <v/>
      </c>
      <c r="Q1290">
        <f>YEAR(B1290)</f>
        <v/>
      </c>
      <c r="R1290">
        <f>TEXT(B1290,"mmm")</f>
        <v/>
      </c>
      <c r="S1290" s="15">
        <f>IFERROR(N1290/L1290,0)</f>
        <v/>
      </c>
    </row>
    <row r="1291">
      <c r="A1291">
        <f>Raw_Data!A1291</f>
        <v/>
      </c>
      <c r="B1291" s="11">
        <f>Raw_Data!B1291</f>
        <v/>
      </c>
      <c r="C1291">
        <f>Raw_Data!C1291</f>
        <v/>
      </c>
      <c r="D1291">
        <f>Raw_Data!D1291</f>
        <v/>
      </c>
      <c r="E1291">
        <f>Raw_Data!E1291</f>
        <v/>
      </c>
      <c r="F1291">
        <f>Raw_Data!F1291</f>
        <v/>
      </c>
      <c r="G1291">
        <f>Raw_Data!G1291</f>
        <v/>
      </c>
      <c r="H1291">
        <f>Raw_Data!H1291</f>
        <v/>
      </c>
      <c r="I1291">
        <f>Raw_Data!I1291</f>
        <v/>
      </c>
      <c r="J1291" s="12">
        <f>Raw_Data!J1291</f>
        <v/>
      </c>
      <c r="K1291" s="13">
        <f>Raw_Data!K1291</f>
        <v/>
      </c>
      <c r="L1291" s="12">
        <f>Raw_Data!L1291</f>
        <v/>
      </c>
      <c r="M1291" s="12">
        <f>Raw_Data!M1291</f>
        <v/>
      </c>
      <c r="N1291" s="12">
        <f>Raw_Data!N1291</f>
        <v/>
      </c>
      <c r="O1291">
        <f>Raw_Data!O1291</f>
        <v/>
      </c>
      <c r="P1291">
        <f>Raw_Data!P1291</f>
        <v/>
      </c>
      <c r="Q1291">
        <f>YEAR(B1291)</f>
        <v/>
      </c>
      <c r="R1291">
        <f>TEXT(B1291,"mmm")</f>
        <v/>
      </c>
      <c r="S1291" s="15">
        <f>IFERROR(N1291/L1291,0)</f>
        <v/>
      </c>
    </row>
    <row r="1292">
      <c r="A1292">
        <f>Raw_Data!A1292</f>
        <v/>
      </c>
      <c r="B1292" s="11">
        <f>Raw_Data!B1292</f>
        <v/>
      </c>
      <c r="C1292">
        <f>Raw_Data!C1292</f>
        <v/>
      </c>
      <c r="D1292">
        <f>Raw_Data!D1292</f>
        <v/>
      </c>
      <c r="E1292">
        <f>Raw_Data!E1292</f>
        <v/>
      </c>
      <c r="F1292">
        <f>Raw_Data!F1292</f>
        <v/>
      </c>
      <c r="G1292">
        <f>Raw_Data!G1292</f>
        <v/>
      </c>
      <c r="H1292">
        <f>Raw_Data!H1292</f>
        <v/>
      </c>
      <c r="I1292">
        <f>Raw_Data!I1292</f>
        <v/>
      </c>
      <c r="J1292" s="12">
        <f>Raw_Data!J1292</f>
        <v/>
      </c>
      <c r="K1292" s="13">
        <f>Raw_Data!K1292</f>
        <v/>
      </c>
      <c r="L1292" s="12">
        <f>Raw_Data!L1292</f>
        <v/>
      </c>
      <c r="M1292" s="12">
        <f>Raw_Data!M1292</f>
        <v/>
      </c>
      <c r="N1292" s="12">
        <f>Raw_Data!N1292</f>
        <v/>
      </c>
      <c r="O1292">
        <f>Raw_Data!O1292</f>
        <v/>
      </c>
      <c r="P1292">
        <f>Raw_Data!P1292</f>
        <v/>
      </c>
      <c r="Q1292">
        <f>YEAR(B1292)</f>
        <v/>
      </c>
      <c r="R1292">
        <f>TEXT(B1292,"mmm")</f>
        <v/>
      </c>
      <c r="S1292" s="15">
        <f>IFERROR(N1292/L1292,0)</f>
        <v/>
      </c>
    </row>
    <row r="1293">
      <c r="A1293">
        <f>Raw_Data!A1293</f>
        <v/>
      </c>
      <c r="B1293" s="11">
        <f>Raw_Data!B1293</f>
        <v/>
      </c>
      <c r="C1293">
        <f>Raw_Data!C1293</f>
        <v/>
      </c>
      <c r="D1293">
        <f>Raw_Data!D1293</f>
        <v/>
      </c>
      <c r="E1293">
        <f>Raw_Data!E1293</f>
        <v/>
      </c>
      <c r="F1293">
        <f>Raw_Data!F1293</f>
        <v/>
      </c>
      <c r="G1293">
        <f>Raw_Data!G1293</f>
        <v/>
      </c>
      <c r="H1293">
        <f>Raw_Data!H1293</f>
        <v/>
      </c>
      <c r="I1293">
        <f>Raw_Data!I1293</f>
        <v/>
      </c>
      <c r="J1293" s="12">
        <f>Raw_Data!J1293</f>
        <v/>
      </c>
      <c r="K1293" s="13">
        <f>Raw_Data!K1293</f>
        <v/>
      </c>
      <c r="L1293" s="12">
        <f>Raw_Data!L1293</f>
        <v/>
      </c>
      <c r="M1293" s="12">
        <f>Raw_Data!M1293</f>
        <v/>
      </c>
      <c r="N1293" s="12">
        <f>Raw_Data!N1293</f>
        <v/>
      </c>
      <c r="O1293">
        <f>Raw_Data!O1293</f>
        <v/>
      </c>
      <c r="P1293">
        <f>Raw_Data!P1293</f>
        <v/>
      </c>
      <c r="Q1293">
        <f>YEAR(B1293)</f>
        <v/>
      </c>
      <c r="R1293">
        <f>TEXT(B1293,"mmm")</f>
        <v/>
      </c>
      <c r="S1293" s="15">
        <f>IFERROR(N1293/L1293,0)</f>
        <v/>
      </c>
    </row>
    <row r="1294">
      <c r="A1294">
        <f>Raw_Data!A1294</f>
        <v/>
      </c>
      <c r="B1294" s="11">
        <f>Raw_Data!B1294</f>
        <v/>
      </c>
      <c r="C1294">
        <f>Raw_Data!C1294</f>
        <v/>
      </c>
      <c r="D1294">
        <f>Raw_Data!D1294</f>
        <v/>
      </c>
      <c r="E1294">
        <f>Raw_Data!E1294</f>
        <v/>
      </c>
      <c r="F1294">
        <f>Raw_Data!F1294</f>
        <v/>
      </c>
      <c r="G1294">
        <f>Raw_Data!G1294</f>
        <v/>
      </c>
      <c r="H1294">
        <f>Raw_Data!H1294</f>
        <v/>
      </c>
      <c r="I1294">
        <f>Raw_Data!I1294</f>
        <v/>
      </c>
      <c r="J1294" s="12">
        <f>Raw_Data!J1294</f>
        <v/>
      </c>
      <c r="K1294" s="13">
        <f>Raw_Data!K1294</f>
        <v/>
      </c>
      <c r="L1294" s="12">
        <f>Raw_Data!L1294</f>
        <v/>
      </c>
      <c r="M1294" s="12">
        <f>Raw_Data!M1294</f>
        <v/>
      </c>
      <c r="N1294" s="12">
        <f>Raw_Data!N1294</f>
        <v/>
      </c>
      <c r="O1294">
        <f>Raw_Data!O1294</f>
        <v/>
      </c>
      <c r="P1294">
        <f>Raw_Data!P1294</f>
        <v/>
      </c>
      <c r="Q1294">
        <f>YEAR(B1294)</f>
        <v/>
      </c>
      <c r="R1294">
        <f>TEXT(B1294,"mmm")</f>
        <v/>
      </c>
      <c r="S1294" s="15">
        <f>IFERROR(N1294/L1294,0)</f>
        <v/>
      </c>
    </row>
    <row r="1295">
      <c r="A1295">
        <f>Raw_Data!A1295</f>
        <v/>
      </c>
      <c r="B1295" s="11">
        <f>Raw_Data!B1295</f>
        <v/>
      </c>
      <c r="C1295">
        <f>Raw_Data!C1295</f>
        <v/>
      </c>
      <c r="D1295">
        <f>Raw_Data!D1295</f>
        <v/>
      </c>
      <c r="E1295">
        <f>Raw_Data!E1295</f>
        <v/>
      </c>
      <c r="F1295">
        <f>Raw_Data!F1295</f>
        <v/>
      </c>
      <c r="G1295">
        <f>Raw_Data!G1295</f>
        <v/>
      </c>
      <c r="H1295">
        <f>Raw_Data!H1295</f>
        <v/>
      </c>
      <c r="I1295">
        <f>Raw_Data!I1295</f>
        <v/>
      </c>
      <c r="J1295" s="12">
        <f>Raw_Data!J1295</f>
        <v/>
      </c>
      <c r="K1295" s="13">
        <f>Raw_Data!K1295</f>
        <v/>
      </c>
      <c r="L1295" s="12">
        <f>Raw_Data!L1295</f>
        <v/>
      </c>
      <c r="M1295" s="12">
        <f>Raw_Data!M1295</f>
        <v/>
      </c>
      <c r="N1295" s="12">
        <f>Raw_Data!N1295</f>
        <v/>
      </c>
      <c r="O1295">
        <f>Raw_Data!O1295</f>
        <v/>
      </c>
      <c r="P1295">
        <f>Raw_Data!P1295</f>
        <v/>
      </c>
      <c r="Q1295">
        <f>YEAR(B1295)</f>
        <v/>
      </c>
      <c r="R1295">
        <f>TEXT(B1295,"mmm")</f>
        <v/>
      </c>
      <c r="S1295" s="15">
        <f>IFERROR(N1295/L1295,0)</f>
        <v/>
      </c>
    </row>
    <row r="1296">
      <c r="A1296">
        <f>Raw_Data!A1296</f>
        <v/>
      </c>
      <c r="B1296" s="11">
        <f>Raw_Data!B1296</f>
        <v/>
      </c>
      <c r="C1296">
        <f>Raw_Data!C1296</f>
        <v/>
      </c>
      <c r="D1296">
        <f>Raw_Data!D1296</f>
        <v/>
      </c>
      <c r="E1296">
        <f>Raw_Data!E1296</f>
        <v/>
      </c>
      <c r="F1296">
        <f>Raw_Data!F1296</f>
        <v/>
      </c>
      <c r="G1296">
        <f>Raw_Data!G1296</f>
        <v/>
      </c>
      <c r="H1296">
        <f>Raw_Data!H1296</f>
        <v/>
      </c>
      <c r="I1296">
        <f>Raw_Data!I1296</f>
        <v/>
      </c>
      <c r="J1296" s="12">
        <f>Raw_Data!J1296</f>
        <v/>
      </c>
      <c r="K1296" s="13">
        <f>Raw_Data!K1296</f>
        <v/>
      </c>
      <c r="L1296" s="12">
        <f>Raw_Data!L1296</f>
        <v/>
      </c>
      <c r="M1296" s="12">
        <f>Raw_Data!M1296</f>
        <v/>
      </c>
      <c r="N1296" s="12">
        <f>Raw_Data!N1296</f>
        <v/>
      </c>
      <c r="O1296">
        <f>Raw_Data!O1296</f>
        <v/>
      </c>
      <c r="P1296">
        <f>Raw_Data!P1296</f>
        <v/>
      </c>
      <c r="Q1296">
        <f>YEAR(B1296)</f>
        <v/>
      </c>
      <c r="R1296">
        <f>TEXT(B1296,"mmm")</f>
        <v/>
      </c>
      <c r="S1296" s="15">
        <f>IFERROR(N1296/L1296,0)</f>
        <v/>
      </c>
    </row>
    <row r="1297">
      <c r="A1297">
        <f>Raw_Data!A1297</f>
        <v/>
      </c>
      <c r="B1297" s="11">
        <f>Raw_Data!B1297</f>
        <v/>
      </c>
      <c r="C1297">
        <f>Raw_Data!C1297</f>
        <v/>
      </c>
      <c r="D1297">
        <f>Raw_Data!D1297</f>
        <v/>
      </c>
      <c r="E1297">
        <f>Raw_Data!E1297</f>
        <v/>
      </c>
      <c r="F1297">
        <f>Raw_Data!F1297</f>
        <v/>
      </c>
      <c r="G1297">
        <f>Raw_Data!G1297</f>
        <v/>
      </c>
      <c r="H1297">
        <f>Raw_Data!H1297</f>
        <v/>
      </c>
      <c r="I1297">
        <f>Raw_Data!I1297</f>
        <v/>
      </c>
      <c r="J1297" s="12">
        <f>Raw_Data!J1297</f>
        <v/>
      </c>
      <c r="K1297" s="13">
        <f>Raw_Data!K1297</f>
        <v/>
      </c>
      <c r="L1297" s="12">
        <f>Raw_Data!L1297</f>
        <v/>
      </c>
      <c r="M1297" s="12">
        <f>Raw_Data!M1297</f>
        <v/>
      </c>
      <c r="N1297" s="12">
        <f>Raw_Data!N1297</f>
        <v/>
      </c>
      <c r="O1297">
        <f>Raw_Data!O1297</f>
        <v/>
      </c>
      <c r="P1297">
        <f>Raw_Data!P1297</f>
        <v/>
      </c>
      <c r="Q1297">
        <f>YEAR(B1297)</f>
        <v/>
      </c>
      <c r="R1297">
        <f>TEXT(B1297,"mmm")</f>
        <v/>
      </c>
      <c r="S1297" s="15">
        <f>IFERROR(N1297/L1297,0)</f>
        <v/>
      </c>
    </row>
    <row r="1298">
      <c r="A1298">
        <f>Raw_Data!A1298</f>
        <v/>
      </c>
      <c r="B1298" s="11">
        <f>Raw_Data!B1298</f>
        <v/>
      </c>
      <c r="C1298">
        <f>Raw_Data!C1298</f>
        <v/>
      </c>
      <c r="D1298">
        <f>Raw_Data!D1298</f>
        <v/>
      </c>
      <c r="E1298">
        <f>Raw_Data!E1298</f>
        <v/>
      </c>
      <c r="F1298">
        <f>Raw_Data!F1298</f>
        <v/>
      </c>
      <c r="G1298">
        <f>Raw_Data!G1298</f>
        <v/>
      </c>
      <c r="H1298">
        <f>Raw_Data!H1298</f>
        <v/>
      </c>
      <c r="I1298">
        <f>Raw_Data!I1298</f>
        <v/>
      </c>
      <c r="J1298" s="12">
        <f>Raw_Data!J1298</f>
        <v/>
      </c>
      <c r="K1298" s="13">
        <f>Raw_Data!K1298</f>
        <v/>
      </c>
      <c r="L1298" s="12">
        <f>Raw_Data!L1298</f>
        <v/>
      </c>
      <c r="M1298" s="12">
        <f>Raw_Data!M1298</f>
        <v/>
      </c>
      <c r="N1298" s="12">
        <f>Raw_Data!N1298</f>
        <v/>
      </c>
      <c r="O1298">
        <f>Raw_Data!O1298</f>
        <v/>
      </c>
      <c r="P1298">
        <f>Raw_Data!P1298</f>
        <v/>
      </c>
      <c r="Q1298">
        <f>YEAR(B1298)</f>
        <v/>
      </c>
      <c r="R1298">
        <f>TEXT(B1298,"mmm")</f>
        <v/>
      </c>
      <c r="S1298" s="15">
        <f>IFERROR(N1298/L1298,0)</f>
        <v/>
      </c>
    </row>
    <row r="1299">
      <c r="A1299">
        <f>Raw_Data!A1299</f>
        <v/>
      </c>
      <c r="B1299" s="11">
        <f>Raw_Data!B1299</f>
        <v/>
      </c>
      <c r="C1299">
        <f>Raw_Data!C1299</f>
        <v/>
      </c>
      <c r="D1299">
        <f>Raw_Data!D1299</f>
        <v/>
      </c>
      <c r="E1299">
        <f>Raw_Data!E1299</f>
        <v/>
      </c>
      <c r="F1299">
        <f>Raw_Data!F1299</f>
        <v/>
      </c>
      <c r="G1299">
        <f>Raw_Data!G1299</f>
        <v/>
      </c>
      <c r="H1299">
        <f>Raw_Data!H1299</f>
        <v/>
      </c>
      <c r="I1299">
        <f>Raw_Data!I1299</f>
        <v/>
      </c>
      <c r="J1299" s="12">
        <f>Raw_Data!J1299</f>
        <v/>
      </c>
      <c r="K1299" s="13">
        <f>Raw_Data!K1299</f>
        <v/>
      </c>
      <c r="L1299" s="12">
        <f>Raw_Data!L1299</f>
        <v/>
      </c>
      <c r="M1299" s="12">
        <f>Raw_Data!M1299</f>
        <v/>
      </c>
      <c r="N1299" s="12">
        <f>Raw_Data!N1299</f>
        <v/>
      </c>
      <c r="O1299">
        <f>Raw_Data!O1299</f>
        <v/>
      </c>
      <c r="P1299">
        <f>Raw_Data!P1299</f>
        <v/>
      </c>
      <c r="Q1299">
        <f>YEAR(B1299)</f>
        <v/>
      </c>
      <c r="R1299">
        <f>TEXT(B1299,"mmm")</f>
        <v/>
      </c>
      <c r="S1299" s="15">
        <f>IFERROR(N1299/L1299,0)</f>
        <v/>
      </c>
    </row>
    <row r="1300">
      <c r="A1300">
        <f>Raw_Data!A1300</f>
        <v/>
      </c>
      <c r="B1300" s="11">
        <f>Raw_Data!B1300</f>
        <v/>
      </c>
      <c r="C1300">
        <f>Raw_Data!C1300</f>
        <v/>
      </c>
      <c r="D1300">
        <f>Raw_Data!D1300</f>
        <v/>
      </c>
      <c r="E1300">
        <f>Raw_Data!E1300</f>
        <v/>
      </c>
      <c r="F1300">
        <f>Raw_Data!F1300</f>
        <v/>
      </c>
      <c r="G1300">
        <f>Raw_Data!G1300</f>
        <v/>
      </c>
      <c r="H1300">
        <f>Raw_Data!H1300</f>
        <v/>
      </c>
      <c r="I1300">
        <f>Raw_Data!I1300</f>
        <v/>
      </c>
      <c r="J1300" s="12">
        <f>Raw_Data!J1300</f>
        <v/>
      </c>
      <c r="K1300" s="13">
        <f>Raw_Data!K1300</f>
        <v/>
      </c>
      <c r="L1300" s="12">
        <f>Raw_Data!L1300</f>
        <v/>
      </c>
      <c r="M1300" s="12">
        <f>Raw_Data!M1300</f>
        <v/>
      </c>
      <c r="N1300" s="12">
        <f>Raw_Data!N1300</f>
        <v/>
      </c>
      <c r="O1300">
        <f>Raw_Data!O1300</f>
        <v/>
      </c>
      <c r="P1300">
        <f>Raw_Data!P1300</f>
        <v/>
      </c>
      <c r="Q1300">
        <f>YEAR(B1300)</f>
        <v/>
      </c>
      <c r="R1300">
        <f>TEXT(B1300,"mmm")</f>
        <v/>
      </c>
      <c r="S1300" s="15">
        <f>IFERROR(N1300/L1300,0)</f>
        <v/>
      </c>
    </row>
    <row r="1301">
      <c r="A1301">
        <f>Raw_Data!A1301</f>
        <v/>
      </c>
      <c r="B1301" s="11">
        <f>Raw_Data!B1301</f>
        <v/>
      </c>
      <c r="C1301">
        <f>Raw_Data!C1301</f>
        <v/>
      </c>
      <c r="D1301">
        <f>Raw_Data!D1301</f>
        <v/>
      </c>
      <c r="E1301">
        <f>Raw_Data!E1301</f>
        <v/>
      </c>
      <c r="F1301">
        <f>Raw_Data!F1301</f>
        <v/>
      </c>
      <c r="G1301">
        <f>Raw_Data!G1301</f>
        <v/>
      </c>
      <c r="H1301">
        <f>Raw_Data!H1301</f>
        <v/>
      </c>
      <c r="I1301">
        <f>Raw_Data!I1301</f>
        <v/>
      </c>
      <c r="J1301" s="12">
        <f>Raw_Data!J1301</f>
        <v/>
      </c>
      <c r="K1301" s="13">
        <f>Raw_Data!K1301</f>
        <v/>
      </c>
      <c r="L1301" s="12">
        <f>Raw_Data!L1301</f>
        <v/>
      </c>
      <c r="M1301" s="12">
        <f>Raw_Data!M1301</f>
        <v/>
      </c>
      <c r="N1301" s="12">
        <f>Raw_Data!N1301</f>
        <v/>
      </c>
      <c r="O1301">
        <f>Raw_Data!O1301</f>
        <v/>
      </c>
      <c r="P1301">
        <f>Raw_Data!P1301</f>
        <v/>
      </c>
      <c r="Q1301">
        <f>YEAR(B1301)</f>
        <v/>
      </c>
      <c r="R1301">
        <f>TEXT(B1301,"mmm")</f>
        <v/>
      </c>
      <c r="S1301" s="15">
        <f>IFERROR(N1301/L1301,0)</f>
        <v/>
      </c>
    </row>
    <row r="1302">
      <c r="A1302">
        <f>Raw_Data!A1302</f>
        <v/>
      </c>
      <c r="B1302" s="11">
        <f>Raw_Data!B1302</f>
        <v/>
      </c>
      <c r="C1302">
        <f>Raw_Data!C1302</f>
        <v/>
      </c>
      <c r="D1302">
        <f>Raw_Data!D1302</f>
        <v/>
      </c>
      <c r="E1302">
        <f>Raw_Data!E1302</f>
        <v/>
      </c>
      <c r="F1302">
        <f>Raw_Data!F1302</f>
        <v/>
      </c>
      <c r="G1302">
        <f>Raw_Data!G1302</f>
        <v/>
      </c>
      <c r="H1302">
        <f>Raw_Data!H1302</f>
        <v/>
      </c>
      <c r="I1302">
        <f>Raw_Data!I1302</f>
        <v/>
      </c>
      <c r="J1302" s="12">
        <f>Raw_Data!J1302</f>
        <v/>
      </c>
      <c r="K1302" s="13">
        <f>Raw_Data!K1302</f>
        <v/>
      </c>
      <c r="L1302" s="12">
        <f>Raw_Data!L1302</f>
        <v/>
      </c>
      <c r="M1302" s="12">
        <f>Raw_Data!M1302</f>
        <v/>
      </c>
      <c r="N1302" s="12">
        <f>Raw_Data!N1302</f>
        <v/>
      </c>
      <c r="O1302">
        <f>Raw_Data!O1302</f>
        <v/>
      </c>
      <c r="P1302">
        <f>Raw_Data!P1302</f>
        <v/>
      </c>
      <c r="Q1302">
        <f>YEAR(B1302)</f>
        <v/>
      </c>
      <c r="R1302">
        <f>TEXT(B1302,"mmm")</f>
        <v/>
      </c>
      <c r="S1302" s="15">
        <f>IFERROR(N1302/L1302,0)</f>
        <v/>
      </c>
    </row>
    <row r="1303">
      <c r="A1303">
        <f>Raw_Data!A1303</f>
        <v/>
      </c>
      <c r="B1303" s="11">
        <f>Raw_Data!B1303</f>
        <v/>
      </c>
      <c r="C1303">
        <f>Raw_Data!C1303</f>
        <v/>
      </c>
      <c r="D1303">
        <f>Raw_Data!D1303</f>
        <v/>
      </c>
      <c r="E1303">
        <f>Raw_Data!E1303</f>
        <v/>
      </c>
      <c r="F1303">
        <f>Raw_Data!F1303</f>
        <v/>
      </c>
      <c r="G1303">
        <f>Raw_Data!G1303</f>
        <v/>
      </c>
      <c r="H1303">
        <f>Raw_Data!H1303</f>
        <v/>
      </c>
      <c r="I1303">
        <f>Raw_Data!I1303</f>
        <v/>
      </c>
      <c r="J1303" s="12">
        <f>Raw_Data!J1303</f>
        <v/>
      </c>
      <c r="K1303" s="13">
        <f>Raw_Data!K1303</f>
        <v/>
      </c>
      <c r="L1303" s="12">
        <f>Raw_Data!L1303</f>
        <v/>
      </c>
      <c r="M1303" s="12">
        <f>Raw_Data!M1303</f>
        <v/>
      </c>
      <c r="N1303" s="12">
        <f>Raw_Data!N1303</f>
        <v/>
      </c>
      <c r="O1303">
        <f>Raw_Data!O1303</f>
        <v/>
      </c>
      <c r="P1303">
        <f>Raw_Data!P1303</f>
        <v/>
      </c>
      <c r="Q1303">
        <f>YEAR(B1303)</f>
        <v/>
      </c>
      <c r="R1303">
        <f>TEXT(B1303,"mmm")</f>
        <v/>
      </c>
      <c r="S1303" s="15">
        <f>IFERROR(N1303/L1303,0)</f>
        <v/>
      </c>
    </row>
    <row r="1304">
      <c r="A1304">
        <f>Raw_Data!A1304</f>
        <v/>
      </c>
      <c r="B1304" s="11">
        <f>Raw_Data!B1304</f>
        <v/>
      </c>
      <c r="C1304">
        <f>Raw_Data!C1304</f>
        <v/>
      </c>
      <c r="D1304">
        <f>Raw_Data!D1304</f>
        <v/>
      </c>
      <c r="E1304">
        <f>Raw_Data!E1304</f>
        <v/>
      </c>
      <c r="F1304">
        <f>Raw_Data!F1304</f>
        <v/>
      </c>
      <c r="G1304">
        <f>Raw_Data!G1304</f>
        <v/>
      </c>
      <c r="H1304">
        <f>Raw_Data!H1304</f>
        <v/>
      </c>
      <c r="I1304">
        <f>Raw_Data!I1304</f>
        <v/>
      </c>
      <c r="J1304" s="12">
        <f>Raw_Data!J1304</f>
        <v/>
      </c>
      <c r="K1304" s="13">
        <f>Raw_Data!K1304</f>
        <v/>
      </c>
      <c r="L1304" s="12">
        <f>Raw_Data!L1304</f>
        <v/>
      </c>
      <c r="M1304" s="12">
        <f>Raw_Data!M1304</f>
        <v/>
      </c>
      <c r="N1304" s="12">
        <f>Raw_Data!N1304</f>
        <v/>
      </c>
      <c r="O1304">
        <f>Raw_Data!O1304</f>
        <v/>
      </c>
      <c r="P1304">
        <f>Raw_Data!P1304</f>
        <v/>
      </c>
      <c r="Q1304">
        <f>YEAR(B1304)</f>
        <v/>
      </c>
      <c r="R1304">
        <f>TEXT(B1304,"mmm")</f>
        <v/>
      </c>
      <c r="S1304" s="15">
        <f>IFERROR(N1304/L1304,0)</f>
        <v/>
      </c>
    </row>
    <row r="1305">
      <c r="A1305">
        <f>Raw_Data!A1305</f>
        <v/>
      </c>
      <c r="B1305" s="11">
        <f>Raw_Data!B1305</f>
        <v/>
      </c>
      <c r="C1305">
        <f>Raw_Data!C1305</f>
        <v/>
      </c>
      <c r="D1305">
        <f>Raw_Data!D1305</f>
        <v/>
      </c>
      <c r="E1305">
        <f>Raw_Data!E1305</f>
        <v/>
      </c>
      <c r="F1305">
        <f>Raw_Data!F1305</f>
        <v/>
      </c>
      <c r="G1305">
        <f>Raw_Data!G1305</f>
        <v/>
      </c>
      <c r="H1305">
        <f>Raw_Data!H1305</f>
        <v/>
      </c>
      <c r="I1305">
        <f>Raw_Data!I1305</f>
        <v/>
      </c>
      <c r="J1305" s="12">
        <f>Raw_Data!J1305</f>
        <v/>
      </c>
      <c r="K1305" s="13">
        <f>Raw_Data!K1305</f>
        <v/>
      </c>
      <c r="L1305" s="12">
        <f>Raw_Data!L1305</f>
        <v/>
      </c>
      <c r="M1305" s="12">
        <f>Raw_Data!M1305</f>
        <v/>
      </c>
      <c r="N1305" s="12">
        <f>Raw_Data!N1305</f>
        <v/>
      </c>
      <c r="O1305">
        <f>Raw_Data!O1305</f>
        <v/>
      </c>
      <c r="P1305">
        <f>Raw_Data!P1305</f>
        <v/>
      </c>
      <c r="Q1305">
        <f>YEAR(B1305)</f>
        <v/>
      </c>
      <c r="R1305">
        <f>TEXT(B1305,"mmm")</f>
        <v/>
      </c>
      <c r="S1305" s="15">
        <f>IFERROR(N1305/L1305,0)</f>
        <v/>
      </c>
    </row>
    <row r="1306">
      <c r="A1306">
        <f>Raw_Data!A1306</f>
        <v/>
      </c>
      <c r="B1306" s="11">
        <f>Raw_Data!B1306</f>
        <v/>
      </c>
      <c r="C1306">
        <f>Raw_Data!C1306</f>
        <v/>
      </c>
      <c r="D1306">
        <f>Raw_Data!D1306</f>
        <v/>
      </c>
      <c r="E1306">
        <f>Raw_Data!E1306</f>
        <v/>
      </c>
      <c r="F1306">
        <f>Raw_Data!F1306</f>
        <v/>
      </c>
      <c r="G1306">
        <f>Raw_Data!G1306</f>
        <v/>
      </c>
      <c r="H1306">
        <f>Raw_Data!H1306</f>
        <v/>
      </c>
      <c r="I1306">
        <f>Raw_Data!I1306</f>
        <v/>
      </c>
      <c r="J1306" s="12">
        <f>Raw_Data!J1306</f>
        <v/>
      </c>
      <c r="K1306" s="13">
        <f>Raw_Data!K1306</f>
        <v/>
      </c>
      <c r="L1306" s="12">
        <f>Raw_Data!L1306</f>
        <v/>
      </c>
      <c r="M1306" s="12">
        <f>Raw_Data!M1306</f>
        <v/>
      </c>
      <c r="N1306" s="12">
        <f>Raw_Data!N1306</f>
        <v/>
      </c>
      <c r="O1306">
        <f>Raw_Data!O1306</f>
        <v/>
      </c>
      <c r="P1306">
        <f>Raw_Data!P1306</f>
        <v/>
      </c>
      <c r="Q1306">
        <f>YEAR(B1306)</f>
        <v/>
      </c>
      <c r="R1306">
        <f>TEXT(B1306,"mmm")</f>
        <v/>
      </c>
      <c r="S1306" s="15">
        <f>IFERROR(N1306/L1306,0)</f>
        <v/>
      </c>
    </row>
    <row r="1307">
      <c r="A1307">
        <f>Raw_Data!A1307</f>
        <v/>
      </c>
      <c r="B1307" s="11">
        <f>Raw_Data!B1307</f>
        <v/>
      </c>
      <c r="C1307">
        <f>Raw_Data!C1307</f>
        <v/>
      </c>
      <c r="D1307">
        <f>Raw_Data!D1307</f>
        <v/>
      </c>
      <c r="E1307">
        <f>Raw_Data!E1307</f>
        <v/>
      </c>
      <c r="F1307">
        <f>Raw_Data!F1307</f>
        <v/>
      </c>
      <c r="G1307">
        <f>Raw_Data!G1307</f>
        <v/>
      </c>
      <c r="H1307">
        <f>Raw_Data!H1307</f>
        <v/>
      </c>
      <c r="I1307">
        <f>Raw_Data!I1307</f>
        <v/>
      </c>
      <c r="J1307" s="12">
        <f>Raw_Data!J1307</f>
        <v/>
      </c>
      <c r="K1307" s="13">
        <f>Raw_Data!K1307</f>
        <v/>
      </c>
      <c r="L1307" s="12">
        <f>Raw_Data!L1307</f>
        <v/>
      </c>
      <c r="M1307" s="12">
        <f>Raw_Data!M1307</f>
        <v/>
      </c>
      <c r="N1307" s="12">
        <f>Raw_Data!N1307</f>
        <v/>
      </c>
      <c r="O1307">
        <f>Raw_Data!O1307</f>
        <v/>
      </c>
      <c r="P1307">
        <f>Raw_Data!P1307</f>
        <v/>
      </c>
      <c r="Q1307">
        <f>YEAR(B1307)</f>
        <v/>
      </c>
      <c r="R1307">
        <f>TEXT(B1307,"mmm")</f>
        <v/>
      </c>
      <c r="S1307" s="15">
        <f>IFERROR(N1307/L1307,0)</f>
        <v/>
      </c>
    </row>
    <row r="1308">
      <c r="A1308">
        <f>Raw_Data!A1308</f>
        <v/>
      </c>
      <c r="B1308" s="11">
        <f>Raw_Data!B1308</f>
        <v/>
      </c>
      <c r="C1308">
        <f>Raw_Data!C1308</f>
        <v/>
      </c>
      <c r="D1308">
        <f>Raw_Data!D1308</f>
        <v/>
      </c>
      <c r="E1308">
        <f>Raw_Data!E1308</f>
        <v/>
      </c>
      <c r="F1308">
        <f>Raw_Data!F1308</f>
        <v/>
      </c>
      <c r="G1308">
        <f>Raw_Data!G1308</f>
        <v/>
      </c>
      <c r="H1308">
        <f>Raw_Data!H1308</f>
        <v/>
      </c>
      <c r="I1308">
        <f>Raw_Data!I1308</f>
        <v/>
      </c>
      <c r="J1308" s="12">
        <f>Raw_Data!J1308</f>
        <v/>
      </c>
      <c r="K1308" s="13">
        <f>Raw_Data!K1308</f>
        <v/>
      </c>
      <c r="L1308" s="12">
        <f>Raw_Data!L1308</f>
        <v/>
      </c>
      <c r="M1308" s="12">
        <f>Raw_Data!M1308</f>
        <v/>
      </c>
      <c r="N1308" s="12">
        <f>Raw_Data!N1308</f>
        <v/>
      </c>
      <c r="O1308">
        <f>Raw_Data!O1308</f>
        <v/>
      </c>
      <c r="P1308">
        <f>Raw_Data!P1308</f>
        <v/>
      </c>
      <c r="Q1308">
        <f>YEAR(B1308)</f>
        <v/>
      </c>
      <c r="R1308">
        <f>TEXT(B1308,"mmm")</f>
        <v/>
      </c>
      <c r="S1308" s="15">
        <f>IFERROR(N1308/L1308,0)</f>
        <v/>
      </c>
    </row>
    <row r="1309">
      <c r="A1309">
        <f>Raw_Data!A1309</f>
        <v/>
      </c>
      <c r="B1309" s="11">
        <f>Raw_Data!B1309</f>
        <v/>
      </c>
      <c r="C1309">
        <f>Raw_Data!C1309</f>
        <v/>
      </c>
      <c r="D1309">
        <f>Raw_Data!D1309</f>
        <v/>
      </c>
      <c r="E1309">
        <f>Raw_Data!E1309</f>
        <v/>
      </c>
      <c r="F1309">
        <f>Raw_Data!F1309</f>
        <v/>
      </c>
      <c r="G1309">
        <f>Raw_Data!G1309</f>
        <v/>
      </c>
      <c r="H1309">
        <f>Raw_Data!H1309</f>
        <v/>
      </c>
      <c r="I1309">
        <f>Raw_Data!I1309</f>
        <v/>
      </c>
      <c r="J1309" s="12">
        <f>Raw_Data!J1309</f>
        <v/>
      </c>
      <c r="K1309" s="13">
        <f>Raw_Data!K1309</f>
        <v/>
      </c>
      <c r="L1309" s="12">
        <f>Raw_Data!L1309</f>
        <v/>
      </c>
      <c r="M1309" s="12">
        <f>Raw_Data!M1309</f>
        <v/>
      </c>
      <c r="N1309" s="12">
        <f>Raw_Data!N1309</f>
        <v/>
      </c>
      <c r="O1309">
        <f>Raw_Data!O1309</f>
        <v/>
      </c>
      <c r="P1309">
        <f>Raw_Data!P1309</f>
        <v/>
      </c>
      <c r="Q1309">
        <f>YEAR(B1309)</f>
        <v/>
      </c>
      <c r="R1309">
        <f>TEXT(B1309,"mmm")</f>
        <v/>
      </c>
      <c r="S1309" s="15">
        <f>IFERROR(N1309/L1309,0)</f>
        <v/>
      </c>
    </row>
    <row r="1310">
      <c r="A1310">
        <f>Raw_Data!A1310</f>
        <v/>
      </c>
      <c r="B1310" s="11">
        <f>Raw_Data!B1310</f>
        <v/>
      </c>
      <c r="C1310">
        <f>Raw_Data!C1310</f>
        <v/>
      </c>
      <c r="D1310">
        <f>Raw_Data!D1310</f>
        <v/>
      </c>
      <c r="E1310">
        <f>Raw_Data!E1310</f>
        <v/>
      </c>
      <c r="F1310">
        <f>Raw_Data!F1310</f>
        <v/>
      </c>
      <c r="G1310">
        <f>Raw_Data!G1310</f>
        <v/>
      </c>
      <c r="H1310">
        <f>Raw_Data!H1310</f>
        <v/>
      </c>
      <c r="I1310">
        <f>Raw_Data!I1310</f>
        <v/>
      </c>
      <c r="J1310" s="12">
        <f>Raw_Data!J1310</f>
        <v/>
      </c>
      <c r="K1310" s="13">
        <f>Raw_Data!K1310</f>
        <v/>
      </c>
      <c r="L1310" s="12">
        <f>Raw_Data!L1310</f>
        <v/>
      </c>
      <c r="M1310" s="12">
        <f>Raw_Data!M1310</f>
        <v/>
      </c>
      <c r="N1310" s="12">
        <f>Raw_Data!N1310</f>
        <v/>
      </c>
      <c r="O1310">
        <f>Raw_Data!O1310</f>
        <v/>
      </c>
      <c r="P1310">
        <f>Raw_Data!P1310</f>
        <v/>
      </c>
      <c r="Q1310">
        <f>YEAR(B1310)</f>
        <v/>
      </c>
      <c r="R1310">
        <f>TEXT(B1310,"mmm")</f>
        <v/>
      </c>
      <c r="S1310" s="15">
        <f>IFERROR(N1310/L1310,0)</f>
        <v/>
      </c>
    </row>
    <row r="1311">
      <c r="A1311">
        <f>Raw_Data!A1311</f>
        <v/>
      </c>
      <c r="B1311" s="11">
        <f>Raw_Data!B1311</f>
        <v/>
      </c>
      <c r="C1311">
        <f>Raw_Data!C1311</f>
        <v/>
      </c>
      <c r="D1311">
        <f>Raw_Data!D1311</f>
        <v/>
      </c>
      <c r="E1311">
        <f>Raw_Data!E1311</f>
        <v/>
      </c>
      <c r="F1311">
        <f>Raw_Data!F1311</f>
        <v/>
      </c>
      <c r="G1311">
        <f>Raw_Data!G1311</f>
        <v/>
      </c>
      <c r="H1311">
        <f>Raw_Data!H1311</f>
        <v/>
      </c>
      <c r="I1311">
        <f>Raw_Data!I1311</f>
        <v/>
      </c>
      <c r="J1311" s="12">
        <f>Raw_Data!J1311</f>
        <v/>
      </c>
      <c r="K1311" s="13">
        <f>Raw_Data!K1311</f>
        <v/>
      </c>
      <c r="L1311" s="12">
        <f>Raw_Data!L1311</f>
        <v/>
      </c>
      <c r="M1311" s="12">
        <f>Raw_Data!M1311</f>
        <v/>
      </c>
      <c r="N1311" s="12">
        <f>Raw_Data!N1311</f>
        <v/>
      </c>
      <c r="O1311">
        <f>Raw_Data!O1311</f>
        <v/>
      </c>
      <c r="P1311">
        <f>Raw_Data!P1311</f>
        <v/>
      </c>
      <c r="Q1311">
        <f>YEAR(B1311)</f>
        <v/>
      </c>
      <c r="R1311">
        <f>TEXT(B1311,"mmm")</f>
        <v/>
      </c>
      <c r="S1311" s="15">
        <f>IFERROR(N1311/L1311,0)</f>
        <v/>
      </c>
    </row>
    <row r="1312">
      <c r="A1312">
        <f>Raw_Data!A1312</f>
        <v/>
      </c>
      <c r="B1312" s="11">
        <f>Raw_Data!B1312</f>
        <v/>
      </c>
      <c r="C1312">
        <f>Raw_Data!C1312</f>
        <v/>
      </c>
      <c r="D1312">
        <f>Raw_Data!D1312</f>
        <v/>
      </c>
      <c r="E1312">
        <f>Raw_Data!E1312</f>
        <v/>
      </c>
      <c r="F1312">
        <f>Raw_Data!F1312</f>
        <v/>
      </c>
      <c r="G1312">
        <f>Raw_Data!G1312</f>
        <v/>
      </c>
      <c r="H1312">
        <f>Raw_Data!H1312</f>
        <v/>
      </c>
      <c r="I1312">
        <f>Raw_Data!I1312</f>
        <v/>
      </c>
      <c r="J1312" s="12">
        <f>Raw_Data!J1312</f>
        <v/>
      </c>
      <c r="K1312" s="13">
        <f>Raw_Data!K1312</f>
        <v/>
      </c>
      <c r="L1312" s="12">
        <f>Raw_Data!L1312</f>
        <v/>
      </c>
      <c r="M1312" s="12">
        <f>Raw_Data!M1312</f>
        <v/>
      </c>
      <c r="N1312" s="12">
        <f>Raw_Data!N1312</f>
        <v/>
      </c>
      <c r="O1312">
        <f>Raw_Data!O1312</f>
        <v/>
      </c>
      <c r="P1312">
        <f>Raw_Data!P1312</f>
        <v/>
      </c>
      <c r="Q1312">
        <f>YEAR(B1312)</f>
        <v/>
      </c>
      <c r="R1312">
        <f>TEXT(B1312,"mmm")</f>
        <v/>
      </c>
      <c r="S1312" s="15">
        <f>IFERROR(N1312/L1312,0)</f>
        <v/>
      </c>
    </row>
    <row r="1313">
      <c r="A1313">
        <f>Raw_Data!A1313</f>
        <v/>
      </c>
      <c r="B1313" s="11">
        <f>Raw_Data!B1313</f>
        <v/>
      </c>
      <c r="C1313">
        <f>Raw_Data!C1313</f>
        <v/>
      </c>
      <c r="D1313">
        <f>Raw_Data!D1313</f>
        <v/>
      </c>
      <c r="E1313">
        <f>Raw_Data!E1313</f>
        <v/>
      </c>
      <c r="F1313">
        <f>Raw_Data!F1313</f>
        <v/>
      </c>
      <c r="G1313">
        <f>Raw_Data!G1313</f>
        <v/>
      </c>
      <c r="H1313">
        <f>Raw_Data!H1313</f>
        <v/>
      </c>
      <c r="I1313">
        <f>Raw_Data!I1313</f>
        <v/>
      </c>
      <c r="J1313" s="12">
        <f>Raw_Data!J1313</f>
        <v/>
      </c>
      <c r="K1313" s="13">
        <f>Raw_Data!K1313</f>
        <v/>
      </c>
      <c r="L1313" s="12">
        <f>Raw_Data!L1313</f>
        <v/>
      </c>
      <c r="M1313" s="12">
        <f>Raw_Data!M1313</f>
        <v/>
      </c>
      <c r="N1313" s="12">
        <f>Raw_Data!N1313</f>
        <v/>
      </c>
      <c r="O1313">
        <f>Raw_Data!O1313</f>
        <v/>
      </c>
      <c r="P1313">
        <f>Raw_Data!P1313</f>
        <v/>
      </c>
      <c r="Q1313">
        <f>YEAR(B1313)</f>
        <v/>
      </c>
      <c r="R1313">
        <f>TEXT(B1313,"mmm")</f>
        <v/>
      </c>
      <c r="S1313" s="15">
        <f>IFERROR(N1313/L1313,0)</f>
        <v/>
      </c>
    </row>
    <row r="1314">
      <c r="A1314">
        <f>Raw_Data!A1314</f>
        <v/>
      </c>
      <c r="B1314" s="11">
        <f>Raw_Data!B1314</f>
        <v/>
      </c>
      <c r="C1314">
        <f>Raw_Data!C1314</f>
        <v/>
      </c>
      <c r="D1314">
        <f>Raw_Data!D1314</f>
        <v/>
      </c>
      <c r="E1314">
        <f>Raw_Data!E1314</f>
        <v/>
      </c>
      <c r="F1314">
        <f>Raw_Data!F1314</f>
        <v/>
      </c>
      <c r="G1314">
        <f>Raw_Data!G1314</f>
        <v/>
      </c>
      <c r="H1314">
        <f>Raw_Data!H1314</f>
        <v/>
      </c>
      <c r="I1314">
        <f>Raw_Data!I1314</f>
        <v/>
      </c>
      <c r="J1314" s="12">
        <f>Raw_Data!J1314</f>
        <v/>
      </c>
      <c r="K1314" s="13">
        <f>Raw_Data!K1314</f>
        <v/>
      </c>
      <c r="L1314" s="12">
        <f>Raw_Data!L1314</f>
        <v/>
      </c>
      <c r="M1314" s="12">
        <f>Raw_Data!M1314</f>
        <v/>
      </c>
      <c r="N1314" s="12">
        <f>Raw_Data!N1314</f>
        <v/>
      </c>
      <c r="O1314">
        <f>Raw_Data!O1314</f>
        <v/>
      </c>
      <c r="P1314">
        <f>Raw_Data!P1314</f>
        <v/>
      </c>
      <c r="Q1314">
        <f>YEAR(B1314)</f>
        <v/>
      </c>
      <c r="R1314">
        <f>TEXT(B1314,"mmm")</f>
        <v/>
      </c>
      <c r="S1314" s="15">
        <f>IFERROR(N1314/L1314,0)</f>
        <v/>
      </c>
    </row>
    <row r="1315">
      <c r="A1315">
        <f>Raw_Data!A1315</f>
        <v/>
      </c>
      <c r="B1315" s="11">
        <f>Raw_Data!B1315</f>
        <v/>
      </c>
      <c r="C1315">
        <f>Raw_Data!C1315</f>
        <v/>
      </c>
      <c r="D1315">
        <f>Raw_Data!D1315</f>
        <v/>
      </c>
      <c r="E1315">
        <f>Raw_Data!E1315</f>
        <v/>
      </c>
      <c r="F1315">
        <f>Raw_Data!F1315</f>
        <v/>
      </c>
      <c r="G1315">
        <f>Raw_Data!G1315</f>
        <v/>
      </c>
      <c r="H1315">
        <f>Raw_Data!H1315</f>
        <v/>
      </c>
      <c r="I1315">
        <f>Raw_Data!I1315</f>
        <v/>
      </c>
      <c r="J1315" s="12">
        <f>Raw_Data!J1315</f>
        <v/>
      </c>
      <c r="K1315" s="13">
        <f>Raw_Data!K1315</f>
        <v/>
      </c>
      <c r="L1315" s="12">
        <f>Raw_Data!L1315</f>
        <v/>
      </c>
      <c r="M1315" s="12">
        <f>Raw_Data!M1315</f>
        <v/>
      </c>
      <c r="N1315" s="12">
        <f>Raw_Data!N1315</f>
        <v/>
      </c>
      <c r="O1315">
        <f>Raw_Data!O1315</f>
        <v/>
      </c>
      <c r="P1315">
        <f>Raw_Data!P1315</f>
        <v/>
      </c>
      <c r="Q1315">
        <f>YEAR(B1315)</f>
        <v/>
      </c>
      <c r="R1315">
        <f>TEXT(B1315,"mmm")</f>
        <v/>
      </c>
      <c r="S1315" s="15">
        <f>IFERROR(N1315/L1315,0)</f>
        <v/>
      </c>
    </row>
    <row r="1316">
      <c r="A1316">
        <f>Raw_Data!A1316</f>
        <v/>
      </c>
      <c r="B1316" s="11">
        <f>Raw_Data!B1316</f>
        <v/>
      </c>
      <c r="C1316">
        <f>Raw_Data!C1316</f>
        <v/>
      </c>
      <c r="D1316">
        <f>Raw_Data!D1316</f>
        <v/>
      </c>
      <c r="E1316">
        <f>Raw_Data!E1316</f>
        <v/>
      </c>
      <c r="F1316">
        <f>Raw_Data!F1316</f>
        <v/>
      </c>
      <c r="G1316">
        <f>Raw_Data!G1316</f>
        <v/>
      </c>
      <c r="H1316">
        <f>Raw_Data!H1316</f>
        <v/>
      </c>
      <c r="I1316">
        <f>Raw_Data!I1316</f>
        <v/>
      </c>
      <c r="J1316" s="12">
        <f>Raw_Data!J1316</f>
        <v/>
      </c>
      <c r="K1316" s="13">
        <f>Raw_Data!K1316</f>
        <v/>
      </c>
      <c r="L1316" s="12">
        <f>Raw_Data!L1316</f>
        <v/>
      </c>
      <c r="M1316" s="12">
        <f>Raw_Data!M1316</f>
        <v/>
      </c>
      <c r="N1316" s="12">
        <f>Raw_Data!N1316</f>
        <v/>
      </c>
      <c r="O1316">
        <f>Raw_Data!O1316</f>
        <v/>
      </c>
      <c r="P1316">
        <f>Raw_Data!P1316</f>
        <v/>
      </c>
      <c r="Q1316">
        <f>YEAR(B1316)</f>
        <v/>
      </c>
      <c r="R1316">
        <f>TEXT(B1316,"mmm")</f>
        <v/>
      </c>
      <c r="S1316" s="15">
        <f>IFERROR(N1316/L1316,0)</f>
        <v/>
      </c>
    </row>
    <row r="1317">
      <c r="A1317">
        <f>Raw_Data!A1317</f>
        <v/>
      </c>
      <c r="B1317" s="11">
        <f>Raw_Data!B1317</f>
        <v/>
      </c>
      <c r="C1317">
        <f>Raw_Data!C1317</f>
        <v/>
      </c>
      <c r="D1317">
        <f>Raw_Data!D1317</f>
        <v/>
      </c>
      <c r="E1317">
        <f>Raw_Data!E1317</f>
        <v/>
      </c>
      <c r="F1317">
        <f>Raw_Data!F1317</f>
        <v/>
      </c>
      <c r="G1317">
        <f>Raw_Data!G1317</f>
        <v/>
      </c>
      <c r="H1317">
        <f>Raw_Data!H1317</f>
        <v/>
      </c>
      <c r="I1317">
        <f>Raw_Data!I1317</f>
        <v/>
      </c>
      <c r="J1317" s="12">
        <f>Raw_Data!J1317</f>
        <v/>
      </c>
      <c r="K1317" s="13">
        <f>Raw_Data!K1317</f>
        <v/>
      </c>
      <c r="L1317" s="12">
        <f>Raw_Data!L1317</f>
        <v/>
      </c>
      <c r="M1317" s="12">
        <f>Raw_Data!M1317</f>
        <v/>
      </c>
      <c r="N1317" s="12">
        <f>Raw_Data!N1317</f>
        <v/>
      </c>
      <c r="O1317">
        <f>Raw_Data!O1317</f>
        <v/>
      </c>
      <c r="P1317">
        <f>Raw_Data!P1317</f>
        <v/>
      </c>
      <c r="Q1317">
        <f>YEAR(B1317)</f>
        <v/>
      </c>
      <c r="R1317">
        <f>TEXT(B1317,"mmm")</f>
        <v/>
      </c>
      <c r="S1317" s="15">
        <f>IFERROR(N1317/L1317,0)</f>
        <v/>
      </c>
    </row>
    <row r="1318">
      <c r="A1318">
        <f>Raw_Data!A1318</f>
        <v/>
      </c>
      <c r="B1318" s="11">
        <f>Raw_Data!B1318</f>
        <v/>
      </c>
      <c r="C1318">
        <f>Raw_Data!C1318</f>
        <v/>
      </c>
      <c r="D1318">
        <f>Raw_Data!D1318</f>
        <v/>
      </c>
      <c r="E1318">
        <f>Raw_Data!E1318</f>
        <v/>
      </c>
      <c r="F1318">
        <f>Raw_Data!F1318</f>
        <v/>
      </c>
      <c r="G1318">
        <f>Raw_Data!G1318</f>
        <v/>
      </c>
      <c r="H1318">
        <f>Raw_Data!H1318</f>
        <v/>
      </c>
      <c r="I1318">
        <f>Raw_Data!I1318</f>
        <v/>
      </c>
      <c r="J1318" s="12">
        <f>Raw_Data!J1318</f>
        <v/>
      </c>
      <c r="K1318" s="13">
        <f>Raw_Data!K1318</f>
        <v/>
      </c>
      <c r="L1318" s="12">
        <f>Raw_Data!L1318</f>
        <v/>
      </c>
      <c r="M1318" s="12">
        <f>Raw_Data!M1318</f>
        <v/>
      </c>
      <c r="N1318" s="12">
        <f>Raw_Data!N1318</f>
        <v/>
      </c>
      <c r="O1318">
        <f>Raw_Data!O1318</f>
        <v/>
      </c>
      <c r="P1318">
        <f>Raw_Data!P1318</f>
        <v/>
      </c>
      <c r="Q1318">
        <f>YEAR(B1318)</f>
        <v/>
      </c>
      <c r="R1318">
        <f>TEXT(B1318,"mmm")</f>
        <v/>
      </c>
      <c r="S1318" s="15">
        <f>IFERROR(N1318/L1318,0)</f>
        <v/>
      </c>
    </row>
    <row r="1319">
      <c r="A1319">
        <f>Raw_Data!A1319</f>
        <v/>
      </c>
      <c r="B1319" s="11">
        <f>Raw_Data!B1319</f>
        <v/>
      </c>
      <c r="C1319">
        <f>Raw_Data!C1319</f>
        <v/>
      </c>
      <c r="D1319">
        <f>Raw_Data!D1319</f>
        <v/>
      </c>
      <c r="E1319">
        <f>Raw_Data!E1319</f>
        <v/>
      </c>
      <c r="F1319">
        <f>Raw_Data!F1319</f>
        <v/>
      </c>
      <c r="G1319">
        <f>Raw_Data!G1319</f>
        <v/>
      </c>
      <c r="H1319">
        <f>Raw_Data!H1319</f>
        <v/>
      </c>
      <c r="I1319">
        <f>Raw_Data!I1319</f>
        <v/>
      </c>
      <c r="J1319" s="12">
        <f>Raw_Data!J1319</f>
        <v/>
      </c>
      <c r="K1319" s="13">
        <f>Raw_Data!K1319</f>
        <v/>
      </c>
      <c r="L1319" s="12">
        <f>Raw_Data!L1319</f>
        <v/>
      </c>
      <c r="M1319" s="12">
        <f>Raw_Data!M1319</f>
        <v/>
      </c>
      <c r="N1319" s="12">
        <f>Raw_Data!N1319</f>
        <v/>
      </c>
      <c r="O1319">
        <f>Raw_Data!O1319</f>
        <v/>
      </c>
      <c r="P1319">
        <f>Raw_Data!P1319</f>
        <v/>
      </c>
      <c r="Q1319">
        <f>YEAR(B1319)</f>
        <v/>
      </c>
      <c r="R1319">
        <f>TEXT(B1319,"mmm")</f>
        <v/>
      </c>
      <c r="S1319" s="15">
        <f>IFERROR(N1319/L1319,0)</f>
        <v/>
      </c>
    </row>
    <row r="1320">
      <c r="A1320">
        <f>Raw_Data!A1320</f>
        <v/>
      </c>
      <c r="B1320" s="11">
        <f>Raw_Data!B1320</f>
        <v/>
      </c>
      <c r="C1320">
        <f>Raw_Data!C1320</f>
        <v/>
      </c>
      <c r="D1320">
        <f>Raw_Data!D1320</f>
        <v/>
      </c>
      <c r="E1320">
        <f>Raw_Data!E1320</f>
        <v/>
      </c>
      <c r="F1320">
        <f>Raw_Data!F1320</f>
        <v/>
      </c>
      <c r="G1320">
        <f>Raw_Data!G1320</f>
        <v/>
      </c>
      <c r="H1320">
        <f>Raw_Data!H1320</f>
        <v/>
      </c>
      <c r="I1320">
        <f>Raw_Data!I1320</f>
        <v/>
      </c>
      <c r="J1320" s="12">
        <f>Raw_Data!J1320</f>
        <v/>
      </c>
      <c r="K1320" s="13">
        <f>Raw_Data!K1320</f>
        <v/>
      </c>
      <c r="L1320" s="12">
        <f>Raw_Data!L1320</f>
        <v/>
      </c>
      <c r="M1320" s="12">
        <f>Raw_Data!M1320</f>
        <v/>
      </c>
      <c r="N1320" s="12">
        <f>Raw_Data!N1320</f>
        <v/>
      </c>
      <c r="O1320">
        <f>Raw_Data!O1320</f>
        <v/>
      </c>
      <c r="P1320">
        <f>Raw_Data!P1320</f>
        <v/>
      </c>
      <c r="Q1320">
        <f>YEAR(B1320)</f>
        <v/>
      </c>
      <c r="R1320">
        <f>TEXT(B1320,"mmm")</f>
        <v/>
      </c>
      <c r="S1320" s="15">
        <f>IFERROR(N1320/L1320,0)</f>
        <v/>
      </c>
    </row>
    <row r="1321">
      <c r="A1321">
        <f>Raw_Data!A1321</f>
        <v/>
      </c>
      <c r="B1321" s="11">
        <f>Raw_Data!B1321</f>
        <v/>
      </c>
      <c r="C1321">
        <f>Raw_Data!C1321</f>
        <v/>
      </c>
      <c r="D1321">
        <f>Raw_Data!D1321</f>
        <v/>
      </c>
      <c r="E1321">
        <f>Raw_Data!E1321</f>
        <v/>
      </c>
      <c r="F1321">
        <f>Raw_Data!F1321</f>
        <v/>
      </c>
      <c r="G1321">
        <f>Raw_Data!G1321</f>
        <v/>
      </c>
      <c r="H1321">
        <f>Raw_Data!H1321</f>
        <v/>
      </c>
      <c r="I1321">
        <f>Raw_Data!I1321</f>
        <v/>
      </c>
      <c r="J1321" s="12">
        <f>Raw_Data!J1321</f>
        <v/>
      </c>
      <c r="K1321" s="13">
        <f>Raw_Data!K1321</f>
        <v/>
      </c>
      <c r="L1321" s="12">
        <f>Raw_Data!L1321</f>
        <v/>
      </c>
      <c r="M1321" s="12">
        <f>Raw_Data!M1321</f>
        <v/>
      </c>
      <c r="N1321" s="12">
        <f>Raw_Data!N1321</f>
        <v/>
      </c>
      <c r="O1321">
        <f>Raw_Data!O1321</f>
        <v/>
      </c>
      <c r="P1321">
        <f>Raw_Data!P1321</f>
        <v/>
      </c>
      <c r="Q1321">
        <f>YEAR(B1321)</f>
        <v/>
      </c>
      <c r="R1321">
        <f>TEXT(B1321,"mmm")</f>
        <v/>
      </c>
      <c r="S1321" s="15">
        <f>IFERROR(N1321/L1321,0)</f>
        <v/>
      </c>
    </row>
    <row r="1322">
      <c r="A1322">
        <f>Raw_Data!A1322</f>
        <v/>
      </c>
      <c r="B1322" s="11">
        <f>Raw_Data!B1322</f>
        <v/>
      </c>
      <c r="C1322">
        <f>Raw_Data!C1322</f>
        <v/>
      </c>
      <c r="D1322">
        <f>Raw_Data!D1322</f>
        <v/>
      </c>
      <c r="E1322">
        <f>Raw_Data!E1322</f>
        <v/>
      </c>
      <c r="F1322">
        <f>Raw_Data!F1322</f>
        <v/>
      </c>
      <c r="G1322">
        <f>Raw_Data!G1322</f>
        <v/>
      </c>
      <c r="H1322">
        <f>Raw_Data!H1322</f>
        <v/>
      </c>
      <c r="I1322">
        <f>Raw_Data!I1322</f>
        <v/>
      </c>
      <c r="J1322" s="12">
        <f>Raw_Data!J1322</f>
        <v/>
      </c>
      <c r="K1322" s="13">
        <f>Raw_Data!K1322</f>
        <v/>
      </c>
      <c r="L1322" s="12">
        <f>Raw_Data!L1322</f>
        <v/>
      </c>
      <c r="M1322" s="12">
        <f>Raw_Data!M1322</f>
        <v/>
      </c>
      <c r="N1322" s="12">
        <f>Raw_Data!N1322</f>
        <v/>
      </c>
      <c r="O1322">
        <f>Raw_Data!O1322</f>
        <v/>
      </c>
      <c r="P1322">
        <f>Raw_Data!P1322</f>
        <v/>
      </c>
      <c r="Q1322">
        <f>YEAR(B1322)</f>
        <v/>
      </c>
      <c r="R1322">
        <f>TEXT(B1322,"mmm")</f>
        <v/>
      </c>
      <c r="S1322" s="15">
        <f>IFERROR(N1322/L1322,0)</f>
        <v/>
      </c>
    </row>
    <row r="1323">
      <c r="A1323">
        <f>Raw_Data!A1323</f>
        <v/>
      </c>
      <c r="B1323" s="11">
        <f>Raw_Data!B1323</f>
        <v/>
      </c>
      <c r="C1323">
        <f>Raw_Data!C1323</f>
        <v/>
      </c>
      <c r="D1323">
        <f>Raw_Data!D1323</f>
        <v/>
      </c>
      <c r="E1323">
        <f>Raw_Data!E1323</f>
        <v/>
      </c>
      <c r="F1323">
        <f>Raw_Data!F1323</f>
        <v/>
      </c>
      <c r="G1323">
        <f>Raw_Data!G1323</f>
        <v/>
      </c>
      <c r="H1323">
        <f>Raw_Data!H1323</f>
        <v/>
      </c>
      <c r="I1323">
        <f>Raw_Data!I1323</f>
        <v/>
      </c>
      <c r="J1323" s="12">
        <f>Raw_Data!J1323</f>
        <v/>
      </c>
      <c r="K1323" s="13">
        <f>Raw_Data!K1323</f>
        <v/>
      </c>
      <c r="L1323" s="12">
        <f>Raw_Data!L1323</f>
        <v/>
      </c>
      <c r="M1323" s="12">
        <f>Raw_Data!M1323</f>
        <v/>
      </c>
      <c r="N1323" s="12">
        <f>Raw_Data!N1323</f>
        <v/>
      </c>
      <c r="O1323">
        <f>Raw_Data!O1323</f>
        <v/>
      </c>
      <c r="P1323">
        <f>Raw_Data!P1323</f>
        <v/>
      </c>
      <c r="Q1323">
        <f>YEAR(B1323)</f>
        <v/>
      </c>
      <c r="R1323">
        <f>TEXT(B1323,"mmm")</f>
        <v/>
      </c>
      <c r="S1323" s="15">
        <f>IFERROR(N1323/L1323,0)</f>
        <v/>
      </c>
    </row>
    <row r="1324">
      <c r="A1324">
        <f>Raw_Data!A1324</f>
        <v/>
      </c>
      <c r="B1324" s="11">
        <f>Raw_Data!B1324</f>
        <v/>
      </c>
      <c r="C1324">
        <f>Raw_Data!C1324</f>
        <v/>
      </c>
      <c r="D1324">
        <f>Raw_Data!D1324</f>
        <v/>
      </c>
      <c r="E1324">
        <f>Raw_Data!E1324</f>
        <v/>
      </c>
      <c r="F1324">
        <f>Raw_Data!F1324</f>
        <v/>
      </c>
      <c r="G1324">
        <f>Raw_Data!G1324</f>
        <v/>
      </c>
      <c r="H1324">
        <f>Raw_Data!H1324</f>
        <v/>
      </c>
      <c r="I1324">
        <f>Raw_Data!I1324</f>
        <v/>
      </c>
      <c r="J1324" s="12">
        <f>Raw_Data!J1324</f>
        <v/>
      </c>
      <c r="K1324" s="13">
        <f>Raw_Data!K1324</f>
        <v/>
      </c>
      <c r="L1324" s="12">
        <f>Raw_Data!L1324</f>
        <v/>
      </c>
      <c r="M1324" s="12">
        <f>Raw_Data!M1324</f>
        <v/>
      </c>
      <c r="N1324" s="12">
        <f>Raw_Data!N1324</f>
        <v/>
      </c>
      <c r="O1324">
        <f>Raw_Data!O1324</f>
        <v/>
      </c>
      <c r="P1324">
        <f>Raw_Data!P1324</f>
        <v/>
      </c>
      <c r="Q1324">
        <f>YEAR(B1324)</f>
        <v/>
      </c>
      <c r="R1324">
        <f>TEXT(B1324,"mmm")</f>
        <v/>
      </c>
      <c r="S1324" s="15">
        <f>IFERROR(N1324/L1324,0)</f>
        <v/>
      </c>
    </row>
    <row r="1325">
      <c r="A1325">
        <f>Raw_Data!A1325</f>
        <v/>
      </c>
      <c r="B1325" s="11">
        <f>Raw_Data!B1325</f>
        <v/>
      </c>
      <c r="C1325">
        <f>Raw_Data!C1325</f>
        <v/>
      </c>
      <c r="D1325">
        <f>Raw_Data!D1325</f>
        <v/>
      </c>
      <c r="E1325">
        <f>Raw_Data!E1325</f>
        <v/>
      </c>
      <c r="F1325">
        <f>Raw_Data!F1325</f>
        <v/>
      </c>
      <c r="G1325">
        <f>Raw_Data!G1325</f>
        <v/>
      </c>
      <c r="H1325">
        <f>Raw_Data!H1325</f>
        <v/>
      </c>
      <c r="I1325">
        <f>Raw_Data!I1325</f>
        <v/>
      </c>
      <c r="J1325" s="12">
        <f>Raw_Data!J1325</f>
        <v/>
      </c>
      <c r="K1325" s="13">
        <f>Raw_Data!K1325</f>
        <v/>
      </c>
      <c r="L1325" s="12">
        <f>Raw_Data!L1325</f>
        <v/>
      </c>
      <c r="M1325" s="12">
        <f>Raw_Data!M1325</f>
        <v/>
      </c>
      <c r="N1325" s="12">
        <f>Raw_Data!N1325</f>
        <v/>
      </c>
      <c r="O1325">
        <f>Raw_Data!O1325</f>
        <v/>
      </c>
      <c r="P1325">
        <f>Raw_Data!P1325</f>
        <v/>
      </c>
      <c r="Q1325">
        <f>YEAR(B1325)</f>
        <v/>
      </c>
      <c r="R1325">
        <f>TEXT(B1325,"mmm")</f>
        <v/>
      </c>
      <c r="S1325" s="15">
        <f>IFERROR(N1325/L1325,0)</f>
        <v/>
      </c>
    </row>
    <row r="1326">
      <c r="A1326">
        <f>Raw_Data!A1326</f>
        <v/>
      </c>
      <c r="B1326" s="11">
        <f>Raw_Data!B1326</f>
        <v/>
      </c>
      <c r="C1326">
        <f>Raw_Data!C1326</f>
        <v/>
      </c>
      <c r="D1326">
        <f>Raw_Data!D1326</f>
        <v/>
      </c>
      <c r="E1326">
        <f>Raw_Data!E1326</f>
        <v/>
      </c>
      <c r="F1326">
        <f>Raw_Data!F1326</f>
        <v/>
      </c>
      <c r="G1326">
        <f>Raw_Data!G1326</f>
        <v/>
      </c>
      <c r="H1326">
        <f>Raw_Data!H1326</f>
        <v/>
      </c>
      <c r="I1326">
        <f>Raw_Data!I1326</f>
        <v/>
      </c>
      <c r="J1326" s="12">
        <f>Raw_Data!J1326</f>
        <v/>
      </c>
      <c r="K1326" s="13">
        <f>Raw_Data!K1326</f>
        <v/>
      </c>
      <c r="L1326" s="12">
        <f>Raw_Data!L1326</f>
        <v/>
      </c>
      <c r="M1326" s="12">
        <f>Raw_Data!M1326</f>
        <v/>
      </c>
      <c r="N1326" s="12">
        <f>Raw_Data!N1326</f>
        <v/>
      </c>
      <c r="O1326">
        <f>Raw_Data!O1326</f>
        <v/>
      </c>
      <c r="P1326">
        <f>Raw_Data!P1326</f>
        <v/>
      </c>
      <c r="Q1326">
        <f>YEAR(B1326)</f>
        <v/>
      </c>
      <c r="R1326">
        <f>TEXT(B1326,"mmm")</f>
        <v/>
      </c>
      <c r="S1326" s="15">
        <f>IFERROR(N1326/L1326,0)</f>
        <v/>
      </c>
    </row>
    <row r="1327">
      <c r="A1327">
        <f>Raw_Data!A1327</f>
        <v/>
      </c>
      <c r="B1327" s="11">
        <f>Raw_Data!B1327</f>
        <v/>
      </c>
      <c r="C1327">
        <f>Raw_Data!C1327</f>
        <v/>
      </c>
      <c r="D1327">
        <f>Raw_Data!D1327</f>
        <v/>
      </c>
      <c r="E1327">
        <f>Raw_Data!E1327</f>
        <v/>
      </c>
      <c r="F1327">
        <f>Raw_Data!F1327</f>
        <v/>
      </c>
      <c r="G1327">
        <f>Raw_Data!G1327</f>
        <v/>
      </c>
      <c r="H1327">
        <f>Raw_Data!H1327</f>
        <v/>
      </c>
      <c r="I1327">
        <f>Raw_Data!I1327</f>
        <v/>
      </c>
      <c r="J1327" s="12">
        <f>Raw_Data!J1327</f>
        <v/>
      </c>
      <c r="K1327" s="13">
        <f>Raw_Data!K1327</f>
        <v/>
      </c>
      <c r="L1327" s="12">
        <f>Raw_Data!L1327</f>
        <v/>
      </c>
      <c r="M1327" s="12">
        <f>Raw_Data!M1327</f>
        <v/>
      </c>
      <c r="N1327" s="12">
        <f>Raw_Data!N1327</f>
        <v/>
      </c>
      <c r="O1327">
        <f>Raw_Data!O1327</f>
        <v/>
      </c>
      <c r="P1327">
        <f>Raw_Data!P1327</f>
        <v/>
      </c>
      <c r="Q1327">
        <f>YEAR(B1327)</f>
        <v/>
      </c>
      <c r="R1327">
        <f>TEXT(B1327,"mmm")</f>
        <v/>
      </c>
      <c r="S1327" s="15">
        <f>IFERROR(N1327/L1327,0)</f>
        <v/>
      </c>
    </row>
    <row r="1328">
      <c r="A1328">
        <f>Raw_Data!A1328</f>
        <v/>
      </c>
      <c r="B1328" s="11">
        <f>Raw_Data!B1328</f>
        <v/>
      </c>
      <c r="C1328">
        <f>Raw_Data!C1328</f>
        <v/>
      </c>
      <c r="D1328">
        <f>Raw_Data!D1328</f>
        <v/>
      </c>
      <c r="E1328">
        <f>Raw_Data!E1328</f>
        <v/>
      </c>
      <c r="F1328">
        <f>Raw_Data!F1328</f>
        <v/>
      </c>
      <c r="G1328">
        <f>Raw_Data!G1328</f>
        <v/>
      </c>
      <c r="H1328">
        <f>Raw_Data!H1328</f>
        <v/>
      </c>
      <c r="I1328">
        <f>Raw_Data!I1328</f>
        <v/>
      </c>
      <c r="J1328" s="12">
        <f>Raw_Data!J1328</f>
        <v/>
      </c>
      <c r="K1328" s="13">
        <f>Raw_Data!K1328</f>
        <v/>
      </c>
      <c r="L1328" s="12">
        <f>Raw_Data!L1328</f>
        <v/>
      </c>
      <c r="M1328" s="12">
        <f>Raw_Data!M1328</f>
        <v/>
      </c>
      <c r="N1328" s="12">
        <f>Raw_Data!N1328</f>
        <v/>
      </c>
      <c r="O1328">
        <f>Raw_Data!O1328</f>
        <v/>
      </c>
      <c r="P1328">
        <f>Raw_Data!P1328</f>
        <v/>
      </c>
      <c r="Q1328">
        <f>YEAR(B1328)</f>
        <v/>
      </c>
      <c r="R1328">
        <f>TEXT(B1328,"mmm")</f>
        <v/>
      </c>
      <c r="S1328" s="15">
        <f>IFERROR(N1328/L1328,0)</f>
        <v/>
      </c>
    </row>
    <row r="1329">
      <c r="A1329">
        <f>Raw_Data!A1329</f>
        <v/>
      </c>
      <c r="B1329" s="11">
        <f>Raw_Data!B1329</f>
        <v/>
      </c>
      <c r="C1329">
        <f>Raw_Data!C1329</f>
        <v/>
      </c>
      <c r="D1329">
        <f>Raw_Data!D1329</f>
        <v/>
      </c>
      <c r="E1329">
        <f>Raw_Data!E1329</f>
        <v/>
      </c>
      <c r="F1329">
        <f>Raw_Data!F1329</f>
        <v/>
      </c>
      <c r="G1329">
        <f>Raw_Data!G1329</f>
        <v/>
      </c>
      <c r="H1329">
        <f>Raw_Data!H1329</f>
        <v/>
      </c>
      <c r="I1329">
        <f>Raw_Data!I1329</f>
        <v/>
      </c>
      <c r="J1329" s="12">
        <f>Raw_Data!J1329</f>
        <v/>
      </c>
      <c r="K1329" s="13">
        <f>Raw_Data!K1329</f>
        <v/>
      </c>
      <c r="L1329" s="12">
        <f>Raw_Data!L1329</f>
        <v/>
      </c>
      <c r="M1329" s="12">
        <f>Raw_Data!M1329</f>
        <v/>
      </c>
      <c r="N1329" s="12">
        <f>Raw_Data!N1329</f>
        <v/>
      </c>
      <c r="O1329">
        <f>Raw_Data!O1329</f>
        <v/>
      </c>
      <c r="P1329">
        <f>Raw_Data!P1329</f>
        <v/>
      </c>
      <c r="Q1329">
        <f>YEAR(B1329)</f>
        <v/>
      </c>
      <c r="R1329">
        <f>TEXT(B1329,"mmm")</f>
        <v/>
      </c>
      <c r="S1329" s="15">
        <f>IFERROR(N1329/L1329,0)</f>
        <v/>
      </c>
    </row>
    <row r="1330">
      <c r="A1330">
        <f>Raw_Data!A1330</f>
        <v/>
      </c>
      <c r="B1330" s="11">
        <f>Raw_Data!B1330</f>
        <v/>
      </c>
      <c r="C1330">
        <f>Raw_Data!C1330</f>
        <v/>
      </c>
      <c r="D1330">
        <f>Raw_Data!D1330</f>
        <v/>
      </c>
      <c r="E1330">
        <f>Raw_Data!E1330</f>
        <v/>
      </c>
      <c r="F1330">
        <f>Raw_Data!F1330</f>
        <v/>
      </c>
      <c r="G1330">
        <f>Raw_Data!G1330</f>
        <v/>
      </c>
      <c r="H1330">
        <f>Raw_Data!H1330</f>
        <v/>
      </c>
      <c r="I1330">
        <f>Raw_Data!I1330</f>
        <v/>
      </c>
      <c r="J1330" s="12">
        <f>Raw_Data!J1330</f>
        <v/>
      </c>
      <c r="K1330" s="13">
        <f>Raw_Data!K1330</f>
        <v/>
      </c>
      <c r="L1330" s="12">
        <f>Raw_Data!L1330</f>
        <v/>
      </c>
      <c r="M1330" s="12">
        <f>Raw_Data!M1330</f>
        <v/>
      </c>
      <c r="N1330" s="12">
        <f>Raw_Data!N1330</f>
        <v/>
      </c>
      <c r="O1330">
        <f>Raw_Data!O1330</f>
        <v/>
      </c>
      <c r="P1330">
        <f>Raw_Data!P1330</f>
        <v/>
      </c>
      <c r="Q1330">
        <f>YEAR(B1330)</f>
        <v/>
      </c>
      <c r="R1330">
        <f>TEXT(B1330,"mmm")</f>
        <v/>
      </c>
      <c r="S1330" s="15">
        <f>IFERROR(N1330/L1330,0)</f>
        <v/>
      </c>
    </row>
    <row r="1331">
      <c r="A1331">
        <f>Raw_Data!A1331</f>
        <v/>
      </c>
      <c r="B1331" s="11">
        <f>Raw_Data!B1331</f>
        <v/>
      </c>
      <c r="C1331">
        <f>Raw_Data!C1331</f>
        <v/>
      </c>
      <c r="D1331">
        <f>Raw_Data!D1331</f>
        <v/>
      </c>
      <c r="E1331">
        <f>Raw_Data!E1331</f>
        <v/>
      </c>
      <c r="F1331">
        <f>Raw_Data!F1331</f>
        <v/>
      </c>
      <c r="G1331">
        <f>Raw_Data!G1331</f>
        <v/>
      </c>
      <c r="H1331">
        <f>Raw_Data!H1331</f>
        <v/>
      </c>
      <c r="I1331">
        <f>Raw_Data!I1331</f>
        <v/>
      </c>
      <c r="J1331" s="12">
        <f>Raw_Data!J1331</f>
        <v/>
      </c>
      <c r="K1331" s="13">
        <f>Raw_Data!K1331</f>
        <v/>
      </c>
      <c r="L1331" s="12">
        <f>Raw_Data!L1331</f>
        <v/>
      </c>
      <c r="M1331" s="12">
        <f>Raw_Data!M1331</f>
        <v/>
      </c>
      <c r="N1331" s="12">
        <f>Raw_Data!N1331</f>
        <v/>
      </c>
      <c r="O1331">
        <f>Raw_Data!O1331</f>
        <v/>
      </c>
      <c r="P1331">
        <f>Raw_Data!P1331</f>
        <v/>
      </c>
      <c r="Q1331">
        <f>YEAR(B1331)</f>
        <v/>
      </c>
      <c r="R1331">
        <f>TEXT(B1331,"mmm")</f>
        <v/>
      </c>
      <c r="S1331" s="15">
        <f>IFERROR(N1331/L1331,0)</f>
        <v/>
      </c>
    </row>
    <row r="1332">
      <c r="A1332">
        <f>Raw_Data!A1332</f>
        <v/>
      </c>
      <c r="B1332" s="11">
        <f>Raw_Data!B1332</f>
        <v/>
      </c>
      <c r="C1332">
        <f>Raw_Data!C1332</f>
        <v/>
      </c>
      <c r="D1332">
        <f>Raw_Data!D1332</f>
        <v/>
      </c>
      <c r="E1332">
        <f>Raw_Data!E1332</f>
        <v/>
      </c>
      <c r="F1332">
        <f>Raw_Data!F1332</f>
        <v/>
      </c>
      <c r="G1332">
        <f>Raw_Data!G1332</f>
        <v/>
      </c>
      <c r="H1332">
        <f>Raw_Data!H1332</f>
        <v/>
      </c>
      <c r="I1332">
        <f>Raw_Data!I1332</f>
        <v/>
      </c>
      <c r="J1332" s="12">
        <f>Raw_Data!J1332</f>
        <v/>
      </c>
      <c r="K1332" s="13">
        <f>Raw_Data!K1332</f>
        <v/>
      </c>
      <c r="L1332" s="12">
        <f>Raw_Data!L1332</f>
        <v/>
      </c>
      <c r="M1332" s="12">
        <f>Raw_Data!M1332</f>
        <v/>
      </c>
      <c r="N1332" s="12">
        <f>Raw_Data!N1332</f>
        <v/>
      </c>
      <c r="O1332">
        <f>Raw_Data!O1332</f>
        <v/>
      </c>
      <c r="P1332">
        <f>Raw_Data!P1332</f>
        <v/>
      </c>
      <c r="Q1332">
        <f>YEAR(B1332)</f>
        <v/>
      </c>
      <c r="R1332">
        <f>TEXT(B1332,"mmm")</f>
        <v/>
      </c>
      <c r="S1332" s="15">
        <f>IFERROR(N1332/L1332,0)</f>
        <v/>
      </c>
    </row>
    <row r="1333">
      <c r="A1333">
        <f>Raw_Data!A1333</f>
        <v/>
      </c>
      <c r="B1333" s="11">
        <f>Raw_Data!B1333</f>
        <v/>
      </c>
      <c r="C1333">
        <f>Raw_Data!C1333</f>
        <v/>
      </c>
      <c r="D1333">
        <f>Raw_Data!D1333</f>
        <v/>
      </c>
      <c r="E1333">
        <f>Raw_Data!E1333</f>
        <v/>
      </c>
      <c r="F1333">
        <f>Raw_Data!F1333</f>
        <v/>
      </c>
      <c r="G1333">
        <f>Raw_Data!G1333</f>
        <v/>
      </c>
      <c r="H1333">
        <f>Raw_Data!H1333</f>
        <v/>
      </c>
      <c r="I1333">
        <f>Raw_Data!I1333</f>
        <v/>
      </c>
      <c r="J1333" s="12">
        <f>Raw_Data!J1333</f>
        <v/>
      </c>
      <c r="K1333" s="13">
        <f>Raw_Data!K1333</f>
        <v/>
      </c>
      <c r="L1333" s="12">
        <f>Raw_Data!L1333</f>
        <v/>
      </c>
      <c r="M1333" s="12">
        <f>Raw_Data!M1333</f>
        <v/>
      </c>
      <c r="N1333" s="12">
        <f>Raw_Data!N1333</f>
        <v/>
      </c>
      <c r="O1333">
        <f>Raw_Data!O1333</f>
        <v/>
      </c>
      <c r="P1333">
        <f>Raw_Data!P1333</f>
        <v/>
      </c>
      <c r="Q1333">
        <f>YEAR(B1333)</f>
        <v/>
      </c>
      <c r="R1333">
        <f>TEXT(B1333,"mmm")</f>
        <v/>
      </c>
      <c r="S1333" s="15">
        <f>IFERROR(N1333/L1333,0)</f>
        <v/>
      </c>
    </row>
    <row r="1334">
      <c r="A1334">
        <f>Raw_Data!A1334</f>
        <v/>
      </c>
      <c r="B1334" s="11">
        <f>Raw_Data!B1334</f>
        <v/>
      </c>
      <c r="C1334">
        <f>Raw_Data!C1334</f>
        <v/>
      </c>
      <c r="D1334">
        <f>Raw_Data!D1334</f>
        <v/>
      </c>
      <c r="E1334">
        <f>Raw_Data!E1334</f>
        <v/>
      </c>
      <c r="F1334">
        <f>Raw_Data!F1334</f>
        <v/>
      </c>
      <c r="G1334">
        <f>Raw_Data!G1334</f>
        <v/>
      </c>
      <c r="H1334">
        <f>Raw_Data!H1334</f>
        <v/>
      </c>
      <c r="I1334">
        <f>Raw_Data!I1334</f>
        <v/>
      </c>
      <c r="J1334" s="12">
        <f>Raw_Data!J1334</f>
        <v/>
      </c>
      <c r="K1334" s="13">
        <f>Raw_Data!K1334</f>
        <v/>
      </c>
      <c r="L1334" s="12">
        <f>Raw_Data!L1334</f>
        <v/>
      </c>
      <c r="M1334" s="12">
        <f>Raw_Data!M1334</f>
        <v/>
      </c>
      <c r="N1334" s="12">
        <f>Raw_Data!N1334</f>
        <v/>
      </c>
      <c r="O1334">
        <f>Raw_Data!O1334</f>
        <v/>
      </c>
      <c r="P1334">
        <f>Raw_Data!P1334</f>
        <v/>
      </c>
      <c r="Q1334">
        <f>YEAR(B1334)</f>
        <v/>
      </c>
      <c r="R1334">
        <f>TEXT(B1334,"mmm")</f>
        <v/>
      </c>
      <c r="S1334" s="15">
        <f>IFERROR(N1334/L1334,0)</f>
        <v/>
      </c>
    </row>
    <row r="1335">
      <c r="A1335">
        <f>Raw_Data!A1335</f>
        <v/>
      </c>
      <c r="B1335" s="11">
        <f>Raw_Data!B1335</f>
        <v/>
      </c>
      <c r="C1335">
        <f>Raw_Data!C1335</f>
        <v/>
      </c>
      <c r="D1335">
        <f>Raw_Data!D1335</f>
        <v/>
      </c>
      <c r="E1335">
        <f>Raw_Data!E1335</f>
        <v/>
      </c>
      <c r="F1335">
        <f>Raw_Data!F1335</f>
        <v/>
      </c>
      <c r="G1335">
        <f>Raw_Data!G1335</f>
        <v/>
      </c>
      <c r="H1335">
        <f>Raw_Data!H1335</f>
        <v/>
      </c>
      <c r="I1335">
        <f>Raw_Data!I1335</f>
        <v/>
      </c>
      <c r="J1335" s="12">
        <f>Raw_Data!J1335</f>
        <v/>
      </c>
      <c r="K1335" s="13">
        <f>Raw_Data!K1335</f>
        <v/>
      </c>
      <c r="L1335" s="12">
        <f>Raw_Data!L1335</f>
        <v/>
      </c>
      <c r="M1335" s="12">
        <f>Raw_Data!M1335</f>
        <v/>
      </c>
      <c r="N1335" s="12">
        <f>Raw_Data!N1335</f>
        <v/>
      </c>
      <c r="O1335">
        <f>Raw_Data!O1335</f>
        <v/>
      </c>
      <c r="P1335">
        <f>Raw_Data!P1335</f>
        <v/>
      </c>
      <c r="Q1335">
        <f>YEAR(B1335)</f>
        <v/>
      </c>
      <c r="R1335">
        <f>TEXT(B1335,"mmm")</f>
        <v/>
      </c>
      <c r="S1335" s="15">
        <f>IFERROR(N1335/L1335,0)</f>
        <v/>
      </c>
    </row>
    <row r="1336">
      <c r="A1336">
        <f>Raw_Data!A1336</f>
        <v/>
      </c>
      <c r="B1336" s="11">
        <f>Raw_Data!B1336</f>
        <v/>
      </c>
      <c r="C1336">
        <f>Raw_Data!C1336</f>
        <v/>
      </c>
      <c r="D1336">
        <f>Raw_Data!D1336</f>
        <v/>
      </c>
      <c r="E1336">
        <f>Raw_Data!E1336</f>
        <v/>
      </c>
      <c r="F1336">
        <f>Raw_Data!F1336</f>
        <v/>
      </c>
      <c r="G1336">
        <f>Raw_Data!G1336</f>
        <v/>
      </c>
      <c r="H1336">
        <f>Raw_Data!H1336</f>
        <v/>
      </c>
      <c r="I1336">
        <f>Raw_Data!I1336</f>
        <v/>
      </c>
      <c r="J1336" s="12">
        <f>Raw_Data!J1336</f>
        <v/>
      </c>
      <c r="K1336" s="13">
        <f>Raw_Data!K1336</f>
        <v/>
      </c>
      <c r="L1336" s="12">
        <f>Raw_Data!L1336</f>
        <v/>
      </c>
      <c r="M1336" s="12">
        <f>Raw_Data!M1336</f>
        <v/>
      </c>
      <c r="N1336" s="12">
        <f>Raw_Data!N1336</f>
        <v/>
      </c>
      <c r="O1336">
        <f>Raw_Data!O1336</f>
        <v/>
      </c>
      <c r="P1336">
        <f>Raw_Data!P1336</f>
        <v/>
      </c>
      <c r="Q1336">
        <f>YEAR(B1336)</f>
        <v/>
      </c>
      <c r="R1336">
        <f>TEXT(B1336,"mmm")</f>
        <v/>
      </c>
      <c r="S1336" s="15">
        <f>IFERROR(N1336/L1336,0)</f>
        <v/>
      </c>
    </row>
    <row r="1337">
      <c r="A1337">
        <f>Raw_Data!A1337</f>
        <v/>
      </c>
      <c r="B1337" s="11">
        <f>Raw_Data!B1337</f>
        <v/>
      </c>
      <c r="C1337">
        <f>Raw_Data!C1337</f>
        <v/>
      </c>
      <c r="D1337">
        <f>Raw_Data!D1337</f>
        <v/>
      </c>
      <c r="E1337">
        <f>Raw_Data!E1337</f>
        <v/>
      </c>
      <c r="F1337">
        <f>Raw_Data!F1337</f>
        <v/>
      </c>
      <c r="G1337">
        <f>Raw_Data!G1337</f>
        <v/>
      </c>
      <c r="H1337">
        <f>Raw_Data!H1337</f>
        <v/>
      </c>
      <c r="I1337">
        <f>Raw_Data!I1337</f>
        <v/>
      </c>
      <c r="J1337" s="12">
        <f>Raw_Data!J1337</f>
        <v/>
      </c>
      <c r="K1337" s="13">
        <f>Raw_Data!K1337</f>
        <v/>
      </c>
      <c r="L1337" s="12">
        <f>Raw_Data!L1337</f>
        <v/>
      </c>
      <c r="M1337" s="12">
        <f>Raw_Data!M1337</f>
        <v/>
      </c>
      <c r="N1337" s="12">
        <f>Raw_Data!N1337</f>
        <v/>
      </c>
      <c r="O1337">
        <f>Raw_Data!O1337</f>
        <v/>
      </c>
      <c r="P1337">
        <f>Raw_Data!P1337</f>
        <v/>
      </c>
      <c r="Q1337">
        <f>YEAR(B1337)</f>
        <v/>
      </c>
      <c r="R1337">
        <f>TEXT(B1337,"mmm")</f>
        <v/>
      </c>
      <c r="S1337" s="15">
        <f>IFERROR(N1337/L1337,0)</f>
        <v/>
      </c>
    </row>
    <row r="1338">
      <c r="A1338">
        <f>Raw_Data!A1338</f>
        <v/>
      </c>
      <c r="B1338" s="11">
        <f>Raw_Data!B1338</f>
        <v/>
      </c>
      <c r="C1338">
        <f>Raw_Data!C1338</f>
        <v/>
      </c>
      <c r="D1338">
        <f>Raw_Data!D1338</f>
        <v/>
      </c>
      <c r="E1338">
        <f>Raw_Data!E1338</f>
        <v/>
      </c>
      <c r="F1338">
        <f>Raw_Data!F1338</f>
        <v/>
      </c>
      <c r="G1338">
        <f>Raw_Data!G1338</f>
        <v/>
      </c>
      <c r="H1338">
        <f>Raw_Data!H1338</f>
        <v/>
      </c>
      <c r="I1338">
        <f>Raw_Data!I1338</f>
        <v/>
      </c>
      <c r="J1338" s="12">
        <f>Raw_Data!J1338</f>
        <v/>
      </c>
      <c r="K1338" s="13">
        <f>Raw_Data!K1338</f>
        <v/>
      </c>
      <c r="L1338" s="12">
        <f>Raw_Data!L1338</f>
        <v/>
      </c>
      <c r="M1338" s="12">
        <f>Raw_Data!M1338</f>
        <v/>
      </c>
      <c r="N1338" s="12">
        <f>Raw_Data!N1338</f>
        <v/>
      </c>
      <c r="O1338">
        <f>Raw_Data!O1338</f>
        <v/>
      </c>
      <c r="P1338">
        <f>Raw_Data!P1338</f>
        <v/>
      </c>
      <c r="Q1338">
        <f>YEAR(B1338)</f>
        <v/>
      </c>
      <c r="R1338">
        <f>TEXT(B1338,"mmm")</f>
        <v/>
      </c>
      <c r="S1338" s="15">
        <f>IFERROR(N1338/L1338,0)</f>
        <v/>
      </c>
    </row>
    <row r="1339">
      <c r="A1339">
        <f>Raw_Data!A1339</f>
        <v/>
      </c>
      <c r="B1339" s="11">
        <f>Raw_Data!B1339</f>
        <v/>
      </c>
      <c r="C1339">
        <f>Raw_Data!C1339</f>
        <v/>
      </c>
      <c r="D1339">
        <f>Raw_Data!D1339</f>
        <v/>
      </c>
      <c r="E1339">
        <f>Raw_Data!E1339</f>
        <v/>
      </c>
      <c r="F1339">
        <f>Raw_Data!F1339</f>
        <v/>
      </c>
      <c r="G1339">
        <f>Raw_Data!G1339</f>
        <v/>
      </c>
      <c r="H1339">
        <f>Raw_Data!H1339</f>
        <v/>
      </c>
      <c r="I1339">
        <f>Raw_Data!I1339</f>
        <v/>
      </c>
      <c r="J1339" s="12">
        <f>Raw_Data!J1339</f>
        <v/>
      </c>
      <c r="K1339" s="13">
        <f>Raw_Data!K1339</f>
        <v/>
      </c>
      <c r="L1339" s="12">
        <f>Raw_Data!L1339</f>
        <v/>
      </c>
      <c r="M1339" s="12">
        <f>Raw_Data!M1339</f>
        <v/>
      </c>
      <c r="N1339" s="12">
        <f>Raw_Data!N1339</f>
        <v/>
      </c>
      <c r="O1339">
        <f>Raw_Data!O1339</f>
        <v/>
      </c>
      <c r="P1339">
        <f>Raw_Data!P1339</f>
        <v/>
      </c>
      <c r="Q1339">
        <f>YEAR(B1339)</f>
        <v/>
      </c>
      <c r="R1339">
        <f>TEXT(B1339,"mmm")</f>
        <v/>
      </c>
      <c r="S1339" s="15">
        <f>IFERROR(N1339/L1339,0)</f>
        <v/>
      </c>
    </row>
    <row r="1340">
      <c r="A1340">
        <f>Raw_Data!A1340</f>
        <v/>
      </c>
      <c r="B1340" s="11">
        <f>Raw_Data!B1340</f>
        <v/>
      </c>
      <c r="C1340">
        <f>Raw_Data!C1340</f>
        <v/>
      </c>
      <c r="D1340">
        <f>Raw_Data!D1340</f>
        <v/>
      </c>
      <c r="E1340">
        <f>Raw_Data!E1340</f>
        <v/>
      </c>
      <c r="F1340">
        <f>Raw_Data!F1340</f>
        <v/>
      </c>
      <c r="G1340">
        <f>Raw_Data!G1340</f>
        <v/>
      </c>
      <c r="H1340">
        <f>Raw_Data!H1340</f>
        <v/>
      </c>
      <c r="I1340">
        <f>Raw_Data!I1340</f>
        <v/>
      </c>
      <c r="J1340" s="12">
        <f>Raw_Data!J1340</f>
        <v/>
      </c>
      <c r="K1340" s="13">
        <f>Raw_Data!K1340</f>
        <v/>
      </c>
      <c r="L1340" s="12">
        <f>Raw_Data!L1340</f>
        <v/>
      </c>
      <c r="M1340" s="12">
        <f>Raw_Data!M1340</f>
        <v/>
      </c>
      <c r="N1340" s="12">
        <f>Raw_Data!N1340</f>
        <v/>
      </c>
      <c r="O1340">
        <f>Raw_Data!O1340</f>
        <v/>
      </c>
      <c r="P1340">
        <f>Raw_Data!P1340</f>
        <v/>
      </c>
      <c r="Q1340">
        <f>YEAR(B1340)</f>
        <v/>
      </c>
      <c r="R1340">
        <f>TEXT(B1340,"mmm")</f>
        <v/>
      </c>
      <c r="S1340" s="15">
        <f>IFERROR(N1340/L1340,0)</f>
        <v/>
      </c>
    </row>
    <row r="1341">
      <c r="A1341">
        <f>Raw_Data!A1341</f>
        <v/>
      </c>
      <c r="B1341" s="11">
        <f>Raw_Data!B1341</f>
        <v/>
      </c>
      <c r="C1341">
        <f>Raw_Data!C1341</f>
        <v/>
      </c>
      <c r="D1341">
        <f>Raw_Data!D1341</f>
        <v/>
      </c>
      <c r="E1341">
        <f>Raw_Data!E1341</f>
        <v/>
      </c>
      <c r="F1341">
        <f>Raw_Data!F1341</f>
        <v/>
      </c>
      <c r="G1341">
        <f>Raw_Data!G1341</f>
        <v/>
      </c>
      <c r="H1341">
        <f>Raw_Data!H1341</f>
        <v/>
      </c>
      <c r="I1341">
        <f>Raw_Data!I1341</f>
        <v/>
      </c>
      <c r="J1341" s="12">
        <f>Raw_Data!J1341</f>
        <v/>
      </c>
      <c r="K1341" s="13">
        <f>Raw_Data!K1341</f>
        <v/>
      </c>
      <c r="L1341" s="12">
        <f>Raw_Data!L1341</f>
        <v/>
      </c>
      <c r="M1341" s="12">
        <f>Raw_Data!M1341</f>
        <v/>
      </c>
      <c r="N1341" s="12">
        <f>Raw_Data!N1341</f>
        <v/>
      </c>
      <c r="O1341">
        <f>Raw_Data!O1341</f>
        <v/>
      </c>
      <c r="P1341">
        <f>Raw_Data!P1341</f>
        <v/>
      </c>
      <c r="Q1341">
        <f>YEAR(B1341)</f>
        <v/>
      </c>
      <c r="R1341">
        <f>TEXT(B1341,"mmm")</f>
        <v/>
      </c>
      <c r="S1341" s="15">
        <f>IFERROR(N1341/L1341,0)</f>
        <v/>
      </c>
    </row>
    <row r="1342">
      <c r="A1342">
        <f>Raw_Data!A1342</f>
        <v/>
      </c>
      <c r="B1342" s="11">
        <f>Raw_Data!B1342</f>
        <v/>
      </c>
      <c r="C1342">
        <f>Raw_Data!C1342</f>
        <v/>
      </c>
      <c r="D1342">
        <f>Raw_Data!D1342</f>
        <v/>
      </c>
      <c r="E1342">
        <f>Raw_Data!E1342</f>
        <v/>
      </c>
      <c r="F1342">
        <f>Raw_Data!F1342</f>
        <v/>
      </c>
      <c r="G1342">
        <f>Raw_Data!G1342</f>
        <v/>
      </c>
      <c r="H1342">
        <f>Raw_Data!H1342</f>
        <v/>
      </c>
      <c r="I1342">
        <f>Raw_Data!I1342</f>
        <v/>
      </c>
      <c r="J1342" s="12">
        <f>Raw_Data!J1342</f>
        <v/>
      </c>
      <c r="K1342" s="13">
        <f>Raw_Data!K1342</f>
        <v/>
      </c>
      <c r="L1342" s="12">
        <f>Raw_Data!L1342</f>
        <v/>
      </c>
      <c r="M1342" s="12">
        <f>Raw_Data!M1342</f>
        <v/>
      </c>
      <c r="N1342" s="12">
        <f>Raw_Data!N1342</f>
        <v/>
      </c>
      <c r="O1342">
        <f>Raw_Data!O1342</f>
        <v/>
      </c>
      <c r="P1342">
        <f>Raw_Data!P1342</f>
        <v/>
      </c>
      <c r="Q1342">
        <f>YEAR(B1342)</f>
        <v/>
      </c>
      <c r="R1342">
        <f>TEXT(B1342,"mmm")</f>
        <v/>
      </c>
      <c r="S1342" s="15">
        <f>IFERROR(N1342/L1342,0)</f>
        <v/>
      </c>
    </row>
    <row r="1343">
      <c r="A1343">
        <f>Raw_Data!A1343</f>
        <v/>
      </c>
      <c r="B1343" s="11">
        <f>Raw_Data!B1343</f>
        <v/>
      </c>
      <c r="C1343">
        <f>Raw_Data!C1343</f>
        <v/>
      </c>
      <c r="D1343">
        <f>Raw_Data!D1343</f>
        <v/>
      </c>
      <c r="E1343">
        <f>Raw_Data!E1343</f>
        <v/>
      </c>
      <c r="F1343">
        <f>Raw_Data!F1343</f>
        <v/>
      </c>
      <c r="G1343">
        <f>Raw_Data!G1343</f>
        <v/>
      </c>
      <c r="H1343">
        <f>Raw_Data!H1343</f>
        <v/>
      </c>
      <c r="I1343">
        <f>Raw_Data!I1343</f>
        <v/>
      </c>
      <c r="J1343" s="12">
        <f>Raw_Data!J1343</f>
        <v/>
      </c>
      <c r="K1343" s="13">
        <f>Raw_Data!K1343</f>
        <v/>
      </c>
      <c r="L1343" s="12">
        <f>Raw_Data!L1343</f>
        <v/>
      </c>
      <c r="M1343" s="12">
        <f>Raw_Data!M1343</f>
        <v/>
      </c>
      <c r="N1343" s="12">
        <f>Raw_Data!N1343</f>
        <v/>
      </c>
      <c r="O1343">
        <f>Raw_Data!O1343</f>
        <v/>
      </c>
      <c r="P1343">
        <f>Raw_Data!P1343</f>
        <v/>
      </c>
      <c r="Q1343">
        <f>YEAR(B1343)</f>
        <v/>
      </c>
      <c r="R1343">
        <f>TEXT(B1343,"mmm")</f>
        <v/>
      </c>
      <c r="S1343" s="15">
        <f>IFERROR(N1343/L1343,0)</f>
        <v/>
      </c>
    </row>
    <row r="1344">
      <c r="A1344">
        <f>Raw_Data!A1344</f>
        <v/>
      </c>
      <c r="B1344" s="11">
        <f>Raw_Data!B1344</f>
        <v/>
      </c>
      <c r="C1344">
        <f>Raw_Data!C1344</f>
        <v/>
      </c>
      <c r="D1344">
        <f>Raw_Data!D1344</f>
        <v/>
      </c>
      <c r="E1344">
        <f>Raw_Data!E1344</f>
        <v/>
      </c>
      <c r="F1344">
        <f>Raw_Data!F1344</f>
        <v/>
      </c>
      <c r="G1344">
        <f>Raw_Data!G1344</f>
        <v/>
      </c>
      <c r="H1344">
        <f>Raw_Data!H1344</f>
        <v/>
      </c>
      <c r="I1344">
        <f>Raw_Data!I1344</f>
        <v/>
      </c>
      <c r="J1344" s="12">
        <f>Raw_Data!J1344</f>
        <v/>
      </c>
      <c r="K1344" s="13">
        <f>Raw_Data!K1344</f>
        <v/>
      </c>
      <c r="L1344" s="12">
        <f>Raw_Data!L1344</f>
        <v/>
      </c>
      <c r="M1344" s="12">
        <f>Raw_Data!M1344</f>
        <v/>
      </c>
      <c r="N1344" s="12">
        <f>Raw_Data!N1344</f>
        <v/>
      </c>
      <c r="O1344">
        <f>Raw_Data!O1344</f>
        <v/>
      </c>
      <c r="P1344">
        <f>Raw_Data!P1344</f>
        <v/>
      </c>
      <c r="Q1344">
        <f>YEAR(B1344)</f>
        <v/>
      </c>
      <c r="R1344">
        <f>TEXT(B1344,"mmm")</f>
        <v/>
      </c>
      <c r="S1344" s="15">
        <f>IFERROR(N1344/L1344,0)</f>
        <v/>
      </c>
    </row>
    <row r="1345">
      <c r="A1345">
        <f>Raw_Data!A1345</f>
        <v/>
      </c>
      <c r="B1345" s="11">
        <f>Raw_Data!B1345</f>
        <v/>
      </c>
      <c r="C1345">
        <f>Raw_Data!C1345</f>
        <v/>
      </c>
      <c r="D1345">
        <f>Raw_Data!D1345</f>
        <v/>
      </c>
      <c r="E1345">
        <f>Raw_Data!E1345</f>
        <v/>
      </c>
      <c r="F1345">
        <f>Raw_Data!F1345</f>
        <v/>
      </c>
      <c r="G1345">
        <f>Raw_Data!G1345</f>
        <v/>
      </c>
      <c r="H1345">
        <f>Raw_Data!H1345</f>
        <v/>
      </c>
      <c r="I1345">
        <f>Raw_Data!I1345</f>
        <v/>
      </c>
      <c r="J1345" s="12">
        <f>Raw_Data!J1345</f>
        <v/>
      </c>
      <c r="K1345" s="13">
        <f>Raw_Data!K1345</f>
        <v/>
      </c>
      <c r="L1345" s="12">
        <f>Raw_Data!L1345</f>
        <v/>
      </c>
      <c r="M1345" s="12">
        <f>Raw_Data!M1345</f>
        <v/>
      </c>
      <c r="N1345" s="12">
        <f>Raw_Data!N1345</f>
        <v/>
      </c>
      <c r="O1345">
        <f>Raw_Data!O1345</f>
        <v/>
      </c>
      <c r="P1345">
        <f>Raw_Data!P1345</f>
        <v/>
      </c>
      <c r="Q1345">
        <f>YEAR(B1345)</f>
        <v/>
      </c>
      <c r="R1345">
        <f>TEXT(B1345,"mmm")</f>
        <v/>
      </c>
      <c r="S1345" s="15">
        <f>IFERROR(N1345/L1345,0)</f>
        <v/>
      </c>
    </row>
    <row r="1346">
      <c r="A1346">
        <f>Raw_Data!A1346</f>
        <v/>
      </c>
      <c r="B1346" s="11">
        <f>Raw_Data!B1346</f>
        <v/>
      </c>
      <c r="C1346">
        <f>Raw_Data!C1346</f>
        <v/>
      </c>
      <c r="D1346">
        <f>Raw_Data!D1346</f>
        <v/>
      </c>
      <c r="E1346">
        <f>Raw_Data!E1346</f>
        <v/>
      </c>
      <c r="F1346">
        <f>Raw_Data!F1346</f>
        <v/>
      </c>
      <c r="G1346">
        <f>Raw_Data!G1346</f>
        <v/>
      </c>
      <c r="H1346">
        <f>Raw_Data!H1346</f>
        <v/>
      </c>
      <c r="I1346">
        <f>Raw_Data!I1346</f>
        <v/>
      </c>
      <c r="J1346" s="12">
        <f>Raw_Data!J1346</f>
        <v/>
      </c>
      <c r="K1346" s="13">
        <f>Raw_Data!K1346</f>
        <v/>
      </c>
      <c r="L1346" s="12">
        <f>Raw_Data!L1346</f>
        <v/>
      </c>
      <c r="M1346" s="12">
        <f>Raw_Data!M1346</f>
        <v/>
      </c>
      <c r="N1346" s="12">
        <f>Raw_Data!N1346</f>
        <v/>
      </c>
      <c r="O1346">
        <f>Raw_Data!O1346</f>
        <v/>
      </c>
      <c r="P1346">
        <f>Raw_Data!P1346</f>
        <v/>
      </c>
      <c r="Q1346">
        <f>YEAR(B1346)</f>
        <v/>
      </c>
      <c r="R1346">
        <f>TEXT(B1346,"mmm")</f>
        <v/>
      </c>
      <c r="S1346" s="15">
        <f>IFERROR(N1346/L1346,0)</f>
        <v/>
      </c>
    </row>
    <row r="1347">
      <c r="A1347">
        <f>Raw_Data!A1347</f>
        <v/>
      </c>
      <c r="B1347" s="11">
        <f>Raw_Data!B1347</f>
        <v/>
      </c>
      <c r="C1347">
        <f>Raw_Data!C1347</f>
        <v/>
      </c>
      <c r="D1347">
        <f>Raw_Data!D1347</f>
        <v/>
      </c>
      <c r="E1347">
        <f>Raw_Data!E1347</f>
        <v/>
      </c>
      <c r="F1347">
        <f>Raw_Data!F1347</f>
        <v/>
      </c>
      <c r="G1347">
        <f>Raw_Data!G1347</f>
        <v/>
      </c>
      <c r="H1347">
        <f>Raw_Data!H1347</f>
        <v/>
      </c>
      <c r="I1347">
        <f>Raw_Data!I1347</f>
        <v/>
      </c>
      <c r="J1347" s="12">
        <f>Raw_Data!J1347</f>
        <v/>
      </c>
      <c r="K1347" s="13">
        <f>Raw_Data!K1347</f>
        <v/>
      </c>
      <c r="L1347" s="12">
        <f>Raw_Data!L1347</f>
        <v/>
      </c>
      <c r="M1347" s="12">
        <f>Raw_Data!M1347</f>
        <v/>
      </c>
      <c r="N1347" s="12">
        <f>Raw_Data!N1347</f>
        <v/>
      </c>
      <c r="O1347">
        <f>Raw_Data!O1347</f>
        <v/>
      </c>
      <c r="P1347">
        <f>Raw_Data!P1347</f>
        <v/>
      </c>
      <c r="Q1347">
        <f>YEAR(B1347)</f>
        <v/>
      </c>
      <c r="R1347">
        <f>TEXT(B1347,"mmm")</f>
        <v/>
      </c>
      <c r="S1347" s="15">
        <f>IFERROR(N1347/L1347,0)</f>
        <v/>
      </c>
    </row>
    <row r="1348">
      <c r="A1348">
        <f>Raw_Data!A1348</f>
        <v/>
      </c>
      <c r="B1348" s="11">
        <f>Raw_Data!B1348</f>
        <v/>
      </c>
      <c r="C1348">
        <f>Raw_Data!C1348</f>
        <v/>
      </c>
      <c r="D1348">
        <f>Raw_Data!D1348</f>
        <v/>
      </c>
      <c r="E1348">
        <f>Raw_Data!E1348</f>
        <v/>
      </c>
      <c r="F1348">
        <f>Raw_Data!F1348</f>
        <v/>
      </c>
      <c r="G1348">
        <f>Raw_Data!G1348</f>
        <v/>
      </c>
      <c r="H1348">
        <f>Raw_Data!H1348</f>
        <v/>
      </c>
      <c r="I1348">
        <f>Raw_Data!I1348</f>
        <v/>
      </c>
      <c r="J1348" s="12">
        <f>Raw_Data!J1348</f>
        <v/>
      </c>
      <c r="K1348" s="13">
        <f>Raw_Data!K1348</f>
        <v/>
      </c>
      <c r="L1348" s="12">
        <f>Raw_Data!L1348</f>
        <v/>
      </c>
      <c r="M1348" s="12">
        <f>Raw_Data!M1348</f>
        <v/>
      </c>
      <c r="N1348" s="12">
        <f>Raw_Data!N1348</f>
        <v/>
      </c>
      <c r="O1348">
        <f>Raw_Data!O1348</f>
        <v/>
      </c>
      <c r="P1348">
        <f>Raw_Data!P1348</f>
        <v/>
      </c>
      <c r="Q1348">
        <f>YEAR(B1348)</f>
        <v/>
      </c>
      <c r="R1348">
        <f>TEXT(B1348,"mmm")</f>
        <v/>
      </c>
      <c r="S1348" s="15">
        <f>IFERROR(N1348/L1348,0)</f>
        <v/>
      </c>
    </row>
    <row r="1349">
      <c r="A1349">
        <f>Raw_Data!A1349</f>
        <v/>
      </c>
      <c r="B1349" s="11">
        <f>Raw_Data!B1349</f>
        <v/>
      </c>
      <c r="C1349">
        <f>Raw_Data!C1349</f>
        <v/>
      </c>
      <c r="D1349">
        <f>Raw_Data!D1349</f>
        <v/>
      </c>
      <c r="E1349">
        <f>Raw_Data!E1349</f>
        <v/>
      </c>
      <c r="F1349">
        <f>Raw_Data!F1349</f>
        <v/>
      </c>
      <c r="G1349">
        <f>Raw_Data!G1349</f>
        <v/>
      </c>
      <c r="H1349">
        <f>Raw_Data!H1349</f>
        <v/>
      </c>
      <c r="I1349">
        <f>Raw_Data!I1349</f>
        <v/>
      </c>
      <c r="J1349" s="12">
        <f>Raw_Data!J1349</f>
        <v/>
      </c>
      <c r="K1349" s="13">
        <f>Raw_Data!K1349</f>
        <v/>
      </c>
      <c r="L1349" s="12">
        <f>Raw_Data!L1349</f>
        <v/>
      </c>
      <c r="M1349" s="12">
        <f>Raw_Data!M1349</f>
        <v/>
      </c>
      <c r="N1349" s="12">
        <f>Raw_Data!N1349</f>
        <v/>
      </c>
      <c r="O1349">
        <f>Raw_Data!O1349</f>
        <v/>
      </c>
      <c r="P1349">
        <f>Raw_Data!P1349</f>
        <v/>
      </c>
      <c r="Q1349">
        <f>YEAR(B1349)</f>
        <v/>
      </c>
      <c r="R1349">
        <f>TEXT(B1349,"mmm")</f>
        <v/>
      </c>
      <c r="S1349" s="15">
        <f>IFERROR(N1349/L1349,0)</f>
        <v/>
      </c>
    </row>
    <row r="1350">
      <c r="A1350">
        <f>Raw_Data!A1350</f>
        <v/>
      </c>
      <c r="B1350" s="11">
        <f>Raw_Data!B1350</f>
        <v/>
      </c>
      <c r="C1350">
        <f>Raw_Data!C1350</f>
        <v/>
      </c>
      <c r="D1350">
        <f>Raw_Data!D1350</f>
        <v/>
      </c>
      <c r="E1350">
        <f>Raw_Data!E1350</f>
        <v/>
      </c>
      <c r="F1350">
        <f>Raw_Data!F1350</f>
        <v/>
      </c>
      <c r="G1350">
        <f>Raw_Data!G1350</f>
        <v/>
      </c>
      <c r="H1350">
        <f>Raw_Data!H1350</f>
        <v/>
      </c>
      <c r="I1350">
        <f>Raw_Data!I1350</f>
        <v/>
      </c>
      <c r="J1350" s="12">
        <f>Raw_Data!J1350</f>
        <v/>
      </c>
      <c r="K1350" s="13">
        <f>Raw_Data!K1350</f>
        <v/>
      </c>
      <c r="L1350" s="12">
        <f>Raw_Data!L1350</f>
        <v/>
      </c>
      <c r="M1350" s="12">
        <f>Raw_Data!M1350</f>
        <v/>
      </c>
      <c r="N1350" s="12">
        <f>Raw_Data!N1350</f>
        <v/>
      </c>
      <c r="O1350">
        <f>Raw_Data!O1350</f>
        <v/>
      </c>
      <c r="P1350">
        <f>Raw_Data!P1350</f>
        <v/>
      </c>
      <c r="Q1350">
        <f>YEAR(B1350)</f>
        <v/>
      </c>
      <c r="R1350">
        <f>TEXT(B1350,"mmm")</f>
        <v/>
      </c>
      <c r="S1350" s="15">
        <f>IFERROR(N1350/L1350,0)</f>
        <v/>
      </c>
    </row>
    <row r="1351">
      <c r="A1351">
        <f>Raw_Data!A1351</f>
        <v/>
      </c>
      <c r="B1351" s="11">
        <f>Raw_Data!B1351</f>
        <v/>
      </c>
      <c r="C1351">
        <f>Raw_Data!C1351</f>
        <v/>
      </c>
      <c r="D1351">
        <f>Raw_Data!D1351</f>
        <v/>
      </c>
      <c r="E1351">
        <f>Raw_Data!E1351</f>
        <v/>
      </c>
      <c r="F1351">
        <f>Raw_Data!F1351</f>
        <v/>
      </c>
      <c r="G1351">
        <f>Raw_Data!G1351</f>
        <v/>
      </c>
      <c r="H1351">
        <f>Raw_Data!H1351</f>
        <v/>
      </c>
      <c r="I1351">
        <f>Raw_Data!I1351</f>
        <v/>
      </c>
      <c r="J1351" s="12">
        <f>Raw_Data!J1351</f>
        <v/>
      </c>
      <c r="K1351" s="13">
        <f>Raw_Data!K1351</f>
        <v/>
      </c>
      <c r="L1351" s="12">
        <f>Raw_Data!L1351</f>
        <v/>
      </c>
      <c r="M1351" s="12">
        <f>Raw_Data!M1351</f>
        <v/>
      </c>
      <c r="N1351" s="12">
        <f>Raw_Data!N1351</f>
        <v/>
      </c>
      <c r="O1351">
        <f>Raw_Data!O1351</f>
        <v/>
      </c>
      <c r="P1351">
        <f>Raw_Data!P1351</f>
        <v/>
      </c>
      <c r="Q1351">
        <f>YEAR(B1351)</f>
        <v/>
      </c>
      <c r="R1351">
        <f>TEXT(B1351,"mmm")</f>
        <v/>
      </c>
      <c r="S1351" s="15">
        <f>IFERROR(N1351/L1351,0)</f>
        <v/>
      </c>
    </row>
    <row r="1352">
      <c r="A1352">
        <f>Raw_Data!A1352</f>
        <v/>
      </c>
      <c r="B1352" s="11">
        <f>Raw_Data!B1352</f>
        <v/>
      </c>
      <c r="C1352">
        <f>Raw_Data!C1352</f>
        <v/>
      </c>
      <c r="D1352">
        <f>Raw_Data!D1352</f>
        <v/>
      </c>
      <c r="E1352">
        <f>Raw_Data!E1352</f>
        <v/>
      </c>
      <c r="F1352">
        <f>Raw_Data!F1352</f>
        <v/>
      </c>
      <c r="G1352">
        <f>Raw_Data!G1352</f>
        <v/>
      </c>
      <c r="H1352">
        <f>Raw_Data!H1352</f>
        <v/>
      </c>
      <c r="I1352">
        <f>Raw_Data!I1352</f>
        <v/>
      </c>
      <c r="J1352" s="12">
        <f>Raw_Data!J1352</f>
        <v/>
      </c>
      <c r="K1352" s="13">
        <f>Raw_Data!K1352</f>
        <v/>
      </c>
      <c r="L1352" s="12">
        <f>Raw_Data!L1352</f>
        <v/>
      </c>
      <c r="M1352" s="12">
        <f>Raw_Data!M1352</f>
        <v/>
      </c>
      <c r="N1352" s="12">
        <f>Raw_Data!N1352</f>
        <v/>
      </c>
      <c r="O1352">
        <f>Raw_Data!O1352</f>
        <v/>
      </c>
      <c r="P1352">
        <f>Raw_Data!P1352</f>
        <v/>
      </c>
      <c r="Q1352">
        <f>YEAR(B1352)</f>
        <v/>
      </c>
      <c r="R1352">
        <f>TEXT(B1352,"mmm")</f>
        <v/>
      </c>
      <c r="S1352" s="15">
        <f>IFERROR(N1352/L1352,0)</f>
        <v/>
      </c>
    </row>
    <row r="1353">
      <c r="A1353">
        <f>Raw_Data!A1353</f>
        <v/>
      </c>
      <c r="B1353" s="11">
        <f>Raw_Data!B1353</f>
        <v/>
      </c>
      <c r="C1353">
        <f>Raw_Data!C1353</f>
        <v/>
      </c>
      <c r="D1353">
        <f>Raw_Data!D1353</f>
        <v/>
      </c>
      <c r="E1353">
        <f>Raw_Data!E1353</f>
        <v/>
      </c>
      <c r="F1353">
        <f>Raw_Data!F1353</f>
        <v/>
      </c>
      <c r="G1353">
        <f>Raw_Data!G1353</f>
        <v/>
      </c>
      <c r="H1353">
        <f>Raw_Data!H1353</f>
        <v/>
      </c>
      <c r="I1353">
        <f>Raw_Data!I1353</f>
        <v/>
      </c>
      <c r="J1353" s="12">
        <f>Raw_Data!J1353</f>
        <v/>
      </c>
      <c r="K1353" s="13">
        <f>Raw_Data!K1353</f>
        <v/>
      </c>
      <c r="L1353" s="12">
        <f>Raw_Data!L1353</f>
        <v/>
      </c>
      <c r="M1353" s="12">
        <f>Raw_Data!M1353</f>
        <v/>
      </c>
      <c r="N1353" s="12">
        <f>Raw_Data!N1353</f>
        <v/>
      </c>
      <c r="O1353">
        <f>Raw_Data!O1353</f>
        <v/>
      </c>
      <c r="P1353">
        <f>Raw_Data!P1353</f>
        <v/>
      </c>
      <c r="Q1353">
        <f>YEAR(B1353)</f>
        <v/>
      </c>
      <c r="R1353">
        <f>TEXT(B1353,"mmm")</f>
        <v/>
      </c>
      <c r="S1353" s="15">
        <f>IFERROR(N1353/L1353,0)</f>
        <v/>
      </c>
    </row>
    <row r="1354">
      <c r="A1354">
        <f>Raw_Data!A1354</f>
        <v/>
      </c>
      <c r="B1354" s="11">
        <f>Raw_Data!B1354</f>
        <v/>
      </c>
      <c r="C1354">
        <f>Raw_Data!C1354</f>
        <v/>
      </c>
      <c r="D1354">
        <f>Raw_Data!D1354</f>
        <v/>
      </c>
      <c r="E1354">
        <f>Raw_Data!E1354</f>
        <v/>
      </c>
      <c r="F1354">
        <f>Raw_Data!F1354</f>
        <v/>
      </c>
      <c r="G1354">
        <f>Raw_Data!G1354</f>
        <v/>
      </c>
      <c r="H1354">
        <f>Raw_Data!H1354</f>
        <v/>
      </c>
      <c r="I1354">
        <f>Raw_Data!I1354</f>
        <v/>
      </c>
      <c r="J1354" s="12">
        <f>Raw_Data!J1354</f>
        <v/>
      </c>
      <c r="K1354" s="13">
        <f>Raw_Data!K1354</f>
        <v/>
      </c>
      <c r="L1354" s="12">
        <f>Raw_Data!L1354</f>
        <v/>
      </c>
      <c r="M1354" s="12">
        <f>Raw_Data!M1354</f>
        <v/>
      </c>
      <c r="N1354" s="12">
        <f>Raw_Data!N1354</f>
        <v/>
      </c>
      <c r="O1354">
        <f>Raw_Data!O1354</f>
        <v/>
      </c>
      <c r="P1354">
        <f>Raw_Data!P1354</f>
        <v/>
      </c>
      <c r="Q1354">
        <f>YEAR(B1354)</f>
        <v/>
      </c>
      <c r="R1354">
        <f>TEXT(B1354,"mmm")</f>
        <v/>
      </c>
      <c r="S1354" s="15">
        <f>IFERROR(N1354/L1354,0)</f>
        <v/>
      </c>
    </row>
    <row r="1355">
      <c r="A1355">
        <f>Raw_Data!A1355</f>
        <v/>
      </c>
      <c r="B1355" s="11">
        <f>Raw_Data!B1355</f>
        <v/>
      </c>
      <c r="C1355">
        <f>Raw_Data!C1355</f>
        <v/>
      </c>
      <c r="D1355">
        <f>Raw_Data!D1355</f>
        <v/>
      </c>
      <c r="E1355">
        <f>Raw_Data!E1355</f>
        <v/>
      </c>
      <c r="F1355">
        <f>Raw_Data!F1355</f>
        <v/>
      </c>
      <c r="G1355">
        <f>Raw_Data!G1355</f>
        <v/>
      </c>
      <c r="H1355">
        <f>Raw_Data!H1355</f>
        <v/>
      </c>
      <c r="I1355">
        <f>Raw_Data!I1355</f>
        <v/>
      </c>
      <c r="J1355" s="12">
        <f>Raw_Data!J1355</f>
        <v/>
      </c>
      <c r="K1355" s="13">
        <f>Raw_Data!K1355</f>
        <v/>
      </c>
      <c r="L1355" s="12">
        <f>Raw_Data!L1355</f>
        <v/>
      </c>
      <c r="M1355" s="12">
        <f>Raw_Data!M1355</f>
        <v/>
      </c>
      <c r="N1355" s="12">
        <f>Raw_Data!N1355</f>
        <v/>
      </c>
      <c r="O1355">
        <f>Raw_Data!O1355</f>
        <v/>
      </c>
      <c r="P1355">
        <f>Raw_Data!P1355</f>
        <v/>
      </c>
      <c r="Q1355">
        <f>YEAR(B1355)</f>
        <v/>
      </c>
      <c r="R1355">
        <f>TEXT(B1355,"mmm")</f>
        <v/>
      </c>
      <c r="S1355" s="15">
        <f>IFERROR(N1355/L1355,0)</f>
        <v/>
      </c>
    </row>
    <row r="1356">
      <c r="A1356">
        <f>Raw_Data!A1356</f>
        <v/>
      </c>
      <c r="B1356" s="11">
        <f>Raw_Data!B1356</f>
        <v/>
      </c>
      <c r="C1356">
        <f>Raw_Data!C1356</f>
        <v/>
      </c>
      <c r="D1356">
        <f>Raw_Data!D1356</f>
        <v/>
      </c>
      <c r="E1356">
        <f>Raw_Data!E1356</f>
        <v/>
      </c>
      <c r="F1356">
        <f>Raw_Data!F1356</f>
        <v/>
      </c>
      <c r="G1356">
        <f>Raw_Data!G1356</f>
        <v/>
      </c>
      <c r="H1356">
        <f>Raw_Data!H1356</f>
        <v/>
      </c>
      <c r="I1356">
        <f>Raw_Data!I1356</f>
        <v/>
      </c>
      <c r="J1356" s="12">
        <f>Raw_Data!J1356</f>
        <v/>
      </c>
      <c r="K1356" s="13">
        <f>Raw_Data!K1356</f>
        <v/>
      </c>
      <c r="L1356" s="12">
        <f>Raw_Data!L1356</f>
        <v/>
      </c>
      <c r="M1356" s="12">
        <f>Raw_Data!M1356</f>
        <v/>
      </c>
      <c r="N1356" s="12">
        <f>Raw_Data!N1356</f>
        <v/>
      </c>
      <c r="O1356">
        <f>Raw_Data!O1356</f>
        <v/>
      </c>
      <c r="P1356">
        <f>Raw_Data!P1356</f>
        <v/>
      </c>
      <c r="Q1356">
        <f>YEAR(B1356)</f>
        <v/>
      </c>
      <c r="R1356">
        <f>TEXT(B1356,"mmm")</f>
        <v/>
      </c>
      <c r="S1356" s="15">
        <f>IFERROR(N1356/L1356,0)</f>
        <v/>
      </c>
    </row>
    <row r="1357">
      <c r="A1357">
        <f>Raw_Data!A1357</f>
        <v/>
      </c>
      <c r="B1357" s="11">
        <f>Raw_Data!B1357</f>
        <v/>
      </c>
      <c r="C1357">
        <f>Raw_Data!C1357</f>
        <v/>
      </c>
      <c r="D1357">
        <f>Raw_Data!D1357</f>
        <v/>
      </c>
      <c r="E1357">
        <f>Raw_Data!E1357</f>
        <v/>
      </c>
      <c r="F1357">
        <f>Raw_Data!F1357</f>
        <v/>
      </c>
      <c r="G1357">
        <f>Raw_Data!G1357</f>
        <v/>
      </c>
      <c r="H1357">
        <f>Raw_Data!H1357</f>
        <v/>
      </c>
      <c r="I1357">
        <f>Raw_Data!I1357</f>
        <v/>
      </c>
      <c r="J1357" s="12">
        <f>Raw_Data!J1357</f>
        <v/>
      </c>
      <c r="K1357" s="13">
        <f>Raw_Data!K1357</f>
        <v/>
      </c>
      <c r="L1357" s="12">
        <f>Raw_Data!L1357</f>
        <v/>
      </c>
      <c r="M1357" s="12">
        <f>Raw_Data!M1357</f>
        <v/>
      </c>
      <c r="N1357" s="12">
        <f>Raw_Data!N1357</f>
        <v/>
      </c>
      <c r="O1357">
        <f>Raw_Data!O1357</f>
        <v/>
      </c>
      <c r="P1357">
        <f>Raw_Data!P1357</f>
        <v/>
      </c>
      <c r="Q1357">
        <f>YEAR(B1357)</f>
        <v/>
      </c>
      <c r="R1357">
        <f>TEXT(B1357,"mmm")</f>
        <v/>
      </c>
      <c r="S1357" s="15">
        <f>IFERROR(N1357/L1357,0)</f>
        <v/>
      </c>
    </row>
    <row r="1358">
      <c r="A1358">
        <f>Raw_Data!A1358</f>
        <v/>
      </c>
      <c r="B1358" s="11">
        <f>Raw_Data!B1358</f>
        <v/>
      </c>
      <c r="C1358">
        <f>Raw_Data!C1358</f>
        <v/>
      </c>
      <c r="D1358">
        <f>Raw_Data!D1358</f>
        <v/>
      </c>
      <c r="E1358">
        <f>Raw_Data!E1358</f>
        <v/>
      </c>
      <c r="F1358">
        <f>Raw_Data!F1358</f>
        <v/>
      </c>
      <c r="G1358">
        <f>Raw_Data!G1358</f>
        <v/>
      </c>
      <c r="H1358">
        <f>Raw_Data!H1358</f>
        <v/>
      </c>
      <c r="I1358">
        <f>Raw_Data!I1358</f>
        <v/>
      </c>
      <c r="J1358" s="12">
        <f>Raw_Data!J1358</f>
        <v/>
      </c>
      <c r="K1358" s="13">
        <f>Raw_Data!K1358</f>
        <v/>
      </c>
      <c r="L1358" s="12">
        <f>Raw_Data!L1358</f>
        <v/>
      </c>
      <c r="M1358" s="12">
        <f>Raw_Data!M1358</f>
        <v/>
      </c>
      <c r="N1358" s="12">
        <f>Raw_Data!N1358</f>
        <v/>
      </c>
      <c r="O1358">
        <f>Raw_Data!O1358</f>
        <v/>
      </c>
      <c r="P1358">
        <f>Raw_Data!P1358</f>
        <v/>
      </c>
      <c r="Q1358">
        <f>YEAR(B1358)</f>
        <v/>
      </c>
      <c r="R1358">
        <f>TEXT(B1358,"mmm")</f>
        <v/>
      </c>
      <c r="S1358" s="15">
        <f>IFERROR(N1358/L1358,0)</f>
        <v/>
      </c>
    </row>
    <row r="1359">
      <c r="A1359">
        <f>Raw_Data!A1359</f>
        <v/>
      </c>
      <c r="B1359" s="11">
        <f>Raw_Data!B1359</f>
        <v/>
      </c>
      <c r="C1359">
        <f>Raw_Data!C1359</f>
        <v/>
      </c>
      <c r="D1359">
        <f>Raw_Data!D1359</f>
        <v/>
      </c>
      <c r="E1359">
        <f>Raw_Data!E1359</f>
        <v/>
      </c>
      <c r="F1359">
        <f>Raw_Data!F1359</f>
        <v/>
      </c>
      <c r="G1359">
        <f>Raw_Data!G1359</f>
        <v/>
      </c>
      <c r="H1359">
        <f>Raw_Data!H1359</f>
        <v/>
      </c>
      <c r="I1359">
        <f>Raw_Data!I1359</f>
        <v/>
      </c>
      <c r="J1359" s="12">
        <f>Raw_Data!J1359</f>
        <v/>
      </c>
      <c r="K1359" s="13">
        <f>Raw_Data!K1359</f>
        <v/>
      </c>
      <c r="L1359" s="12">
        <f>Raw_Data!L1359</f>
        <v/>
      </c>
      <c r="M1359" s="12">
        <f>Raw_Data!M1359</f>
        <v/>
      </c>
      <c r="N1359" s="12">
        <f>Raw_Data!N1359</f>
        <v/>
      </c>
      <c r="O1359">
        <f>Raw_Data!O1359</f>
        <v/>
      </c>
      <c r="P1359">
        <f>Raw_Data!P1359</f>
        <v/>
      </c>
      <c r="Q1359">
        <f>YEAR(B1359)</f>
        <v/>
      </c>
      <c r="R1359">
        <f>TEXT(B1359,"mmm")</f>
        <v/>
      </c>
      <c r="S1359" s="15">
        <f>IFERROR(N1359/L1359,0)</f>
        <v/>
      </c>
    </row>
    <row r="1360">
      <c r="A1360">
        <f>Raw_Data!A1360</f>
        <v/>
      </c>
      <c r="B1360" s="11">
        <f>Raw_Data!B1360</f>
        <v/>
      </c>
      <c r="C1360">
        <f>Raw_Data!C1360</f>
        <v/>
      </c>
      <c r="D1360">
        <f>Raw_Data!D1360</f>
        <v/>
      </c>
      <c r="E1360">
        <f>Raw_Data!E1360</f>
        <v/>
      </c>
      <c r="F1360">
        <f>Raw_Data!F1360</f>
        <v/>
      </c>
      <c r="G1360">
        <f>Raw_Data!G1360</f>
        <v/>
      </c>
      <c r="H1360">
        <f>Raw_Data!H1360</f>
        <v/>
      </c>
      <c r="I1360">
        <f>Raw_Data!I1360</f>
        <v/>
      </c>
      <c r="J1360" s="12">
        <f>Raw_Data!J1360</f>
        <v/>
      </c>
      <c r="K1360" s="13">
        <f>Raw_Data!K1360</f>
        <v/>
      </c>
      <c r="L1360" s="12">
        <f>Raw_Data!L1360</f>
        <v/>
      </c>
      <c r="M1360" s="12">
        <f>Raw_Data!M1360</f>
        <v/>
      </c>
      <c r="N1360" s="12">
        <f>Raw_Data!N1360</f>
        <v/>
      </c>
      <c r="O1360">
        <f>Raw_Data!O1360</f>
        <v/>
      </c>
      <c r="P1360">
        <f>Raw_Data!P1360</f>
        <v/>
      </c>
      <c r="Q1360">
        <f>YEAR(B1360)</f>
        <v/>
      </c>
      <c r="R1360">
        <f>TEXT(B1360,"mmm")</f>
        <v/>
      </c>
      <c r="S1360" s="15">
        <f>IFERROR(N1360/L1360,0)</f>
        <v/>
      </c>
    </row>
    <row r="1361">
      <c r="A1361">
        <f>Raw_Data!A1361</f>
        <v/>
      </c>
      <c r="B1361" s="11">
        <f>Raw_Data!B1361</f>
        <v/>
      </c>
      <c r="C1361">
        <f>Raw_Data!C1361</f>
        <v/>
      </c>
      <c r="D1361">
        <f>Raw_Data!D1361</f>
        <v/>
      </c>
      <c r="E1361">
        <f>Raw_Data!E1361</f>
        <v/>
      </c>
      <c r="F1361">
        <f>Raw_Data!F1361</f>
        <v/>
      </c>
      <c r="G1361">
        <f>Raw_Data!G1361</f>
        <v/>
      </c>
      <c r="H1361">
        <f>Raw_Data!H1361</f>
        <v/>
      </c>
      <c r="I1361">
        <f>Raw_Data!I1361</f>
        <v/>
      </c>
      <c r="J1361" s="12">
        <f>Raw_Data!J1361</f>
        <v/>
      </c>
      <c r="K1361" s="13">
        <f>Raw_Data!K1361</f>
        <v/>
      </c>
      <c r="L1361" s="12">
        <f>Raw_Data!L1361</f>
        <v/>
      </c>
      <c r="M1361" s="12">
        <f>Raw_Data!M1361</f>
        <v/>
      </c>
      <c r="N1361" s="12">
        <f>Raw_Data!N1361</f>
        <v/>
      </c>
      <c r="O1361">
        <f>Raw_Data!O1361</f>
        <v/>
      </c>
      <c r="P1361">
        <f>Raw_Data!P1361</f>
        <v/>
      </c>
      <c r="Q1361">
        <f>YEAR(B1361)</f>
        <v/>
      </c>
      <c r="R1361">
        <f>TEXT(B1361,"mmm")</f>
        <v/>
      </c>
      <c r="S1361" s="15">
        <f>IFERROR(N1361/L1361,0)</f>
        <v/>
      </c>
    </row>
    <row r="1362">
      <c r="A1362">
        <f>Raw_Data!A1362</f>
        <v/>
      </c>
      <c r="B1362" s="11">
        <f>Raw_Data!B1362</f>
        <v/>
      </c>
      <c r="C1362">
        <f>Raw_Data!C1362</f>
        <v/>
      </c>
      <c r="D1362">
        <f>Raw_Data!D1362</f>
        <v/>
      </c>
      <c r="E1362">
        <f>Raw_Data!E1362</f>
        <v/>
      </c>
      <c r="F1362">
        <f>Raw_Data!F1362</f>
        <v/>
      </c>
      <c r="G1362">
        <f>Raw_Data!G1362</f>
        <v/>
      </c>
      <c r="H1362">
        <f>Raw_Data!H1362</f>
        <v/>
      </c>
      <c r="I1362">
        <f>Raw_Data!I1362</f>
        <v/>
      </c>
      <c r="J1362" s="12">
        <f>Raw_Data!J1362</f>
        <v/>
      </c>
      <c r="K1362" s="13">
        <f>Raw_Data!K1362</f>
        <v/>
      </c>
      <c r="L1362" s="12">
        <f>Raw_Data!L1362</f>
        <v/>
      </c>
      <c r="M1362" s="12">
        <f>Raw_Data!M1362</f>
        <v/>
      </c>
      <c r="N1362" s="12">
        <f>Raw_Data!N1362</f>
        <v/>
      </c>
      <c r="O1362">
        <f>Raw_Data!O1362</f>
        <v/>
      </c>
      <c r="P1362">
        <f>Raw_Data!P1362</f>
        <v/>
      </c>
      <c r="Q1362">
        <f>YEAR(B1362)</f>
        <v/>
      </c>
      <c r="R1362">
        <f>TEXT(B1362,"mmm")</f>
        <v/>
      </c>
      <c r="S1362" s="15">
        <f>IFERROR(N1362/L1362,0)</f>
        <v/>
      </c>
    </row>
    <row r="1363">
      <c r="A1363">
        <f>Raw_Data!A1363</f>
        <v/>
      </c>
      <c r="B1363" s="11">
        <f>Raw_Data!B1363</f>
        <v/>
      </c>
      <c r="C1363">
        <f>Raw_Data!C1363</f>
        <v/>
      </c>
      <c r="D1363">
        <f>Raw_Data!D1363</f>
        <v/>
      </c>
      <c r="E1363">
        <f>Raw_Data!E1363</f>
        <v/>
      </c>
      <c r="F1363">
        <f>Raw_Data!F1363</f>
        <v/>
      </c>
      <c r="G1363">
        <f>Raw_Data!G1363</f>
        <v/>
      </c>
      <c r="H1363">
        <f>Raw_Data!H1363</f>
        <v/>
      </c>
      <c r="I1363">
        <f>Raw_Data!I1363</f>
        <v/>
      </c>
      <c r="J1363" s="12">
        <f>Raw_Data!J1363</f>
        <v/>
      </c>
      <c r="K1363" s="13">
        <f>Raw_Data!K1363</f>
        <v/>
      </c>
      <c r="L1363" s="12">
        <f>Raw_Data!L1363</f>
        <v/>
      </c>
      <c r="M1363" s="12">
        <f>Raw_Data!M1363</f>
        <v/>
      </c>
      <c r="N1363" s="12">
        <f>Raw_Data!N1363</f>
        <v/>
      </c>
      <c r="O1363">
        <f>Raw_Data!O1363</f>
        <v/>
      </c>
      <c r="P1363">
        <f>Raw_Data!P1363</f>
        <v/>
      </c>
      <c r="Q1363">
        <f>YEAR(B1363)</f>
        <v/>
      </c>
      <c r="R1363">
        <f>TEXT(B1363,"mmm")</f>
        <v/>
      </c>
      <c r="S1363" s="15">
        <f>IFERROR(N1363/L1363,0)</f>
        <v/>
      </c>
    </row>
    <row r="1364">
      <c r="A1364">
        <f>Raw_Data!A1364</f>
        <v/>
      </c>
      <c r="B1364" s="11">
        <f>Raw_Data!B1364</f>
        <v/>
      </c>
      <c r="C1364">
        <f>Raw_Data!C1364</f>
        <v/>
      </c>
      <c r="D1364">
        <f>Raw_Data!D1364</f>
        <v/>
      </c>
      <c r="E1364">
        <f>Raw_Data!E1364</f>
        <v/>
      </c>
      <c r="F1364">
        <f>Raw_Data!F1364</f>
        <v/>
      </c>
      <c r="G1364">
        <f>Raw_Data!G1364</f>
        <v/>
      </c>
      <c r="H1364">
        <f>Raw_Data!H1364</f>
        <v/>
      </c>
      <c r="I1364">
        <f>Raw_Data!I1364</f>
        <v/>
      </c>
      <c r="J1364" s="12">
        <f>Raw_Data!J1364</f>
        <v/>
      </c>
      <c r="K1364" s="13">
        <f>Raw_Data!K1364</f>
        <v/>
      </c>
      <c r="L1364" s="12">
        <f>Raw_Data!L1364</f>
        <v/>
      </c>
      <c r="M1364" s="12">
        <f>Raw_Data!M1364</f>
        <v/>
      </c>
      <c r="N1364" s="12">
        <f>Raw_Data!N1364</f>
        <v/>
      </c>
      <c r="O1364">
        <f>Raw_Data!O1364</f>
        <v/>
      </c>
      <c r="P1364">
        <f>Raw_Data!P1364</f>
        <v/>
      </c>
      <c r="Q1364">
        <f>YEAR(B1364)</f>
        <v/>
      </c>
      <c r="R1364">
        <f>TEXT(B1364,"mmm")</f>
        <v/>
      </c>
      <c r="S1364" s="15">
        <f>IFERROR(N1364/L1364,0)</f>
        <v/>
      </c>
    </row>
    <row r="1365">
      <c r="A1365">
        <f>Raw_Data!A1365</f>
        <v/>
      </c>
      <c r="B1365" s="11">
        <f>Raw_Data!B1365</f>
        <v/>
      </c>
      <c r="C1365">
        <f>Raw_Data!C1365</f>
        <v/>
      </c>
      <c r="D1365">
        <f>Raw_Data!D1365</f>
        <v/>
      </c>
      <c r="E1365">
        <f>Raw_Data!E1365</f>
        <v/>
      </c>
      <c r="F1365">
        <f>Raw_Data!F1365</f>
        <v/>
      </c>
      <c r="G1365">
        <f>Raw_Data!G1365</f>
        <v/>
      </c>
      <c r="H1365">
        <f>Raw_Data!H1365</f>
        <v/>
      </c>
      <c r="I1365">
        <f>Raw_Data!I1365</f>
        <v/>
      </c>
      <c r="J1365" s="12">
        <f>Raw_Data!J1365</f>
        <v/>
      </c>
      <c r="K1365" s="13">
        <f>Raw_Data!K1365</f>
        <v/>
      </c>
      <c r="L1365" s="12">
        <f>Raw_Data!L1365</f>
        <v/>
      </c>
      <c r="M1365" s="12">
        <f>Raw_Data!M1365</f>
        <v/>
      </c>
      <c r="N1365" s="12">
        <f>Raw_Data!N1365</f>
        <v/>
      </c>
      <c r="O1365">
        <f>Raw_Data!O1365</f>
        <v/>
      </c>
      <c r="P1365">
        <f>Raw_Data!P1365</f>
        <v/>
      </c>
      <c r="Q1365">
        <f>YEAR(B1365)</f>
        <v/>
      </c>
      <c r="R1365">
        <f>TEXT(B1365,"mmm")</f>
        <v/>
      </c>
      <c r="S1365" s="15">
        <f>IFERROR(N1365/L1365,0)</f>
        <v/>
      </c>
    </row>
    <row r="1366">
      <c r="A1366">
        <f>Raw_Data!A1366</f>
        <v/>
      </c>
      <c r="B1366" s="11">
        <f>Raw_Data!B1366</f>
        <v/>
      </c>
      <c r="C1366">
        <f>Raw_Data!C1366</f>
        <v/>
      </c>
      <c r="D1366">
        <f>Raw_Data!D1366</f>
        <v/>
      </c>
      <c r="E1366">
        <f>Raw_Data!E1366</f>
        <v/>
      </c>
      <c r="F1366">
        <f>Raw_Data!F1366</f>
        <v/>
      </c>
      <c r="G1366">
        <f>Raw_Data!G1366</f>
        <v/>
      </c>
      <c r="H1366">
        <f>Raw_Data!H1366</f>
        <v/>
      </c>
      <c r="I1366">
        <f>Raw_Data!I1366</f>
        <v/>
      </c>
      <c r="J1366" s="12">
        <f>Raw_Data!J1366</f>
        <v/>
      </c>
      <c r="K1366" s="13">
        <f>Raw_Data!K1366</f>
        <v/>
      </c>
      <c r="L1366" s="12">
        <f>Raw_Data!L1366</f>
        <v/>
      </c>
      <c r="M1366" s="12">
        <f>Raw_Data!M1366</f>
        <v/>
      </c>
      <c r="N1366" s="12">
        <f>Raw_Data!N1366</f>
        <v/>
      </c>
      <c r="O1366">
        <f>Raw_Data!O1366</f>
        <v/>
      </c>
      <c r="P1366">
        <f>Raw_Data!P1366</f>
        <v/>
      </c>
      <c r="Q1366">
        <f>YEAR(B1366)</f>
        <v/>
      </c>
      <c r="R1366">
        <f>TEXT(B1366,"mmm")</f>
        <v/>
      </c>
      <c r="S1366" s="15">
        <f>IFERROR(N1366/L1366,0)</f>
        <v/>
      </c>
    </row>
    <row r="1367">
      <c r="A1367">
        <f>Raw_Data!A1367</f>
        <v/>
      </c>
      <c r="B1367" s="11">
        <f>Raw_Data!B1367</f>
        <v/>
      </c>
      <c r="C1367">
        <f>Raw_Data!C1367</f>
        <v/>
      </c>
      <c r="D1367">
        <f>Raw_Data!D1367</f>
        <v/>
      </c>
      <c r="E1367">
        <f>Raw_Data!E1367</f>
        <v/>
      </c>
      <c r="F1367">
        <f>Raw_Data!F1367</f>
        <v/>
      </c>
      <c r="G1367">
        <f>Raw_Data!G1367</f>
        <v/>
      </c>
      <c r="H1367">
        <f>Raw_Data!H1367</f>
        <v/>
      </c>
      <c r="I1367">
        <f>Raw_Data!I1367</f>
        <v/>
      </c>
      <c r="J1367" s="12">
        <f>Raw_Data!J1367</f>
        <v/>
      </c>
      <c r="K1367" s="13">
        <f>Raw_Data!K1367</f>
        <v/>
      </c>
      <c r="L1367" s="12">
        <f>Raw_Data!L1367</f>
        <v/>
      </c>
      <c r="M1367" s="12">
        <f>Raw_Data!M1367</f>
        <v/>
      </c>
      <c r="N1367" s="12">
        <f>Raw_Data!N1367</f>
        <v/>
      </c>
      <c r="O1367">
        <f>Raw_Data!O1367</f>
        <v/>
      </c>
      <c r="P1367">
        <f>Raw_Data!P1367</f>
        <v/>
      </c>
      <c r="Q1367">
        <f>YEAR(B1367)</f>
        <v/>
      </c>
      <c r="R1367">
        <f>TEXT(B1367,"mmm")</f>
        <v/>
      </c>
      <c r="S1367" s="15">
        <f>IFERROR(N1367/L1367,0)</f>
        <v/>
      </c>
    </row>
    <row r="1368">
      <c r="A1368">
        <f>Raw_Data!A1368</f>
        <v/>
      </c>
      <c r="B1368" s="11">
        <f>Raw_Data!B1368</f>
        <v/>
      </c>
      <c r="C1368">
        <f>Raw_Data!C1368</f>
        <v/>
      </c>
      <c r="D1368">
        <f>Raw_Data!D1368</f>
        <v/>
      </c>
      <c r="E1368">
        <f>Raw_Data!E1368</f>
        <v/>
      </c>
      <c r="F1368">
        <f>Raw_Data!F1368</f>
        <v/>
      </c>
      <c r="G1368">
        <f>Raw_Data!G1368</f>
        <v/>
      </c>
      <c r="H1368">
        <f>Raw_Data!H1368</f>
        <v/>
      </c>
      <c r="I1368">
        <f>Raw_Data!I1368</f>
        <v/>
      </c>
      <c r="J1368" s="12">
        <f>Raw_Data!J1368</f>
        <v/>
      </c>
      <c r="K1368" s="13">
        <f>Raw_Data!K1368</f>
        <v/>
      </c>
      <c r="L1368" s="12">
        <f>Raw_Data!L1368</f>
        <v/>
      </c>
      <c r="M1368" s="12">
        <f>Raw_Data!M1368</f>
        <v/>
      </c>
      <c r="N1368" s="12">
        <f>Raw_Data!N1368</f>
        <v/>
      </c>
      <c r="O1368">
        <f>Raw_Data!O1368</f>
        <v/>
      </c>
      <c r="P1368">
        <f>Raw_Data!P1368</f>
        <v/>
      </c>
      <c r="Q1368">
        <f>YEAR(B1368)</f>
        <v/>
      </c>
      <c r="R1368">
        <f>TEXT(B1368,"mmm")</f>
        <v/>
      </c>
      <c r="S1368" s="15">
        <f>IFERROR(N1368/L1368,0)</f>
        <v/>
      </c>
    </row>
    <row r="1369">
      <c r="A1369">
        <f>Raw_Data!A1369</f>
        <v/>
      </c>
      <c r="B1369" s="11">
        <f>Raw_Data!B1369</f>
        <v/>
      </c>
      <c r="C1369">
        <f>Raw_Data!C1369</f>
        <v/>
      </c>
      <c r="D1369">
        <f>Raw_Data!D1369</f>
        <v/>
      </c>
      <c r="E1369">
        <f>Raw_Data!E1369</f>
        <v/>
      </c>
      <c r="F1369">
        <f>Raw_Data!F1369</f>
        <v/>
      </c>
      <c r="G1369">
        <f>Raw_Data!G1369</f>
        <v/>
      </c>
      <c r="H1369">
        <f>Raw_Data!H1369</f>
        <v/>
      </c>
      <c r="I1369">
        <f>Raw_Data!I1369</f>
        <v/>
      </c>
      <c r="J1369" s="12">
        <f>Raw_Data!J1369</f>
        <v/>
      </c>
      <c r="K1369" s="13">
        <f>Raw_Data!K1369</f>
        <v/>
      </c>
      <c r="L1369" s="12">
        <f>Raw_Data!L1369</f>
        <v/>
      </c>
      <c r="M1369" s="12">
        <f>Raw_Data!M1369</f>
        <v/>
      </c>
      <c r="N1369" s="12">
        <f>Raw_Data!N1369</f>
        <v/>
      </c>
      <c r="O1369">
        <f>Raw_Data!O1369</f>
        <v/>
      </c>
      <c r="P1369">
        <f>Raw_Data!P1369</f>
        <v/>
      </c>
      <c r="Q1369">
        <f>YEAR(B1369)</f>
        <v/>
      </c>
      <c r="R1369">
        <f>TEXT(B1369,"mmm")</f>
        <v/>
      </c>
      <c r="S1369" s="15">
        <f>IFERROR(N1369/L1369,0)</f>
        <v/>
      </c>
    </row>
    <row r="1370">
      <c r="A1370">
        <f>Raw_Data!A1370</f>
        <v/>
      </c>
      <c r="B1370" s="11">
        <f>Raw_Data!B1370</f>
        <v/>
      </c>
      <c r="C1370">
        <f>Raw_Data!C1370</f>
        <v/>
      </c>
      <c r="D1370">
        <f>Raw_Data!D1370</f>
        <v/>
      </c>
      <c r="E1370">
        <f>Raw_Data!E1370</f>
        <v/>
      </c>
      <c r="F1370">
        <f>Raw_Data!F1370</f>
        <v/>
      </c>
      <c r="G1370">
        <f>Raw_Data!G1370</f>
        <v/>
      </c>
      <c r="H1370">
        <f>Raw_Data!H1370</f>
        <v/>
      </c>
      <c r="I1370">
        <f>Raw_Data!I1370</f>
        <v/>
      </c>
      <c r="J1370" s="12">
        <f>Raw_Data!J1370</f>
        <v/>
      </c>
      <c r="K1370" s="13">
        <f>Raw_Data!K1370</f>
        <v/>
      </c>
      <c r="L1370" s="12">
        <f>Raw_Data!L1370</f>
        <v/>
      </c>
      <c r="M1370" s="12">
        <f>Raw_Data!M1370</f>
        <v/>
      </c>
      <c r="N1370" s="12">
        <f>Raw_Data!N1370</f>
        <v/>
      </c>
      <c r="O1370">
        <f>Raw_Data!O1370</f>
        <v/>
      </c>
      <c r="P1370">
        <f>Raw_Data!P1370</f>
        <v/>
      </c>
      <c r="Q1370">
        <f>YEAR(B1370)</f>
        <v/>
      </c>
      <c r="R1370">
        <f>TEXT(B1370,"mmm")</f>
        <v/>
      </c>
      <c r="S1370" s="15">
        <f>IFERROR(N1370/L1370,0)</f>
        <v/>
      </c>
    </row>
    <row r="1371">
      <c r="A1371">
        <f>Raw_Data!A1371</f>
        <v/>
      </c>
      <c r="B1371" s="11">
        <f>Raw_Data!B1371</f>
        <v/>
      </c>
      <c r="C1371">
        <f>Raw_Data!C1371</f>
        <v/>
      </c>
      <c r="D1371">
        <f>Raw_Data!D1371</f>
        <v/>
      </c>
      <c r="E1371">
        <f>Raw_Data!E1371</f>
        <v/>
      </c>
      <c r="F1371">
        <f>Raw_Data!F1371</f>
        <v/>
      </c>
      <c r="G1371">
        <f>Raw_Data!G1371</f>
        <v/>
      </c>
      <c r="H1371">
        <f>Raw_Data!H1371</f>
        <v/>
      </c>
      <c r="I1371">
        <f>Raw_Data!I1371</f>
        <v/>
      </c>
      <c r="J1371" s="12">
        <f>Raw_Data!J1371</f>
        <v/>
      </c>
      <c r="K1371" s="13">
        <f>Raw_Data!K1371</f>
        <v/>
      </c>
      <c r="L1371" s="12">
        <f>Raw_Data!L1371</f>
        <v/>
      </c>
      <c r="M1371" s="12">
        <f>Raw_Data!M1371</f>
        <v/>
      </c>
      <c r="N1371" s="12">
        <f>Raw_Data!N1371</f>
        <v/>
      </c>
      <c r="O1371">
        <f>Raw_Data!O1371</f>
        <v/>
      </c>
      <c r="P1371">
        <f>Raw_Data!P1371</f>
        <v/>
      </c>
      <c r="Q1371">
        <f>YEAR(B1371)</f>
        <v/>
      </c>
      <c r="R1371">
        <f>TEXT(B1371,"mmm")</f>
        <v/>
      </c>
      <c r="S1371" s="15">
        <f>IFERROR(N1371/L1371,0)</f>
        <v/>
      </c>
    </row>
    <row r="1372">
      <c r="A1372">
        <f>Raw_Data!A1372</f>
        <v/>
      </c>
      <c r="B1372" s="11">
        <f>Raw_Data!B1372</f>
        <v/>
      </c>
      <c r="C1372">
        <f>Raw_Data!C1372</f>
        <v/>
      </c>
      <c r="D1372">
        <f>Raw_Data!D1372</f>
        <v/>
      </c>
      <c r="E1372">
        <f>Raw_Data!E1372</f>
        <v/>
      </c>
      <c r="F1372">
        <f>Raw_Data!F1372</f>
        <v/>
      </c>
      <c r="G1372">
        <f>Raw_Data!G1372</f>
        <v/>
      </c>
      <c r="H1372">
        <f>Raw_Data!H1372</f>
        <v/>
      </c>
      <c r="I1372">
        <f>Raw_Data!I1372</f>
        <v/>
      </c>
      <c r="J1372" s="12">
        <f>Raw_Data!J1372</f>
        <v/>
      </c>
      <c r="K1372" s="13">
        <f>Raw_Data!K1372</f>
        <v/>
      </c>
      <c r="L1372" s="12">
        <f>Raw_Data!L1372</f>
        <v/>
      </c>
      <c r="M1372" s="12">
        <f>Raw_Data!M1372</f>
        <v/>
      </c>
      <c r="N1372" s="12">
        <f>Raw_Data!N1372</f>
        <v/>
      </c>
      <c r="O1372">
        <f>Raw_Data!O1372</f>
        <v/>
      </c>
      <c r="P1372">
        <f>Raw_Data!P1372</f>
        <v/>
      </c>
      <c r="Q1372">
        <f>YEAR(B1372)</f>
        <v/>
      </c>
      <c r="R1372">
        <f>TEXT(B1372,"mmm")</f>
        <v/>
      </c>
      <c r="S1372" s="15">
        <f>IFERROR(N1372/L1372,0)</f>
        <v/>
      </c>
    </row>
    <row r="1373">
      <c r="A1373">
        <f>Raw_Data!A1373</f>
        <v/>
      </c>
      <c r="B1373" s="11">
        <f>Raw_Data!B1373</f>
        <v/>
      </c>
      <c r="C1373">
        <f>Raw_Data!C1373</f>
        <v/>
      </c>
      <c r="D1373">
        <f>Raw_Data!D1373</f>
        <v/>
      </c>
      <c r="E1373">
        <f>Raw_Data!E1373</f>
        <v/>
      </c>
      <c r="F1373">
        <f>Raw_Data!F1373</f>
        <v/>
      </c>
      <c r="G1373">
        <f>Raw_Data!G1373</f>
        <v/>
      </c>
      <c r="H1373">
        <f>Raw_Data!H1373</f>
        <v/>
      </c>
      <c r="I1373">
        <f>Raw_Data!I1373</f>
        <v/>
      </c>
      <c r="J1373" s="12">
        <f>Raw_Data!J1373</f>
        <v/>
      </c>
      <c r="K1373" s="13">
        <f>Raw_Data!K1373</f>
        <v/>
      </c>
      <c r="L1373" s="12">
        <f>Raw_Data!L1373</f>
        <v/>
      </c>
      <c r="M1373" s="12">
        <f>Raw_Data!M1373</f>
        <v/>
      </c>
      <c r="N1373" s="12">
        <f>Raw_Data!N1373</f>
        <v/>
      </c>
      <c r="O1373">
        <f>Raw_Data!O1373</f>
        <v/>
      </c>
      <c r="P1373">
        <f>Raw_Data!P1373</f>
        <v/>
      </c>
      <c r="Q1373">
        <f>YEAR(B1373)</f>
        <v/>
      </c>
      <c r="R1373">
        <f>TEXT(B1373,"mmm")</f>
        <v/>
      </c>
      <c r="S1373" s="15">
        <f>IFERROR(N1373/L1373,0)</f>
        <v/>
      </c>
    </row>
    <row r="1374">
      <c r="A1374">
        <f>Raw_Data!A1374</f>
        <v/>
      </c>
      <c r="B1374" s="11">
        <f>Raw_Data!B1374</f>
        <v/>
      </c>
      <c r="C1374">
        <f>Raw_Data!C1374</f>
        <v/>
      </c>
      <c r="D1374">
        <f>Raw_Data!D1374</f>
        <v/>
      </c>
      <c r="E1374">
        <f>Raw_Data!E1374</f>
        <v/>
      </c>
      <c r="F1374">
        <f>Raw_Data!F1374</f>
        <v/>
      </c>
      <c r="G1374">
        <f>Raw_Data!G1374</f>
        <v/>
      </c>
      <c r="H1374">
        <f>Raw_Data!H1374</f>
        <v/>
      </c>
      <c r="I1374">
        <f>Raw_Data!I1374</f>
        <v/>
      </c>
      <c r="J1374" s="12">
        <f>Raw_Data!J1374</f>
        <v/>
      </c>
      <c r="K1374" s="13">
        <f>Raw_Data!K1374</f>
        <v/>
      </c>
      <c r="L1374" s="12">
        <f>Raw_Data!L1374</f>
        <v/>
      </c>
      <c r="M1374" s="12">
        <f>Raw_Data!M1374</f>
        <v/>
      </c>
      <c r="N1374" s="12">
        <f>Raw_Data!N1374</f>
        <v/>
      </c>
      <c r="O1374">
        <f>Raw_Data!O1374</f>
        <v/>
      </c>
      <c r="P1374">
        <f>Raw_Data!P1374</f>
        <v/>
      </c>
      <c r="Q1374">
        <f>YEAR(B1374)</f>
        <v/>
      </c>
      <c r="R1374">
        <f>TEXT(B1374,"mmm")</f>
        <v/>
      </c>
      <c r="S1374" s="15">
        <f>IFERROR(N1374/L1374,0)</f>
        <v/>
      </c>
    </row>
    <row r="1375">
      <c r="A1375">
        <f>Raw_Data!A1375</f>
        <v/>
      </c>
      <c r="B1375" s="11">
        <f>Raw_Data!B1375</f>
        <v/>
      </c>
      <c r="C1375">
        <f>Raw_Data!C1375</f>
        <v/>
      </c>
      <c r="D1375">
        <f>Raw_Data!D1375</f>
        <v/>
      </c>
      <c r="E1375">
        <f>Raw_Data!E1375</f>
        <v/>
      </c>
      <c r="F1375">
        <f>Raw_Data!F1375</f>
        <v/>
      </c>
      <c r="G1375">
        <f>Raw_Data!G1375</f>
        <v/>
      </c>
      <c r="H1375">
        <f>Raw_Data!H1375</f>
        <v/>
      </c>
      <c r="I1375">
        <f>Raw_Data!I1375</f>
        <v/>
      </c>
      <c r="J1375" s="12">
        <f>Raw_Data!J1375</f>
        <v/>
      </c>
      <c r="K1375" s="13">
        <f>Raw_Data!K1375</f>
        <v/>
      </c>
      <c r="L1375" s="12">
        <f>Raw_Data!L1375</f>
        <v/>
      </c>
      <c r="M1375" s="12">
        <f>Raw_Data!M1375</f>
        <v/>
      </c>
      <c r="N1375" s="12">
        <f>Raw_Data!N1375</f>
        <v/>
      </c>
      <c r="O1375">
        <f>Raw_Data!O1375</f>
        <v/>
      </c>
      <c r="P1375">
        <f>Raw_Data!P1375</f>
        <v/>
      </c>
      <c r="Q1375">
        <f>YEAR(B1375)</f>
        <v/>
      </c>
      <c r="R1375">
        <f>TEXT(B1375,"mmm")</f>
        <v/>
      </c>
      <c r="S1375" s="15">
        <f>IFERROR(N1375/L1375,0)</f>
        <v/>
      </c>
    </row>
    <row r="1376">
      <c r="A1376">
        <f>Raw_Data!A1376</f>
        <v/>
      </c>
      <c r="B1376" s="11">
        <f>Raw_Data!B1376</f>
        <v/>
      </c>
      <c r="C1376">
        <f>Raw_Data!C1376</f>
        <v/>
      </c>
      <c r="D1376">
        <f>Raw_Data!D1376</f>
        <v/>
      </c>
      <c r="E1376">
        <f>Raw_Data!E1376</f>
        <v/>
      </c>
      <c r="F1376">
        <f>Raw_Data!F1376</f>
        <v/>
      </c>
      <c r="G1376">
        <f>Raw_Data!G1376</f>
        <v/>
      </c>
      <c r="H1376">
        <f>Raw_Data!H1376</f>
        <v/>
      </c>
      <c r="I1376">
        <f>Raw_Data!I1376</f>
        <v/>
      </c>
      <c r="J1376" s="12">
        <f>Raw_Data!J1376</f>
        <v/>
      </c>
      <c r="K1376" s="13">
        <f>Raw_Data!K1376</f>
        <v/>
      </c>
      <c r="L1376" s="12">
        <f>Raw_Data!L1376</f>
        <v/>
      </c>
      <c r="M1376" s="12">
        <f>Raw_Data!M1376</f>
        <v/>
      </c>
      <c r="N1376" s="12">
        <f>Raw_Data!N1376</f>
        <v/>
      </c>
      <c r="O1376">
        <f>Raw_Data!O1376</f>
        <v/>
      </c>
      <c r="P1376">
        <f>Raw_Data!P1376</f>
        <v/>
      </c>
      <c r="Q1376">
        <f>YEAR(B1376)</f>
        <v/>
      </c>
      <c r="R1376">
        <f>TEXT(B1376,"mmm")</f>
        <v/>
      </c>
      <c r="S1376" s="15">
        <f>IFERROR(N1376/L1376,0)</f>
        <v/>
      </c>
    </row>
    <row r="1377">
      <c r="A1377">
        <f>Raw_Data!A1377</f>
        <v/>
      </c>
      <c r="B1377" s="11">
        <f>Raw_Data!B1377</f>
        <v/>
      </c>
      <c r="C1377">
        <f>Raw_Data!C1377</f>
        <v/>
      </c>
      <c r="D1377">
        <f>Raw_Data!D1377</f>
        <v/>
      </c>
      <c r="E1377">
        <f>Raw_Data!E1377</f>
        <v/>
      </c>
      <c r="F1377">
        <f>Raw_Data!F1377</f>
        <v/>
      </c>
      <c r="G1377">
        <f>Raw_Data!G1377</f>
        <v/>
      </c>
      <c r="H1377">
        <f>Raw_Data!H1377</f>
        <v/>
      </c>
      <c r="I1377">
        <f>Raw_Data!I1377</f>
        <v/>
      </c>
      <c r="J1377" s="12">
        <f>Raw_Data!J1377</f>
        <v/>
      </c>
      <c r="K1377" s="13">
        <f>Raw_Data!K1377</f>
        <v/>
      </c>
      <c r="L1377" s="12">
        <f>Raw_Data!L1377</f>
        <v/>
      </c>
      <c r="M1377" s="12">
        <f>Raw_Data!M1377</f>
        <v/>
      </c>
      <c r="N1377" s="12">
        <f>Raw_Data!N1377</f>
        <v/>
      </c>
      <c r="O1377">
        <f>Raw_Data!O1377</f>
        <v/>
      </c>
      <c r="P1377">
        <f>Raw_Data!P1377</f>
        <v/>
      </c>
      <c r="Q1377">
        <f>YEAR(B1377)</f>
        <v/>
      </c>
      <c r="R1377">
        <f>TEXT(B1377,"mmm")</f>
        <v/>
      </c>
      <c r="S1377" s="15">
        <f>IFERROR(N1377/L1377,0)</f>
        <v/>
      </c>
    </row>
    <row r="1378">
      <c r="A1378">
        <f>Raw_Data!A1378</f>
        <v/>
      </c>
      <c r="B1378" s="11">
        <f>Raw_Data!B1378</f>
        <v/>
      </c>
      <c r="C1378">
        <f>Raw_Data!C1378</f>
        <v/>
      </c>
      <c r="D1378">
        <f>Raw_Data!D1378</f>
        <v/>
      </c>
      <c r="E1378">
        <f>Raw_Data!E1378</f>
        <v/>
      </c>
      <c r="F1378">
        <f>Raw_Data!F1378</f>
        <v/>
      </c>
      <c r="G1378">
        <f>Raw_Data!G1378</f>
        <v/>
      </c>
      <c r="H1378">
        <f>Raw_Data!H1378</f>
        <v/>
      </c>
      <c r="I1378">
        <f>Raw_Data!I1378</f>
        <v/>
      </c>
      <c r="J1378" s="12">
        <f>Raw_Data!J1378</f>
        <v/>
      </c>
      <c r="K1378" s="13">
        <f>Raw_Data!K1378</f>
        <v/>
      </c>
      <c r="L1378" s="12">
        <f>Raw_Data!L1378</f>
        <v/>
      </c>
      <c r="M1378" s="12">
        <f>Raw_Data!M1378</f>
        <v/>
      </c>
      <c r="N1378" s="12">
        <f>Raw_Data!N1378</f>
        <v/>
      </c>
      <c r="O1378">
        <f>Raw_Data!O1378</f>
        <v/>
      </c>
      <c r="P1378">
        <f>Raw_Data!P1378</f>
        <v/>
      </c>
      <c r="Q1378">
        <f>YEAR(B1378)</f>
        <v/>
      </c>
      <c r="R1378">
        <f>TEXT(B1378,"mmm")</f>
        <v/>
      </c>
      <c r="S1378" s="15">
        <f>IFERROR(N1378/L1378,0)</f>
        <v/>
      </c>
    </row>
    <row r="1379">
      <c r="A1379">
        <f>Raw_Data!A1379</f>
        <v/>
      </c>
      <c r="B1379" s="11">
        <f>Raw_Data!B1379</f>
        <v/>
      </c>
      <c r="C1379">
        <f>Raw_Data!C1379</f>
        <v/>
      </c>
      <c r="D1379">
        <f>Raw_Data!D1379</f>
        <v/>
      </c>
      <c r="E1379">
        <f>Raw_Data!E1379</f>
        <v/>
      </c>
      <c r="F1379">
        <f>Raw_Data!F1379</f>
        <v/>
      </c>
      <c r="G1379">
        <f>Raw_Data!G1379</f>
        <v/>
      </c>
      <c r="H1379">
        <f>Raw_Data!H1379</f>
        <v/>
      </c>
      <c r="I1379">
        <f>Raw_Data!I1379</f>
        <v/>
      </c>
      <c r="J1379" s="12">
        <f>Raw_Data!J1379</f>
        <v/>
      </c>
      <c r="K1379" s="13">
        <f>Raw_Data!K1379</f>
        <v/>
      </c>
      <c r="L1379" s="12">
        <f>Raw_Data!L1379</f>
        <v/>
      </c>
      <c r="M1379" s="12">
        <f>Raw_Data!M1379</f>
        <v/>
      </c>
      <c r="N1379" s="12">
        <f>Raw_Data!N1379</f>
        <v/>
      </c>
      <c r="O1379">
        <f>Raw_Data!O1379</f>
        <v/>
      </c>
      <c r="P1379">
        <f>Raw_Data!P1379</f>
        <v/>
      </c>
      <c r="Q1379">
        <f>YEAR(B1379)</f>
        <v/>
      </c>
      <c r="R1379">
        <f>TEXT(B1379,"mmm")</f>
        <v/>
      </c>
      <c r="S1379" s="15">
        <f>IFERROR(N1379/L1379,0)</f>
        <v/>
      </c>
    </row>
    <row r="1380">
      <c r="A1380">
        <f>Raw_Data!A1380</f>
        <v/>
      </c>
      <c r="B1380" s="11">
        <f>Raw_Data!B1380</f>
        <v/>
      </c>
      <c r="C1380">
        <f>Raw_Data!C1380</f>
        <v/>
      </c>
      <c r="D1380">
        <f>Raw_Data!D1380</f>
        <v/>
      </c>
      <c r="E1380">
        <f>Raw_Data!E1380</f>
        <v/>
      </c>
      <c r="F1380">
        <f>Raw_Data!F1380</f>
        <v/>
      </c>
      <c r="G1380">
        <f>Raw_Data!G1380</f>
        <v/>
      </c>
      <c r="H1380">
        <f>Raw_Data!H1380</f>
        <v/>
      </c>
      <c r="I1380">
        <f>Raw_Data!I1380</f>
        <v/>
      </c>
      <c r="J1380" s="12">
        <f>Raw_Data!J1380</f>
        <v/>
      </c>
      <c r="K1380" s="13">
        <f>Raw_Data!K1380</f>
        <v/>
      </c>
      <c r="L1380" s="12">
        <f>Raw_Data!L1380</f>
        <v/>
      </c>
      <c r="M1380" s="12">
        <f>Raw_Data!M1380</f>
        <v/>
      </c>
      <c r="N1380" s="12">
        <f>Raw_Data!N1380</f>
        <v/>
      </c>
      <c r="O1380">
        <f>Raw_Data!O1380</f>
        <v/>
      </c>
      <c r="P1380">
        <f>Raw_Data!P1380</f>
        <v/>
      </c>
      <c r="Q1380">
        <f>YEAR(B1380)</f>
        <v/>
      </c>
      <c r="R1380">
        <f>TEXT(B1380,"mmm")</f>
        <v/>
      </c>
      <c r="S1380" s="15">
        <f>IFERROR(N1380/L1380,0)</f>
        <v/>
      </c>
    </row>
    <row r="1381">
      <c r="A1381">
        <f>Raw_Data!A1381</f>
        <v/>
      </c>
      <c r="B1381" s="11">
        <f>Raw_Data!B1381</f>
        <v/>
      </c>
      <c r="C1381">
        <f>Raw_Data!C1381</f>
        <v/>
      </c>
      <c r="D1381">
        <f>Raw_Data!D1381</f>
        <v/>
      </c>
      <c r="E1381">
        <f>Raw_Data!E1381</f>
        <v/>
      </c>
      <c r="F1381">
        <f>Raw_Data!F1381</f>
        <v/>
      </c>
      <c r="G1381">
        <f>Raw_Data!G1381</f>
        <v/>
      </c>
      <c r="H1381">
        <f>Raw_Data!H1381</f>
        <v/>
      </c>
      <c r="I1381">
        <f>Raw_Data!I1381</f>
        <v/>
      </c>
      <c r="J1381" s="12">
        <f>Raw_Data!J1381</f>
        <v/>
      </c>
      <c r="K1381" s="13">
        <f>Raw_Data!K1381</f>
        <v/>
      </c>
      <c r="L1381" s="12">
        <f>Raw_Data!L1381</f>
        <v/>
      </c>
      <c r="M1381" s="12">
        <f>Raw_Data!M1381</f>
        <v/>
      </c>
      <c r="N1381" s="12">
        <f>Raw_Data!N1381</f>
        <v/>
      </c>
      <c r="O1381">
        <f>Raw_Data!O1381</f>
        <v/>
      </c>
      <c r="P1381">
        <f>Raw_Data!P1381</f>
        <v/>
      </c>
      <c r="Q1381">
        <f>YEAR(B1381)</f>
        <v/>
      </c>
      <c r="R1381">
        <f>TEXT(B1381,"mmm")</f>
        <v/>
      </c>
      <c r="S1381" s="15">
        <f>IFERROR(N1381/L1381,0)</f>
        <v/>
      </c>
    </row>
    <row r="1382">
      <c r="A1382">
        <f>Raw_Data!A1382</f>
        <v/>
      </c>
      <c r="B1382" s="11">
        <f>Raw_Data!B1382</f>
        <v/>
      </c>
      <c r="C1382">
        <f>Raw_Data!C1382</f>
        <v/>
      </c>
      <c r="D1382">
        <f>Raw_Data!D1382</f>
        <v/>
      </c>
      <c r="E1382">
        <f>Raw_Data!E1382</f>
        <v/>
      </c>
      <c r="F1382">
        <f>Raw_Data!F1382</f>
        <v/>
      </c>
      <c r="G1382">
        <f>Raw_Data!G1382</f>
        <v/>
      </c>
      <c r="H1382">
        <f>Raw_Data!H1382</f>
        <v/>
      </c>
      <c r="I1382">
        <f>Raw_Data!I1382</f>
        <v/>
      </c>
      <c r="J1382" s="12">
        <f>Raw_Data!J1382</f>
        <v/>
      </c>
      <c r="K1382" s="13">
        <f>Raw_Data!K1382</f>
        <v/>
      </c>
      <c r="L1382" s="12">
        <f>Raw_Data!L1382</f>
        <v/>
      </c>
      <c r="M1382" s="12">
        <f>Raw_Data!M1382</f>
        <v/>
      </c>
      <c r="N1382" s="12">
        <f>Raw_Data!N1382</f>
        <v/>
      </c>
      <c r="O1382">
        <f>Raw_Data!O1382</f>
        <v/>
      </c>
      <c r="P1382">
        <f>Raw_Data!P1382</f>
        <v/>
      </c>
      <c r="Q1382">
        <f>YEAR(B1382)</f>
        <v/>
      </c>
      <c r="R1382">
        <f>TEXT(B1382,"mmm")</f>
        <v/>
      </c>
      <c r="S1382" s="15">
        <f>IFERROR(N1382/L1382,0)</f>
        <v/>
      </c>
    </row>
    <row r="1383">
      <c r="A1383">
        <f>Raw_Data!A1383</f>
        <v/>
      </c>
      <c r="B1383" s="11">
        <f>Raw_Data!B1383</f>
        <v/>
      </c>
      <c r="C1383">
        <f>Raw_Data!C1383</f>
        <v/>
      </c>
      <c r="D1383">
        <f>Raw_Data!D1383</f>
        <v/>
      </c>
      <c r="E1383">
        <f>Raw_Data!E1383</f>
        <v/>
      </c>
      <c r="F1383">
        <f>Raw_Data!F1383</f>
        <v/>
      </c>
      <c r="G1383">
        <f>Raw_Data!G1383</f>
        <v/>
      </c>
      <c r="H1383">
        <f>Raw_Data!H1383</f>
        <v/>
      </c>
      <c r="I1383">
        <f>Raw_Data!I1383</f>
        <v/>
      </c>
      <c r="J1383" s="12">
        <f>Raw_Data!J1383</f>
        <v/>
      </c>
      <c r="K1383" s="13">
        <f>Raw_Data!K1383</f>
        <v/>
      </c>
      <c r="L1383" s="12">
        <f>Raw_Data!L1383</f>
        <v/>
      </c>
      <c r="M1383" s="12">
        <f>Raw_Data!M1383</f>
        <v/>
      </c>
      <c r="N1383" s="12">
        <f>Raw_Data!N1383</f>
        <v/>
      </c>
      <c r="O1383">
        <f>Raw_Data!O1383</f>
        <v/>
      </c>
      <c r="P1383">
        <f>Raw_Data!P1383</f>
        <v/>
      </c>
      <c r="Q1383">
        <f>YEAR(B1383)</f>
        <v/>
      </c>
      <c r="R1383">
        <f>TEXT(B1383,"mmm")</f>
        <v/>
      </c>
      <c r="S1383" s="15">
        <f>IFERROR(N1383/L1383,0)</f>
        <v/>
      </c>
    </row>
    <row r="1384">
      <c r="A1384">
        <f>Raw_Data!A1384</f>
        <v/>
      </c>
      <c r="B1384" s="11">
        <f>Raw_Data!B1384</f>
        <v/>
      </c>
      <c r="C1384">
        <f>Raw_Data!C1384</f>
        <v/>
      </c>
      <c r="D1384">
        <f>Raw_Data!D1384</f>
        <v/>
      </c>
      <c r="E1384">
        <f>Raw_Data!E1384</f>
        <v/>
      </c>
      <c r="F1384">
        <f>Raw_Data!F1384</f>
        <v/>
      </c>
      <c r="G1384">
        <f>Raw_Data!G1384</f>
        <v/>
      </c>
      <c r="H1384">
        <f>Raw_Data!H1384</f>
        <v/>
      </c>
      <c r="I1384">
        <f>Raw_Data!I1384</f>
        <v/>
      </c>
      <c r="J1384" s="12">
        <f>Raw_Data!J1384</f>
        <v/>
      </c>
      <c r="K1384" s="13">
        <f>Raw_Data!K1384</f>
        <v/>
      </c>
      <c r="L1384" s="12">
        <f>Raw_Data!L1384</f>
        <v/>
      </c>
      <c r="M1384" s="12">
        <f>Raw_Data!M1384</f>
        <v/>
      </c>
      <c r="N1384" s="12">
        <f>Raw_Data!N1384</f>
        <v/>
      </c>
      <c r="O1384">
        <f>Raw_Data!O1384</f>
        <v/>
      </c>
      <c r="P1384">
        <f>Raw_Data!P1384</f>
        <v/>
      </c>
      <c r="Q1384">
        <f>YEAR(B1384)</f>
        <v/>
      </c>
      <c r="R1384">
        <f>TEXT(B1384,"mmm")</f>
        <v/>
      </c>
      <c r="S1384" s="15">
        <f>IFERROR(N1384/L1384,0)</f>
        <v/>
      </c>
    </row>
    <row r="1385">
      <c r="A1385">
        <f>Raw_Data!A1385</f>
        <v/>
      </c>
      <c r="B1385" s="11">
        <f>Raw_Data!B1385</f>
        <v/>
      </c>
      <c r="C1385">
        <f>Raw_Data!C1385</f>
        <v/>
      </c>
      <c r="D1385">
        <f>Raw_Data!D1385</f>
        <v/>
      </c>
      <c r="E1385">
        <f>Raw_Data!E1385</f>
        <v/>
      </c>
      <c r="F1385">
        <f>Raw_Data!F1385</f>
        <v/>
      </c>
      <c r="G1385">
        <f>Raw_Data!G1385</f>
        <v/>
      </c>
      <c r="H1385">
        <f>Raw_Data!H1385</f>
        <v/>
      </c>
      <c r="I1385">
        <f>Raw_Data!I1385</f>
        <v/>
      </c>
      <c r="J1385" s="12">
        <f>Raw_Data!J1385</f>
        <v/>
      </c>
      <c r="K1385" s="13">
        <f>Raw_Data!K1385</f>
        <v/>
      </c>
      <c r="L1385" s="12">
        <f>Raw_Data!L1385</f>
        <v/>
      </c>
      <c r="M1385" s="12">
        <f>Raw_Data!M1385</f>
        <v/>
      </c>
      <c r="N1385" s="12">
        <f>Raw_Data!N1385</f>
        <v/>
      </c>
      <c r="O1385">
        <f>Raw_Data!O1385</f>
        <v/>
      </c>
      <c r="P1385">
        <f>Raw_Data!P1385</f>
        <v/>
      </c>
      <c r="Q1385">
        <f>YEAR(B1385)</f>
        <v/>
      </c>
      <c r="R1385">
        <f>TEXT(B1385,"mmm")</f>
        <v/>
      </c>
      <c r="S1385" s="15">
        <f>IFERROR(N1385/L1385,0)</f>
        <v/>
      </c>
    </row>
    <row r="1386">
      <c r="A1386">
        <f>Raw_Data!A1386</f>
        <v/>
      </c>
      <c r="B1386" s="11">
        <f>Raw_Data!B1386</f>
        <v/>
      </c>
      <c r="C1386">
        <f>Raw_Data!C1386</f>
        <v/>
      </c>
      <c r="D1386">
        <f>Raw_Data!D1386</f>
        <v/>
      </c>
      <c r="E1386">
        <f>Raw_Data!E1386</f>
        <v/>
      </c>
      <c r="F1386">
        <f>Raw_Data!F1386</f>
        <v/>
      </c>
      <c r="G1386">
        <f>Raw_Data!G1386</f>
        <v/>
      </c>
      <c r="H1386">
        <f>Raw_Data!H1386</f>
        <v/>
      </c>
      <c r="I1386">
        <f>Raw_Data!I1386</f>
        <v/>
      </c>
      <c r="J1386" s="12">
        <f>Raw_Data!J1386</f>
        <v/>
      </c>
      <c r="K1386" s="13">
        <f>Raw_Data!K1386</f>
        <v/>
      </c>
      <c r="L1386" s="12">
        <f>Raw_Data!L1386</f>
        <v/>
      </c>
      <c r="M1386" s="12">
        <f>Raw_Data!M1386</f>
        <v/>
      </c>
      <c r="N1386" s="12">
        <f>Raw_Data!N1386</f>
        <v/>
      </c>
      <c r="O1386">
        <f>Raw_Data!O1386</f>
        <v/>
      </c>
      <c r="P1386">
        <f>Raw_Data!P1386</f>
        <v/>
      </c>
      <c r="Q1386">
        <f>YEAR(B1386)</f>
        <v/>
      </c>
      <c r="R1386">
        <f>TEXT(B1386,"mmm")</f>
        <v/>
      </c>
      <c r="S1386" s="15">
        <f>IFERROR(N1386/L1386,0)</f>
        <v/>
      </c>
    </row>
    <row r="1387">
      <c r="A1387">
        <f>Raw_Data!A1387</f>
        <v/>
      </c>
      <c r="B1387" s="11">
        <f>Raw_Data!B1387</f>
        <v/>
      </c>
      <c r="C1387">
        <f>Raw_Data!C1387</f>
        <v/>
      </c>
      <c r="D1387">
        <f>Raw_Data!D1387</f>
        <v/>
      </c>
      <c r="E1387">
        <f>Raw_Data!E1387</f>
        <v/>
      </c>
      <c r="F1387">
        <f>Raw_Data!F1387</f>
        <v/>
      </c>
      <c r="G1387">
        <f>Raw_Data!G1387</f>
        <v/>
      </c>
      <c r="H1387">
        <f>Raw_Data!H1387</f>
        <v/>
      </c>
      <c r="I1387">
        <f>Raw_Data!I1387</f>
        <v/>
      </c>
      <c r="J1387" s="12">
        <f>Raw_Data!J1387</f>
        <v/>
      </c>
      <c r="K1387" s="13">
        <f>Raw_Data!K1387</f>
        <v/>
      </c>
      <c r="L1387" s="12">
        <f>Raw_Data!L1387</f>
        <v/>
      </c>
      <c r="M1387" s="12">
        <f>Raw_Data!M1387</f>
        <v/>
      </c>
      <c r="N1387" s="12">
        <f>Raw_Data!N1387</f>
        <v/>
      </c>
      <c r="O1387">
        <f>Raw_Data!O1387</f>
        <v/>
      </c>
      <c r="P1387">
        <f>Raw_Data!P1387</f>
        <v/>
      </c>
      <c r="Q1387">
        <f>YEAR(B1387)</f>
        <v/>
      </c>
      <c r="R1387">
        <f>TEXT(B1387,"mmm")</f>
        <v/>
      </c>
      <c r="S1387" s="15">
        <f>IFERROR(N1387/L1387,0)</f>
        <v/>
      </c>
    </row>
    <row r="1388">
      <c r="A1388">
        <f>Raw_Data!A1388</f>
        <v/>
      </c>
      <c r="B1388" s="11">
        <f>Raw_Data!B1388</f>
        <v/>
      </c>
      <c r="C1388">
        <f>Raw_Data!C1388</f>
        <v/>
      </c>
      <c r="D1388">
        <f>Raw_Data!D1388</f>
        <v/>
      </c>
      <c r="E1388">
        <f>Raw_Data!E1388</f>
        <v/>
      </c>
      <c r="F1388">
        <f>Raw_Data!F1388</f>
        <v/>
      </c>
      <c r="G1388">
        <f>Raw_Data!G1388</f>
        <v/>
      </c>
      <c r="H1388">
        <f>Raw_Data!H1388</f>
        <v/>
      </c>
      <c r="I1388">
        <f>Raw_Data!I1388</f>
        <v/>
      </c>
      <c r="J1388" s="12">
        <f>Raw_Data!J1388</f>
        <v/>
      </c>
      <c r="K1388" s="13">
        <f>Raw_Data!K1388</f>
        <v/>
      </c>
      <c r="L1388" s="12">
        <f>Raw_Data!L1388</f>
        <v/>
      </c>
      <c r="M1388" s="12">
        <f>Raw_Data!M1388</f>
        <v/>
      </c>
      <c r="N1388" s="12">
        <f>Raw_Data!N1388</f>
        <v/>
      </c>
      <c r="O1388">
        <f>Raw_Data!O1388</f>
        <v/>
      </c>
      <c r="P1388">
        <f>Raw_Data!P1388</f>
        <v/>
      </c>
      <c r="Q1388">
        <f>YEAR(B1388)</f>
        <v/>
      </c>
      <c r="R1388">
        <f>TEXT(B1388,"mmm")</f>
        <v/>
      </c>
      <c r="S1388" s="15">
        <f>IFERROR(N1388/L1388,0)</f>
        <v/>
      </c>
    </row>
    <row r="1389">
      <c r="A1389">
        <f>Raw_Data!A1389</f>
        <v/>
      </c>
      <c r="B1389" s="11">
        <f>Raw_Data!B1389</f>
        <v/>
      </c>
      <c r="C1389">
        <f>Raw_Data!C1389</f>
        <v/>
      </c>
      <c r="D1389">
        <f>Raw_Data!D1389</f>
        <v/>
      </c>
      <c r="E1389">
        <f>Raw_Data!E1389</f>
        <v/>
      </c>
      <c r="F1389">
        <f>Raw_Data!F1389</f>
        <v/>
      </c>
      <c r="G1389">
        <f>Raw_Data!G1389</f>
        <v/>
      </c>
      <c r="H1389">
        <f>Raw_Data!H1389</f>
        <v/>
      </c>
      <c r="I1389">
        <f>Raw_Data!I1389</f>
        <v/>
      </c>
      <c r="J1389" s="12">
        <f>Raw_Data!J1389</f>
        <v/>
      </c>
      <c r="K1389" s="13">
        <f>Raw_Data!K1389</f>
        <v/>
      </c>
      <c r="L1389" s="12">
        <f>Raw_Data!L1389</f>
        <v/>
      </c>
      <c r="M1389" s="12">
        <f>Raw_Data!M1389</f>
        <v/>
      </c>
      <c r="N1389" s="12">
        <f>Raw_Data!N1389</f>
        <v/>
      </c>
      <c r="O1389">
        <f>Raw_Data!O1389</f>
        <v/>
      </c>
      <c r="P1389">
        <f>Raw_Data!P1389</f>
        <v/>
      </c>
      <c r="Q1389">
        <f>YEAR(B1389)</f>
        <v/>
      </c>
      <c r="R1389">
        <f>TEXT(B1389,"mmm")</f>
        <v/>
      </c>
      <c r="S1389" s="15">
        <f>IFERROR(N1389/L1389,0)</f>
        <v/>
      </c>
    </row>
    <row r="1390">
      <c r="A1390">
        <f>Raw_Data!A1390</f>
        <v/>
      </c>
      <c r="B1390" s="11">
        <f>Raw_Data!B1390</f>
        <v/>
      </c>
      <c r="C1390">
        <f>Raw_Data!C1390</f>
        <v/>
      </c>
      <c r="D1390">
        <f>Raw_Data!D1390</f>
        <v/>
      </c>
      <c r="E1390">
        <f>Raw_Data!E1390</f>
        <v/>
      </c>
      <c r="F1390">
        <f>Raw_Data!F1390</f>
        <v/>
      </c>
      <c r="G1390">
        <f>Raw_Data!G1390</f>
        <v/>
      </c>
      <c r="H1390">
        <f>Raw_Data!H1390</f>
        <v/>
      </c>
      <c r="I1390">
        <f>Raw_Data!I1390</f>
        <v/>
      </c>
      <c r="J1390" s="12">
        <f>Raw_Data!J1390</f>
        <v/>
      </c>
      <c r="K1390" s="13">
        <f>Raw_Data!K1390</f>
        <v/>
      </c>
      <c r="L1390" s="12">
        <f>Raw_Data!L1390</f>
        <v/>
      </c>
      <c r="M1390" s="12">
        <f>Raw_Data!M1390</f>
        <v/>
      </c>
      <c r="N1390" s="12">
        <f>Raw_Data!N1390</f>
        <v/>
      </c>
      <c r="O1390">
        <f>Raw_Data!O1390</f>
        <v/>
      </c>
      <c r="P1390">
        <f>Raw_Data!P1390</f>
        <v/>
      </c>
      <c r="Q1390">
        <f>YEAR(B1390)</f>
        <v/>
      </c>
      <c r="R1390">
        <f>TEXT(B1390,"mmm")</f>
        <v/>
      </c>
      <c r="S1390" s="15">
        <f>IFERROR(N1390/L1390,0)</f>
        <v/>
      </c>
    </row>
    <row r="1391">
      <c r="A1391">
        <f>Raw_Data!A1391</f>
        <v/>
      </c>
      <c r="B1391" s="11">
        <f>Raw_Data!B1391</f>
        <v/>
      </c>
      <c r="C1391">
        <f>Raw_Data!C1391</f>
        <v/>
      </c>
      <c r="D1391">
        <f>Raw_Data!D1391</f>
        <v/>
      </c>
      <c r="E1391">
        <f>Raw_Data!E1391</f>
        <v/>
      </c>
      <c r="F1391">
        <f>Raw_Data!F1391</f>
        <v/>
      </c>
      <c r="G1391">
        <f>Raw_Data!G1391</f>
        <v/>
      </c>
      <c r="H1391">
        <f>Raw_Data!H1391</f>
        <v/>
      </c>
      <c r="I1391">
        <f>Raw_Data!I1391</f>
        <v/>
      </c>
      <c r="J1391" s="12">
        <f>Raw_Data!J1391</f>
        <v/>
      </c>
      <c r="K1391" s="13">
        <f>Raw_Data!K1391</f>
        <v/>
      </c>
      <c r="L1391" s="12">
        <f>Raw_Data!L1391</f>
        <v/>
      </c>
      <c r="M1391" s="12">
        <f>Raw_Data!M1391</f>
        <v/>
      </c>
      <c r="N1391" s="12">
        <f>Raw_Data!N1391</f>
        <v/>
      </c>
      <c r="O1391">
        <f>Raw_Data!O1391</f>
        <v/>
      </c>
      <c r="P1391">
        <f>Raw_Data!P1391</f>
        <v/>
      </c>
      <c r="Q1391">
        <f>YEAR(B1391)</f>
        <v/>
      </c>
      <c r="R1391">
        <f>TEXT(B1391,"mmm")</f>
        <v/>
      </c>
      <c r="S1391" s="15">
        <f>IFERROR(N1391/L1391,0)</f>
        <v/>
      </c>
    </row>
    <row r="1392">
      <c r="A1392">
        <f>Raw_Data!A1392</f>
        <v/>
      </c>
      <c r="B1392" s="11">
        <f>Raw_Data!B1392</f>
        <v/>
      </c>
      <c r="C1392">
        <f>Raw_Data!C1392</f>
        <v/>
      </c>
      <c r="D1392">
        <f>Raw_Data!D1392</f>
        <v/>
      </c>
      <c r="E1392">
        <f>Raw_Data!E1392</f>
        <v/>
      </c>
      <c r="F1392">
        <f>Raw_Data!F1392</f>
        <v/>
      </c>
      <c r="G1392">
        <f>Raw_Data!G1392</f>
        <v/>
      </c>
      <c r="H1392">
        <f>Raw_Data!H1392</f>
        <v/>
      </c>
      <c r="I1392">
        <f>Raw_Data!I1392</f>
        <v/>
      </c>
      <c r="J1392" s="12">
        <f>Raw_Data!J1392</f>
        <v/>
      </c>
      <c r="K1392" s="13">
        <f>Raw_Data!K1392</f>
        <v/>
      </c>
      <c r="L1392" s="12">
        <f>Raw_Data!L1392</f>
        <v/>
      </c>
      <c r="M1392" s="12">
        <f>Raw_Data!M1392</f>
        <v/>
      </c>
      <c r="N1392" s="12">
        <f>Raw_Data!N1392</f>
        <v/>
      </c>
      <c r="O1392">
        <f>Raw_Data!O1392</f>
        <v/>
      </c>
      <c r="P1392">
        <f>Raw_Data!P1392</f>
        <v/>
      </c>
      <c r="Q1392">
        <f>YEAR(B1392)</f>
        <v/>
      </c>
      <c r="R1392">
        <f>TEXT(B1392,"mmm")</f>
        <v/>
      </c>
      <c r="S1392" s="15">
        <f>IFERROR(N1392/L1392,0)</f>
        <v/>
      </c>
    </row>
    <row r="1393">
      <c r="A1393">
        <f>Raw_Data!A1393</f>
        <v/>
      </c>
      <c r="B1393" s="11">
        <f>Raw_Data!B1393</f>
        <v/>
      </c>
      <c r="C1393">
        <f>Raw_Data!C1393</f>
        <v/>
      </c>
      <c r="D1393">
        <f>Raw_Data!D1393</f>
        <v/>
      </c>
      <c r="E1393">
        <f>Raw_Data!E1393</f>
        <v/>
      </c>
      <c r="F1393">
        <f>Raw_Data!F1393</f>
        <v/>
      </c>
      <c r="G1393">
        <f>Raw_Data!G1393</f>
        <v/>
      </c>
      <c r="H1393">
        <f>Raw_Data!H1393</f>
        <v/>
      </c>
      <c r="I1393">
        <f>Raw_Data!I1393</f>
        <v/>
      </c>
      <c r="J1393" s="12">
        <f>Raw_Data!J1393</f>
        <v/>
      </c>
      <c r="K1393" s="13">
        <f>Raw_Data!K1393</f>
        <v/>
      </c>
      <c r="L1393" s="12">
        <f>Raw_Data!L1393</f>
        <v/>
      </c>
      <c r="M1393" s="12">
        <f>Raw_Data!M1393</f>
        <v/>
      </c>
      <c r="N1393" s="12">
        <f>Raw_Data!N1393</f>
        <v/>
      </c>
      <c r="O1393">
        <f>Raw_Data!O1393</f>
        <v/>
      </c>
      <c r="P1393">
        <f>Raw_Data!P1393</f>
        <v/>
      </c>
      <c r="Q1393">
        <f>YEAR(B1393)</f>
        <v/>
      </c>
      <c r="R1393">
        <f>TEXT(B1393,"mmm")</f>
        <v/>
      </c>
      <c r="S1393" s="15">
        <f>IFERROR(N1393/L1393,0)</f>
        <v/>
      </c>
    </row>
    <row r="1394">
      <c r="A1394">
        <f>Raw_Data!A1394</f>
        <v/>
      </c>
      <c r="B1394" s="11">
        <f>Raw_Data!B1394</f>
        <v/>
      </c>
      <c r="C1394">
        <f>Raw_Data!C1394</f>
        <v/>
      </c>
      <c r="D1394">
        <f>Raw_Data!D1394</f>
        <v/>
      </c>
      <c r="E1394">
        <f>Raw_Data!E1394</f>
        <v/>
      </c>
      <c r="F1394">
        <f>Raw_Data!F1394</f>
        <v/>
      </c>
      <c r="G1394">
        <f>Raw_Data!G1394</f>
        <v/>
      </c>
      <c r="H1394">
        <f>Raw_Data!H1394</f>
        <v/>
      </c>
      <c r="I1394">
        <f>Raw_Data!I1394</f>
        <v/>
      </c>
      <c r="J1394" s="12">
        <f>Raw_Data!J1394</f>
        <v/>
      </c>
      <c r="K1394" s="13">
        <f>Raw_Data!K1394</f>
        <v/>
      </c>
      <c r="L1394" s="12">
        <f>Raw_Data!L1394</f>
        <v/>
      </c>
      <c r="M1394" s="12">
        <f>Raw_Data!M1394</f>
        <v/>
      </c>
      <c r="N1394" s="12">
        <f>Raw_Data!N1394</f>
        <v/>
      </c>
      <c r="O1394">
        <f>Raw_Data!O1394</f>
        <v/>
      </c>
      <c r="P1394">
        <f>Raw_Data!P1394</f>
        <v/>
      </c>
      <c r="Q1394">
        <f>YEAR(B1394)</f>
        <v/>
      </c>
      <c r="R1394">
        <f>TEXT(B1394,"mmm")</f>
        <v/>
      </c>
      <c r="S1394" s="15">
        <f>IFERROR(N1394/L1394,0)</f>
        <v/>
      </c>
    </row>
    <row r="1395">
      <c r="A1395">
        <f>Raw_Data!A1395</f>
        <v/>
      </c>
      <c r="B1395" s="11">
        <f>Raw_Data!B1395</f>
        <v/>
      </c>
      <c r="C1395">
        <f>Raw_Data!C1395</f>
        <v/>
      </c>
      <c r="D1395">
        <f>Raw_Data!D1395</f>
        <v/>
      </c>
      <c r="E1395">
        <f>Raw_Data!E1395</f>
        <v/>
      </c>
      <c r="F1395">
        <f>Raw_Data!F1395</f>
        <v/>
      </c>
      <c r="G1395">
        <f>Raw_Data!G1395</f>
        <v/>
      </c>
      <c r="H1395">
        <f>Raw_Data!H1395</f>
        <v/>
      </c>
      <c r="I1395">
        <f>Raw_Data!I1395</f>
        <v/>
      </c>
      <c r="J1395" s="12">
        <f>Raw_Data!J1395</f>
        <v/>
      </c>
      <c r="K1395" s="13">
        <f>Raw_Data!K1395</f>
        <v/>
      </c>
      <c r="L1395" s="12">
        <f>Raw_Data!L1395</f>
        <v/>
      </c>
      <c r="M1395" s="12">
        <f>Raw_Data!M1395</f>
        <v/>
      </c>
      <c r="N1395" s="12">
        <f>Raw_Data!N1395</f>
        <v/>
      </c>
      <c r="O1395">
        <f>Raw_Data!O1395</f>
        <v/>
      </c>
      <c r="P1395">
        <f>Raw_Data!P1395</f>
        <v/>
      </c>
      <c r="Q1395">
        <f>YEAR(B1395)</f>
        <v/>
      </c>
      <c r="R1395">
        <f>TEXT(B1395,"mmm")</f>
        <v/>
      </c>
      <c r="S1395" s="15">
        <f>IFERROR(N1395/L1395,0)</f>
        <v/>
      </c>
    </row>
    <row r="1396">
      <c r="A1396">
        <f>Raw_Data!A1396</f>
        <v/>
      </c>
      <c r="B1396" s="11">
        <f>Raw_Data!B1396</f>
        <v/>
      </c>
      <c r="C1396">
        <f>Raw_Data!C1396</f>
        <v/>
      </c>
      <c r="D1396">
        <f>Raw_Data!D1396</f>
        <v/>
      </c>
      <c r="E1396">
        <f>Raw_Data!E1396</f>
        <v/>
      </c>
      <c r="F1396">
        <f>Raw_Data!F1396</f>
        <v/>
      </c>
      <c r="G1396">
        <f>Raw_Data!G1396</f>
        <v/>
      </c>
      <c r="H1396">
        <f>Raw_Data!H1396</f>
        <v/>
      </c>
      <c r="I1396">
        <f>Raw_Data!I1396</f>
        <v/>
      </c>
      <c r="J1396" s="12">
        <f>Raw_Data!J1396</f>
        <v/>
      </c>
      <c r="K1396" s="13">
        <f>Raw_Data!K1396</f>
        <v/>
      </c>
      <c r="L1396" s="12">
        <f>Raw_Data!L1396</f>
        <v/>
      </c>
      <c r="M1396" s="12">
        <f>Raw_Data!M1396</f>
        <v/>
      </c>
      <c r="N1396" s="12">
        <f>Raw_Data!N1396</f>
        <v/>
      </c>
      <c r="O1396">
        <f>Raw_Data!O1396</f>
        <v/>
      </c>
      <c r="P1396">
        <f>Raw_Data!P1396</f>
        <v/>
      </c>
      <c r="Q1396">
        <f>YEAR(B1396)</f>
        <v/>
      </c>
      <c r="R1396">
        <f>TEXT(B1396,"mmm")</f>
        <v/>
      </c>
      <c r="S1396" s="15">
        <f>IFERROR(N1396/L1396,0)</f>
        <v/>
      </c>
    </row>
    <row r="1397">
      <c r="A1397">
        <f>Raw_Data!A1397</f>
        <v/>
      </c>
      <c r="B1397" s="11">
        <f>Raw_Data!B1397</f>
        <v/>
      </c>
      <c r="C1397">
        <f>Raw_Data!C1397</f>
        <v/>
      </c>
      <c r="D1397">
        <f>Raw_Data!D1397</f>
        <v/>
      </c>
      <c r="E1397">
        <f>Raw_Data!E1397</f>
        <v/>
      </c>
      <c r="F1397">
        <f>Raw_Data!F1397</f>
        <v/>
      </c>
      <c r="G1397">
        <f>Raw_Data!G1397</f>
        <v/>
      </c>
      <c r="H1397">
        <f>Raw_Data!H1397</f>
        <v/>
      </c>
      <c r="I1397">
        <f>Raw_Data!I1397</f>
        <v/>
      </c>
      <c r="J1397" s="12">
        <f>Raw_Data!J1397</f>
        <v/>
      </c>
      <c r="K1397" s="13">
        <f>Raw_Data!K1397</f>
        <v/>
      </c>
      <c r="L1397" s="12">
        <f>Raw_Data!L1397</f>
        <v/>
      </c>
      <c r="M1397" s="12">
        <f>Raw_Data!M1397</f>
        <v/>
      </c>
      <c r="N1397" s="12">
        <f>Raw_Data!N1397</f>
        <v/>
      </c>
      <c r="O1397">
        <f>Raw_Data!O1397</f>
        <v/>
      </c>
      <c r="P1397">
        <f>Raw_Data!P1397</f>
        <v/>
      </c>
      <c r="Q1397">
        <f>YEAR(B1397)</f>
        <v/>
      </c>
      <c r="R1397">
        <f>TEXT(B1397,"mmm")</f>
        <v/>
      </c>
      <c r="S1397" s="15">
        <f>IFERROR(N1397/L1397,0)</f>
        <v/>
      </c>
    </row>
    <row r="1398">
      <c r="A1398">
        <f>Raw_Data!A1398</f>
        <v/>
      </c>
      <c r="B1398" s="11">
        <f>Raw_Data!B1398</f>
        <v/>
      </c>
      <c r="C1398">
        <f>Raw_Data!C1398</f>
        <v/>
      </c>
      <c r="D1398">
        <f>Raw_Data!D1398</f>
        <v/>
      </c>
      <c r="E1398">
        <f>Raw_Data!E1398</f>
        <v/>
      </c>
      <c r="F1398">
        <f>Raw_Data!F1398</f>
        <v/>
      </c>
      <c r="G1398">
        <f>Raw_Data!G1398</f>
        <v/>
      </c>
      <c r="H1398">
        <f>Raw_Data!H1398</f>
        <v/>
      </c>
      <c r="I1398">
        <f>Raw_Data!I1398</f>
        <v/>
      </c>
      <c r="J1398" s="12">
        <f>Raw_Data!J1398</f>
        <v/>
      </c>
      <c r="K1398" s="13">
        <f>Raw_Data!K1398</f>
        <v/>
      </c>
      <c r="L1398" s="12">
        <f>Raw_Data!L1398</f>
        <v/>
      </c>
      <c r="M1398" s="12">
        <f>Raw_Data!M1398</f>
        <v/>
      </c>
      <c r="N1398" s="12">
        <f>Raw_Data!N1398</f>
        <v/>
      </c>
      <c r="O1398">
        <f>Raw_Data!O1398</f>
        <v/>
      </c>
      <c r="P1398">
        <f>Raw_Data!P1398</f>
        <v/>
      </c>
      <c r="Q1398">
        <f>YEAR(B1398)</f>
        <v/>
      </c>
      <c r="R1398">
        <f>TEXT(B1398,"mmm")</f>
        <v/>
      </c>
      <c r="S1398" s="15">
        <f>IFERROR(N1398/L1398,0)</f>
        <v/>
      </c>
    </row>
    <row r="1399">
      <c r="A1399">
        <f>Raw_Data!A1399</f>
        <v/>
      </c>
      <c r="B1399" s="11">
        <f>Raw_Data!B1399</f>
        <v/>
      </c>
      <c r="C1399">
        <f>Raw_Data!C1399</f>
        <v/>
      </c>
      <c r="D1399">
        <f>Raw_Data!D1399</f>
        <v/>
      </c>
      <c r="E1399">
        <f>Raw_Data!E1399</f>
        <v/>
      </c>
      <c r="F1399">
        <f>Raw_Data!F1399</f>
        <v/>
      </c>
      <c r="G1399">
        <f>Raw_Data!G1399</f>
        <v/>
      </c>
      <c r="H1399">
        <f>Raw_Data!H1399</f>
        <v/>
      </c>
      <c r="I1399">
        <f>Raw_Data!I1399</f>
        <v/>
      </c>
      <c r="J1399" s="12">
        <f>Raw_Data!J1399</f>
        <v/>
      </c>
      <c r="K1399" s="13">
        <f>Raw_Data!K1399</f>
        <v/>
      </c>
      <c r="L1399" s="12">
        <f>Raw_Data!L1399</f>
        <v/>
      </c>
      <c r="M1399" s="12">
        <f>Raw_Data!M1399</f>
        <v/>
      </c>
      <c r="N1399" s="12">
        <f>Raw_Data!N1399</f>
        <v/>
      </c>
      <c r="O1399">
        <f>Raw_Data!O1399</f>
        <v/>
      </c>
      <c r="P1399">
        <f>Raw_Data!P1399</f>
        <v/>
      </c>
      <c r="Q1399">
        <f>YEAR(B1399)</f>
        <v/>
      </c>
      <c r="R1399">
        <f>TEXT(B1399,"mmm")</f>
        <v/>
      </c>
      <c r="S1399" s="15">
        <f>IFERROR(N1399/L1399,0)</f>
        <v/>
      </c>
    </row>
    <row r="1400">
      <c r="A1400">
        <f>Raw_Data!A1400</f>
        <v/>
      </c>
      <c r="B1400" s="11">
        <f>Raw_Data!B1400</f>
        <v/>
      </c>
      <c r="C1400">
        <f>Raw_Data!C1400</f>
        <v/>
      </c>
      <c r="D1400">
        <f>Raw_Data!D1400</f>
        <v/>
      </c>
      <c r="E1400">
        <f>Raw_Data!E1400</f>
        <v/>
      </c>
      <c r="F1400">
        <f>Raw_Data!F1400</f>
        <v/>
      </c>
      <c r="G1400">
        <f>Raw_Data!G1400</f>
        <v/>
      </c>
      <c r="H1400">
        <f>Raw_Data!H1400</f>
        <v/>
      </c>
      <c r="I1400">
        <f>Raw_Data!I1400</f>
        <v/>
      </c>
      <c r="J1400" s="12">
        <f>Raw_Data!J1400</f>
        <v/>
      </c>
      <c r="K1400" s="13">
        <f>Raw_Data!K1400</f>
        <v/>
      </c>
      <c r="L1400" s="12">
        <f>Raw_Data!L1400</f>
        <v/>
      </c>
      <c r="M1400" s="12">
        <f>Raw_Data!M1400</f>
        <v/>
      </c>
      <c r="N1400" s="12">
        <f>Raw_Data!N1400</f>
        <v/>
      </c>
      <c r="O1400">
        <f>Raw_Data!O1400</f>
        <v/>
      </c>
      <c r="P1400">
        <f>Raw_Data!P1400</f>
        <v/>
      </c>
      <c r="Q1400">
        <f>YEAR(B1400)</f>
        <v/>
      </c>
      <c r="R1400">
        <f>TEXT(B1400,"mmm")</f>
        <v/>
      </c>
      <c r="S1400" s="15">
        <f>IFERROR(N1400/L1400,0)</f>
        <v/>
      </c>
    </row>
    <row r="1401">
      <c r="A1401">
        <f>Raw_Data!A1401</f>
        <v/>
      </c>
      <c r="B1401" s="11">
        <f>Raw_Data!B1401</f>
        <v/>
      </c>
      <c r="C1401">
        <f>Raw_Data!C1401</f>
        <v/>
      </c>
      <c r="D1401">
        <f>Raw_Data!D1401</f>
        <v/>
      </c>
      <c r="E1401">
        <f>Raw_Data!E1401</f>
        <v/>
      </c>
      <c r="F1401">
        <f>Raw_Data!F1401</f>
        <v/>
      </c>
      <c r="G1401">
        <f>Raw_Data!G1401</f>
        <v/>
      </c>
      <c r="H1401">
        <f>Raw_Data!H1401</f>
        <v/>
      </c>
      <c r="I1401">
        <f>Raw_Data!I1401</f>
        <v/>
      </c>
      <c r="J1401" s="12">
        <f>Raw_Data!J1401</f>
        <v/>
      </c>
      <c r="K1401" s="13">
        <f>Raw_Data!K1401</f>
        <v/>
      </c>
      <c r="L1401" s="12">
        <f>Raw_Data!L1401</f>
        <v/>
      </c>
      <c r="M1401" s="12">
        <f>Raw_Data!M1401</f>
        <v/>
      </c>
      <c r="N1401" s="12">
        <f>Raw_Data!N1401</f>
        <v/>
      </c>
      <c r="O1401">
        <f>Raw_Data!O1401</f>
        <v/>
      </c>
      <c r="P1401">
        <f>Raw_Data!P1401</f>
        <v/>
      </c>
      <c r="Q1401">
        <f>YEAR(B1401)</f>
        <v/>
      </c>
      <c r="R1401">
        <f>TEXT(B1401,"mmm")</f>
        <v/>
      </c>
      <c r="S1401" s="15">
        <f>IFERROR(N1401/L1401,0)</f>
        <v/>
      </c>
    </row>
    <row r="1402">
      <c r="A1402">
        <f>Raw_Data!A1402</f>
        <v/>
      </c>
      <c r="B1402" s="11">
        <f>Raw_Data!B1402</f>
        <v/>
      </c>
      <c r="C1402">
        <f>Raw_Data!C1402</f>
        <v/>
      </c>
      <c r="D1402">
        <f>Raw_Data!D1402</f>
        <v/>
      </c>
      <c r="E1402">
        <f>Raw_Data!E1402</f>
        <v/>
      </c>
      <c r="F1402">
        <f>Raw_Data!F1402</f>
        <v/>
      </c>
      <c r="G1402">
        <f>Raw_Data!G1402</f>
        <v/>
      </c>
      <c r="H1402">
        <f>Raw_Data!H1402</f>
        <v/>
      </c>
      <c r="I1402">
        <f>Raw_Data!I1402</f>
        <v/>
      </c>
      <c r="J1402" s="12">
        <f>Raw_Data!J1402</f>
        <v/>
      </c>
      <c r="K1402" s="13">
        <f>Raw_Data!K1402</f>
        <v/>
      </c>
      <c r="L1402" s="12">
        <f>Raw_Data!L1402</f>
        <v/>
      </c>
      <c r="M1402" s="12">
        <f>Raw_Data!M1402</f>
        <v/>
      </c>
      <c r="N1402" s="12">
        <f>Raw_Data!N1402</f>
        <v/>
      </c>
      <c r="O1402">
        <f>Raw_Data!O1402</f>
        <v/>
      </c>
      <c r="P1402">
        <f>Raw_Data!P1402</f>
        <v/>
      </c>
      <c r="Q1402">
        <f>YEAR(B1402)</f>
        <v/>
      </c>
      <c r="R1402">
        <f>TEXT(B1402,"mmm")</f>
        <v/>
      </c>
      <c r="S1402" s="15">
        <f>IFERROR(N1402/L1402,0)</f>
        <v/>
      </c>
    </row>
    <row r="1403">
      <c r="A1403">
        <f>Raw_Data!A1403</f>
        <v/>
      </c>
      <c r="B1403" s="11">
        <f>Raw_Data!B1403</f>
        <v/>
      </c>
      <c r="C1403">
        <f>Raw_Data!C1403</f>
        <v/>
      </c>
      <c r="D1403">
        <f>Raw_Data!D1403</f>
        <v/>
      </c>
      <c r="E1403">
        <f>Raw_Data!E1403</f>
        <v/>
      </c>
      <c r="F1403">
        <f>Raw_Data!F1403</f>
        <v/>
      </c>
      <c r="G1403">
        <f>Raw_Data!G1403</f>
        <v/>
      </c>
      <c r="H1403">
        <f>Raw_Data!H1403</f>
        <v/>
      </c>
      <c r="I1403">
        <f>Raw_Data!I1403</f>
        <v/>
      </c>
      <c r="J1403" s="12">
        <f>Raw_Data!J1403</f>
        <v/>
      </c>
      <c r="K1403" s="13">
        <f>Raw_Data!K1403</f>
        <v/>
      </c>
      <c r="L1403" s="12">
        <f>Raw_Data!L1403</f>
        <v/>
      </c>
      <c r="M1403" s="12">
        <f>Raw_Data!M1403</f>
        <v/>
      </c>
      <c r="N1403" s="12">
        <f>Raw_Data!N1403</f>
        <v/>
      </c>
      <c r="O1403">
        <f>Raw_Data!O1403</f>
        <v/>
      </c>
      <c r="P1403">
        <f>Raw_Data!P1403</f>
        <v/>
      </c>
      <c r="Q1403">
        <f>YEAR(B1403)</f>
        <v/>
      </c>
      <c r="R1403">
        <f>TEXT(B1403,"mmm")</f>
        <v/>
      </c>
      <c r="S1403" s="15">
        <f>IFERROR(N1403/L1403,0)</f>
        <v/>
      </c>
    </row>
    <row r="1404">
      <c r="A1404">
        <f>Raw_Data!A1404</f>
        <v/>
      </c>
      <c r="B1404" s="11">
        <f>Raw_Data!B1404</f>
        <v/>
      </c>
      <c r="C1404">
        <f>Raw_Data!C1404</f>
        <v/>
      </c>
      <c r="D1404">
        <f>Raw_Data!D1404</f>
        <v/>
      </c>
      <c r="E1404">
        <f>Raw_Data!E1404</f>
        <v/>
      </c>
      <c r="F1404">
        <f>Raw_Data!F1404</f>
        <v/>
      </c>
      <c r="G1404">
        <f>Raw_Data!G1404</f>
        <v/>
      </c>
      <c r="H1404">
        <f>Raw_Data!H1404</f>
        <v/>
      </c>
      <c r="I1404">
        <f>Raw_Data!I1404</f>
        <v/>
      </c>
      <c r="J1404" s="12">
        <f>Raw_Data!J1404</f>
        <v/>
      </c>
      <c r="K1404" s="13">
        <f>Raw_Data!K1404</f>
        <v/>
      </c>
      <c r="L1404" s="12">
        <f>Raw_Data!L1404</f>
        <v/>
      </c>
      <c r="M1404" s="12">
        <f>Raw_Data!M1404</f>
        <v/>
      </c>
      <c r="N1404" s="12">
        <f>Raw_Data!N1404</f>
        <v/>
      </c>
      <c r="O1404">
        <f>Raw_Data!O1404</f>
        <v/>
      </c>
      <c r="P1404">
        <f>Raw_Data!P1404</f>
        <v/>
      </c>
      <c r="Q1404">
        <f>YEAR(B1404)</f>
        <v/>
      </c>
      <c r="R1404">
        <f>TEXT(B1404,"mmm")</f>
        <v/>
      </c>
      <c r="S1404" s="15">
        <f>IFERROR(N1404/L1404,0)</f>
        <v/>
      </c>
    </row>
    <row r="1405">
      <c r="A1405">
        <f>Raw_Data!A1405</f>
        <v/>
      </c>
      <c r="B1405" s="11">
        <f>Raw_Data!B1405</f>
        <v/>
      </c>
      <c r="C1405">
        <f>Raw_Data!C1405</f>
        <v/>
      </c>
      <c r="D1405">
        <f>Raw_Data!D1405</f>
        <v/>
      </c>
      <c r="E1405">
        <f>Raw_Data!E1405</f>
        <v/>
      </c>
      <c r="F1405">
        <f>Raw_Data!F1405</f>
        <v/>
      </c>
      <c r="G1405">
        <f>Raw_Data!G1405</f>
        <v/>
      </c>
      <c r="H1405">
        <f>Raw_Data!H1405</f>
        <v/>
      </c>
      <c r="I1405">
        <f>Raw_Data!I1405</f>
        <v/>
      </c>
      <c r="J1405" s="12">
        <f>Raw_Data!J1405</f>
        <v/>
      </c>
      <c r="K1405" s="13">
        <f>Raw_Data!K1405</f>
        <v/>
      </c>
      <c r="L1405" s="12">
        <f>Raw_Data!L1405</f>
        <v/>
      </c>
      <c r="M1405" s="12">
        <f>Raw_Data!M1405</f>
        <v/>
      </c>
      <c r="N1405" s="12">
        <f>Raw_Data!N1405</f>
        <v/>
      </c>
      <c r="O1405">
        <f>Raw_Data!O1405</f>
        <v/>
      </c>
      <c r="P1405">
        <f>Raw_Data!P1405</f>
        <v/>
      </c>
      <c r="Q1405">
        <f>YEAR(B1405)</f>
        <v/>
      </c>
      <c r="R1405">
        <f>TEXT(B1405,"mmm")</f>
        <v/>
      </c>
      <c r="S1405" s="15">
        <f>IFERROR(N1405/L1405,0)</f>
        <v/>
      </c>
    </row>
    <row r="1406">
      <c r="A1406">
        <f>Raw_Data!A1406</f>
        <v/>
      </c>
      <c r="B1406" s="11">
        <f>Raw_Data!B1406</f>
        <v/>
      </c>
      <c r="C1406">
        <f>Raw_Data!C1406</f>
        <v/>
      </c>
      <c r="D1406">
        <f>Raw_Data!D1406</f>
        <v/>
      </c>
      <c r="E1406">
        <f>Raw_Data!E1406</f>
        <v/>
      </c>
      <c r="F1406">
        <f>Raw_Data!F1406</f>
        <v/>
      </c>
      <c r="G1406">
        <f>Raw_Data!G1406</f>
        <v/>
      </c>
      <c r="H1406">
        <f>Raw_Data!H1406</f>
        <v/>
      </c>
      <c r="I1406">
        <f>Raw_Data!I1406</f>
        <v/>
      </c>
      <c r="J1406" s="12">
        <f>Raw_Data!J1406</f>
        <v/>
      </c>
      <c r="K1406" s="13">
        <f>Raw_Data!K1406</f>
        <v/>
      </c>
      <c r="L1406" s="12">
        <f>Raw_Data!L1406</f>
        <v/>
      </c>
      <c r="M1406" s="12">
        <f>Raw_Data!M1406</f>
        <v/>
      </c>
      <c r="N1406" s="12">
        <f>Raw_Data!N1406</f>
        <v/>
      </c>
      <c r="O1406">
        <f>Raw_Data!O1406</f>
        <v/>
      </c>
      <c r="P1406">
        <f>Raw_Data!P1406</f>
        <v/>
      </c>
      <c r="Q1406">
        <f>YEAR(B1406)</f>
        <v/>
      </c>
      <c r="R1406">
        <f>TEXT(B1406,"mmm")</f>
        <v/>
      </c>
      <c r="S1406" s="15">
        <f>IFERROR(N1406/L1406,0)</f>
        <v/>
      </c>
    </row>
    <row r="1407">
      <c r="A1407">
        <f>Raw_Data!A1407</f>
        <v/>
      </c>
      <c r="B1407" s="11">
        <f>Raw_Data!B1407</f>
        <v/>
      </c>
      <c r="C1407">
        <f>Raw_Data!C1407</f>
        <v/>
      </c>
      <c r="D1407">
        <f>Raw_Data!D1407</f>
        <v/>
      </c>
      <c r="E1407">
        <f>Raw_Data!E1407</f>
        <v/>
      </c>
      <c r="F1407">
        <f>Raw_Data!F1407</f>
        <v/>
      </c>
      <c r="G1407">
        <f>Raw_Data!G1407</f>
        <v/>
      </c>
      <c r="H1407">
        <f>Raw_Data!H1407</f>
        <v/>
      </c>
      <c r="I1407">
        <f>Raw_Data!I1407</f>
        <v/>
      </c>
      <c r="J1407" s="12">
        <f>Raw_Data!J1407</f>
        <v/>
      </c>
      <c r="K1407" s="13">
        <f>Raw_Data!K1407</f>
        <v/>
      </c>
      <c r="L1407" s="12">
        <f>Raw_Data!L1407</f>
        <v/>
      </c>
      <c r="M1407" s="12">
        <f>Raw_Data!M1407</f>
        <v/>
      </c>
      <c r="N1407" s="12">
        <f>Raw_Data!N1407</f>
        <v/>
      </c>
      <c r="O1407">
        <f>Raw_Data!O1407</f>
        <v/>
      </c>
      <c r="P1407">
        <f>Raw_Data!P1407</f>
        <v/>
      </c>
      <c r="Q1407">
        <f>YEAR(B1407)</f>
        <v/>
      </c>
      <c r="R1407">
        <f>TEXT(B1407,"mmm")</f>
        <v/>
      </c>
      <c r="S1407" s="15">
        <f>IFERROR(N1407/L1407,0)</f>
        <v/>
      </c>
    </row>
    <row r="1408">
      <c r="A1408">
        <f>Raw_Data!A1408</f>
        <v/>
      </c>
      <c r="B1408" s="11">
        <f>Raw_Data!B1408</f>
        <v/>
      </c>
      <c r="C1408">
        <f>Raw_Data!C1408</f>
        <v/>
      </c>
      <c r="D1408">
        <f>Raw_Data!D1408</f>
        <v/>
      </c>
      <c r="E1408">
        <f>Raw_Data!E1408</f>
        <v/>
      </c>
      <c r="F1408">
        <f>Raw_Data!F1408</f>
        <v/>
      </c>
      <c r="G1408">
        <f>Raw_Data!G1408</f>
        <v/>
      </c>
      <c r="H1408">
        <f>Raw_Data!H1408</f>
        <v/>
      </c>
      <c r="I1408">
        <f>Raw_Data!I1408</f>
        <v/>
      </c>
      <c r="J1408" s="12">
        <f>Raw_Data!J1408</f>
        <v/>
      </c>
      <c r="K1408" s="13">
        <f>Raw_Data!K1408</f>
        <v/>
      </c>
      <c r="L1408" s="12">
        <f>Raw_Data!L1408</f>
        <v/>
      </c>
      <c r="M1408" s="12">
        <f>Raw_Data!M1408</f>
        <v/>
      </c>
      <c r="N1408" s="12">
        <f>Raw_Data!N1408</f>
        <v/>
      </c>
      <c r="O1408">
        <f>Raw_Data!O1408</f>
        <v/>
      </c>
      <c r="P1408">
        <f>Raw_Data!P1408</f>
        <v/>
      </c>
      <c r="Q1408">
        <f>YEAR(B1408)</f>
        <v/>
      </c>
      <c r="R1408">
        <f>TEXT(B1408,"mmm")</f>
        <v/>
      </c>
      <c r="S1408" s="15">
        <f>IFERROR(N1408/L1408,0)</f>
        <v/>
      </c>
    </row>
    <row r="1409">
      <c r="A1409">
        <f>Raw_Data!A1409</f>
        <v/>
      </c>
      <c r="B1409" s="11">
        <f>Raw_Data!B1409</f>
        <v/>
      </c>
      <c r="C1409">
        <f>Raw_Data!C1409</f>
        <v/>
      </c>
      <c r="D1409">
        <f>Raw_Data!D1409</f>
        <v/>
      </c>
      <c r="E1409">
        <f>Raw_Data!E1409</f>
        <v/>
      </c>
      <c r="F1409">
        <f>Raw_Data!F1409</f>
        <v/>
      </c>
      <c r="G1409">
        <f>Raw_Data!G1409</f>
        <v/>
      </c>
      <c r="H1409">
        <f>Raw_Data!H1409</f>
        <v/>
      </c>
      <c r="I1409">
        <f>Raw_Data!I1409</f>
        <v/>
      </c>
      <c r="J1409" s="12">
        <f>Raw_Data!J1409</f>
        <v/>
      </c>
      <c r="K1409" s="13">
        <f>Raw_Data!K1409</f>
        <v/>
      </c>
      <c r="L1409" s="12">
        <f>Raw_Data!L1409</f>
        <v/>
      </c>
      <c r="M1409" s="12">
        <f>Raw_Data!M1409</f>
        <v/>
      </c>
      <c r="N1409" s="12">
        <f>Raw_Data!N1409</f>
        <v/>
      </c>
      <c r="O1409">
        <f>Raw_Data!O1409</f>
        <v/>
      </c>
      <c r="P1409">
        <f>Raw_Data!P1409</f>
        <v/>
      </c>
      <c r="Q1409">
        <f>YEAR(B1409)</f>
        <v/>
      </c>
      <c r="R1409">
        <f>TEXT(B1409,"mmm")</f>
        <v/>
      </c>
      <c r="S1409" s="15">
        <f>IFERROR(N1409/L1409,0)</f>
        <v/>
      </c>
    </row>
    <row r="1410">
      <c r="A1410">
        <f>Raw_Data!A1410</f>
        <v/>
      </c>
      <c r="B1410" s="11">
        <f>Raw_Data!B1410</f>
        <v/>
      </c>
      <c r="C1410">
        <f>Raw_Data!C1410</f>
        <v/>
      </c>
      <c r="D1410">
        <f>Raw_Data!D1410</f>
        <v/>
      </c>
      <c r="E1410">
        <f>Raw_Data!E1410</f>
        <v/>
      </c>
      <c r="F1410">
        <f>Raw_Data!F1410</f>
        <v/>
      </c>
      <c r="G1410">
        <f>Raw_Data!G1410</f>
        <v/>
      </c>
      <c r="H1410">
        <f>Raw_Data!H1410</f>
        <v/>
      </c>
      <c r="I1410">
        <f>Raw_Data!I1410</f>
        <v/>
      </c>
      <c r="J1410" s="12">
        <f>Raw_Data!J1410</f>
        <v/>
      </c>
      <c r="K1410" s="13">
        <f>Raw_Data!K1410</f>
        <v/>
      </c>
      <c r="L1410" s="12">
        <f>Raw_Data!L1410</f>
        <v/>
      </c>
      <c r="M1410" s="12">
        <f>Raw_Data!M1410</f>
        <v/>
      </c>
      <c r="N1410" s="12">
        <f>Raw_Data!N1410</f>
        <v/>
      </c>
      <c r="O1410">
        <f>Raw_Data!O1410</f>
        <v/>
      </c>
      <c r="P1410">
        <f>Raw_Data!P1410</f>
        <v/>
      </c>
      <c r="Q1410">
        <f>YEAR(B1410)</f>
        <v/>
      </c>
      <c r="R1410">
        <f>TEXT(B1410,"mmm")</f>
        <v/>
      </c>
      <c r="S1410" s="15">
        <f>IFERROR(N1410/L1410,0)</f>
        <v/>
      </c>
    </row>
    <row r="1411">
      <c r="A1411">
        <f>Raw_Data!A1411</f>
        <v/>
      </c>
      <c r="B1411" s="11">
        <f>Raw_Data!B1411</f>
        <v/>
      </c>
      <c r="C1411">
        <f>Raw_Data!C1411</f>
        <v/>
      </c>
      <c r="D1411">
        <f>Raw_Data!D1411</f>
        <v/>
      </c>
      <c r="E1411">
        <f>Raw_Data!E1411</f>
        <v/>
      </c>
      <c r="F1411">
        <f>Raw_Data!F1411</f>
        <v/>
      </c>
      <c r="G1411">
        <f>Raw_Data!G1411</f>
        <v/>
      </c>
      <c r="H1411">
        <f>Raw_Data!H1411</f>
        <v/>
      </c>
      <c r="I1411">
        <f>Raw_Data!I1411</f>
        <v/>
      </c>
      <c r="J1411" s="12">
        <f>Raw_Data!J1411</f>
        <v/>
      </c>
      <c r="K1411" s="13">
        <f>Raw_Data!K1411</f>
        <v/>
      </c>
      <c r="L1411" s="12">
        <f>Raw_Data!L1411</f>
        <v/>
      </c>
      <c r="M1411" s="12">
        <f>Raw_Data!M1411</f>
        <v/>
      </c>
      <c r="N1411" s="12">
        <f>Raw_Data!N1411</f>
        <v/>
      </c>
      <c r="O1411">
        <f>Raw_Data!O1411</f>
        <v/>
      </c>
      <c r="P1411">
        <f>Raw_Data!P1411</f>
        <v/>
      </c>
      <c r="Q1411">
        <f>YEAR(B1411)</f>
        <v/>
      </c>
      <c r="R1411">
        <f>TEXT(B1411,"mmm")</f>
        <v/>
      </c>
      <c r="S1411" s="15">
        <f>IFERROR(N1411/L1411,0)</f>
        <v/>
      </c>
    </row>
    <row r="1412">
      <c r="A1412">
        <f>Raw_Data!A1412</f>
        <v/>
      </c>
      <c r="B1412" s="11">
        <f>Raw_Data!B1412</f>
        <v/>
      </c>
      <c r="C1412">
        <f>Raw_Data!C1412</f>
        <v/>
      </c>
      <c r="D1412">
        <f>Raw_Data!D1412</f>
        <v/>
      </c>
      <c r="E1412">
        <f>Raw_Data!E1412</f>
        <v/>
      </c>
      <c r="F1412">
        <f>Raw_Data!F1412</f>
        <v/>
      </c>
      <c r="G1412">
        <f>Raw_Data!G1412</f>
        <v/>
      </c>
      <c r="H1412">
        <f>Raw_Data!H1412</f>
        <v/>
      </c>
      <c r="I1412">
        <f>Raw_Data!I1412</f>
        <v/>
      </c>
      <c r="J1412" s="12">
        <f>Raw_Data!J1412</f>
        <v/>
      </c>
      <c r="K1412" s="13">
        <f>Raw_Data!K1412</f>
        <v/>
      </c>
      <c r="L1412" s="12">
        <f>Raw_Data!L1412</f>
        <v/>
      </c>
      <c r="M1412" s="12">
        <f>Raw_Data!M1412</f>
        <v/>
      </c>
      <c r="N1412" s="12">
        <f>Raw_Data!N1412</f>
        <v/>
      </c>
      <c r="O1412">
        <f>Raw_Data!O1412</f>
        <v/>
      </c>
      <c r="P1412">
        <f>Raw_Data!P1412</f>
        <v/>
      </c>
      <c r="Q1412">
        <f>YEAR(B1412)</f>
        <v/>
      </c>
      <c r="R1412">
        <f>TEXT(B1412,"mmm")</f>
        <v/>
      </c>
      <c r="S1412" s="15">
        <f>IFERROR(N1412/L1412,0)</f>
        <v/>
      </c>
    </row>
    <row r="1413">
      <c r="A1413">
        <f>Raw_Data!A1413</f>
        <v/>
      </c>
      <c r="B1413" s="11">
        <f>Raw_Data!B1413</f>
        <v/>
      </c>
      <c r="C1413">
        <f>Raw_Data!C1413</f>
        <v/>
      </c>
      <c r="D1413">
        <f>Raw_Data!D1413</f>
        <v/>
      </c>
      <c r="E1413">
        <f>Raw_Data!E1413</f>
        <v/>
      </c>
      <c r="F1413">
        <f>Raw_Data!F1413</f>
        <v/>
      </c>
      <c r="G1413">
        <f>Raw_Data!G1413</f>
        <v/>
      </c>
      <c r="H1413">
        <f>Raw_Data!H1413</f>
        <v/>
      </c>
      <c r="I1413">
        <f>Raw_Data!I1413</f>
        <v/>
      </c>
      <c r="J1413" s="12">
        <f>Raw_Data!J1413</f>
        <v/>
      </c>
      <c r="K1413" s="13">
        <f>Raw_Data!K1413</f>
        <v/>
      </c>
      <c r="L1413" s="12">
        <f>Raw_Data!L1413</f>
        <v/>
      </c>
      <c r="M1413" s="12">
        <f>Raw_Data!M1413</f>
        <v/>
      </c>
      <c r="N1413" s="12">
        <f>Raw_Data!N1413</f>
        <v/>
      </c>
      <c r="O1413">
        <f>Raw_Data!O1413</f>
        <v/>
      </c>
      <c r="P1413">
        <f>Raw_Data!P1413</f>
        <v/>
      </c>
      <c r="Q1413">
        <f>YEAR(B1413)</f>
        <v/>
      </c>
      <c r="R1413">
        <f>TEXT(B1413,"mmm")</f>
        <v/>
      </c>
      <c r="S1413" s="15">
        <f>IFERROR(N1413/L1413,0)</f>
        <v/>
      </c>
    </row>
    <row r="1414">
      <c r="A1414">
        <f>Raw_Data!A1414</f>
        <v/>
      </c>
      <c r="B1414" s="11">
        <f>Raw_Data!B1414</f>
        <v/>
      </c>
      <c r="C1414">
        <f>Raw_Data!C1414</f>
        <v/>
      </c>
      <c r="D1414">
        <f>Raw_Data!D1414</f>
        <v/>
      </c>
      <c r="E1414">
        <f>Raw_Data!E1414</f>
        <v/>
      </c>
      <c r="F1414">
        <f>Raw_Data!F1414</f>
        <v/>
      </c>
      <c r="G1414">
        <f>Raw_Data!G1414</f>
        <v/>
      </c>
      <c r="H1414">
        <f>Raw_Data!H1414</f>
        <v/>
      </c>
      <c r="I1414">
        <f>Raw_Data!I1414</f>
        <v/>
      </c>
      <c r="J1414" s="12">
        <f>Raw_Data!J1414</f>
        <v/>
      </c>
      <c r="K1414" s="13">
        <f>Raw_Data!K1414</f>
        <v/>
      </c>
      <c r="L1414" s="12">
        <f>Raw_Data!L1414</f>
        <v/>
      </c>
      <c r="M1414" s="12">
        <f>Raw_Data!M1414</f>
        <v/>
      </c>
      <c r="N1414" s="12">
        <f>Raw_Data!N1414</f>
        <v/>
      </c>
      <c r="O1414">
        <f>Raw_Data!O1414</f>
        <v/>
      </c>
      <c r="P1414">
        <f>Raw_Data!P1414</f>
        <v/>
      </c>
      <c r="Q1414">
        <f>YEAR(B1414)</f>
        <v/>
      </c>
      <c r="R1414">
        <f>TEXT(B1414,"mmm")</f>
        <v/>
      </c>
      <c r="S1414" s="15">
        <f>IFERROR(N1414/L1414,0)</f>
        <v/>
      </c>
    </row>
    <row r="1415">
      <c r="A1415">
        <f>Raw_Data!A1415</f>
        <v/>
      </c>
      <c r="B1415" s="11">
        <f>Raw_Data!B1415</f>
        <v/>
      </c>
      <c r="C1415">
        <f>Raw_Data!C1415</f>
        <v/>
      </c>
      <c r="D1415">
        <f>Raw_Data!D1415</f>
        <v/>
      </c>
      <c r="E1415">
        <f>Raw_Data!E1415</f>
        <v/>
      </c>
      <c r="F1415">
        <f>Raw_Data!F1415</f>
        <v/>
      </c>
      <c r="G1415">
        <f>Raw_Data!G1415</f>
        <v/>
      </c>
      <c r="H1415">
        <f>Raw_Data!H1415</f>
        <v/>
      </c>
      <c r="I1415">
        <f>Raw_Data!I1415</f>
        <v/>
      </c>
      <c r="J1415" s="12">
        <f>Raw_Data!J1415</f>
        <v/>
      </c>
      <c r="K1415" s="13">
        <f>Raw_Data!K1415</f>
        <v/>
      </c>
      <c r="L1415" s="12">
        <f>Raw_Data!L1415</f>
        <v/>
      </c>
      <c r="M1415" s="12">
        <f>Raw_Data!M1415</f>
        <v/>
      </c>
      <c r="N1415" s="12">
        <f>Raw_Data!N1415</f>
        <v/>
      </c>
      <c r="O1415">
        <f>Raw_Data!O1415</f>
        <v/>
      </c>
      <c r="P1415">
        <f>Raw_Data!P1415</f>
        <v/>
      </c>
      <c r="Q1415">
        <f>YEAR(B1415)</f>
        <v/>
      </c>
      <c r="R1415">
        <f>TEXT(B1415,"mmm")</f>
        <v/>
      </c>
      <c r="S1415" s="15">
        <f>IFERROR(N1415/L1415,0)</f>
        <v/>
      </c>
    </row>
    <row r="1416">
      <c r="A1416">
        <f>Raw_Data!A1416</f>
        <v/>
      </c>
      <c r="B1416" s="11">
        <f>Raw_Data!B1416</f>
        <v/>
      </c>
      <c r="C1416">
        <f>Raw_Data!C1416</f>
        <v/>
      </c>
      <c r="D1416">
        <f>Raw_Data!D1416</f>
        <v/>
      </c>
      <c r="E1416">
        <f>Raw_Data!E1416</f>
        <v/>
      </c>
      <c r="F1416">
        <f>Raw_Data!F1416</f>
        <v/>
      </c>
      <c r="G1416">
        <f>Raw_Data!G1416</f>
        <v/>
      </c>
      <c r="H1416">
        <f>Raw_Data!H1416</f>
        <v/>
      </c>
      <c r="I1416">
        <f>Raw_Data!I1416</f>
        <v/>
      </c>
      <c r="J1416" s="12">
        <f>Raw_Data!J1416</f>
        <v/>
      </c>
      <c r="K1416" s="13">
        <f>Raw_Data!K1416</f>
        <v/>
      </c>
      <c r="L1416" s="12">
        <f>Raw_Data!L1416</f>
        <v/>
      </c>
      <c r="M1416" s="12">
        <f>Raw_Data!M1416</f>
        <v/>
      </c>
      <c r="N1416" s="12">
        <f>Raw_Data!N1416</f>
        <v/>
      </c>
      <c r="O1416">
        <f>Raw_Data!O1416</f>
        <v/>
      </c>
      <c r="P1416">
        <f>Raw_Data!P1416</f>
        <v/>
      </c>
      <c r="Q1416">
        <f>YEAR(B1416)</f>
        <v/>
      </c>
      <c r="R1416">
        <f>TEXT(B1416,"mmm")</f>
        <v/>
      </c>
      <c r="S1416" s="15">
        <f>IFERROR(N1416/L1416,0)</f>
        <v/>
      </c>
    </row>
    <row r="1417">
      <c r="A1417">
        <f>Raw_Data!A1417</f>
        <v/>
      </c>
      <c r="B1417" s="11">
        <f>Raw_Data!B1417</f>
        <v/>
      </c>
      <c r="C1417">
        <f>Raw_Data!C1417</f>
        <v/>
      </c>
      <c r="D1417">
        <f>Raw_Data!D1417</f>
        <v/>
      </c>
      <c r="E1417">
        <f>Raw_Data!E1417</f>
        <v/>
      </c>
      <c r="F1417">
        <f>Raw_Data!F1417</f>
        <v/>
      </c>
      <c r="G1417">
        <f>Raw_Data!G1417</f>
        <v/>
      </c>
      <c r="H1417">
        <f>Raw_Data!H1417</f>
        <v/>
      </c>
      <c r="I1417">
        <f>Raw_Data!I1417</f>
        <v/>
      </c>
      <c r="J1417" s="12">
        <f>Raw_Data!J1417</f>
        <v/>
      </c>
      <c r="K1417" s="13">
        <f>Raw_Data!K1417</f>
        <v/>
      </c>
      <c r="L1417" s="12">
        <f>Raw_Data!L1417</f>
        <v/>
      </c>
      <c r="M1417" s="12">
        <f>Raw_Data!M1417</f>
        <v/>
      </c>
      <c r="N1417" s="12">
        <f>Raw_Data!N1417</f>
        <v/>
      </c>
      <c r="O1417">
        <f>Raw_Data!O1417</f>
        <v/>
      </c>
      <c r="P1417">
        <f>Raw_Data!P1417</f>
        <v/>
      </c>
      <c r="Q1417">
        <f>YEAR(B1417)</f>
        <v/>
      </c>
      <c r="R1417">
        <f>TEXT(B1417,"mmm")</f>
        <v/>
      </c>
      <c r="S1417" s="15">
        <f>IFERROR(N1417/L1417,0)</f>
        <v/>
      </c>
    </row>
    <row r="1418">
      <c r="A1418">
        <f>Raw_Data!A1418</f>
        <v/>
      </c>
      <c r="B1418" s="11">
        <f>Raw_Data!B1418</f>
        <v/>
      </c>
      <c r="C1418">
        <f>Raw_Data!C1418</f>
        <v/>
      </c>
      <c r="D1418">
        <f>Raw_Data!D1418</f>
        <v/>
      </c>
      <c r="E1418">
        <f>Raw_Data!E1418</f>
        <v/>
      </c>
      <c r="F1418">
        <f>Raw_Data!F1418</f>
        <v/>
      </c>
      <c r="G1418">
        <f>Raw_Data!G1418</f>
        <v/>
      </c>
      <c r="H1418">
        <f>Raw_Data!H1418</f>
        <v/>
      </c>
      <c r="I1418">
        <f>Raw_Data!I1418</f>
        <v/>
      </c>
      <c r="J1418" s="12">
        <f>Raw_Data!J1418</f>
        <v/>
      </c>
      <c r="K1418" s="13">
        <f>Raw_Data!K1418</f>
        <v/>
      </c>
      <c r="L1418" s="12">
        <f>Raw_Data!L1418</f>
        <v/>
      </c>
      <c r="M1418" s="12">
        <f>Raw_Data!M1418</f>
        <v/>
      </c>
      <c r="N1418" s="12">
        <f>Raw_Data!N1418</f>
        <v/>
      </c>
      <c r="O1418">
        <f>Raw_Data!O1418</f>
        <v/>
      </c>
      <c r="P1418">
        <f>Raw_Data!P1418</f>
        <v/>
      </c>
      <c r="Q1418">
        <f>YEAR(B1418)</f>
        <v/>
      </c>
      <c r="R1418">
        <f>TEXT(B1418,"mmm")</f>
        <v/>
      </c>
      <c r="S1418" s="15">
        <f>IFERROR(N1418/L1418,0)</f>
        <v/>
      </c>
    </row>
    <row r="1419">
      <c r="A1419">
        <f>Raw_Data!A1419</f>
        <v/>
      </c>
      <c r="B1419" s="11">
        <f>Raw_Data!B1419</f>
        <v/>
      </c>
      <c r="C1419">
        <f>Raw_Data!C1419</f>
        <v/>
      </c>
      <c r="D1419">
        <f>Raw_Data!D1419</f>
        <v/>
      </c>
      <c r="E1419">
        <f>Raw_Data!E1419</f>
        <v/>
      </c>
      <c r="F1419">
        <f>Raw_Data!F1419</f>
        <v/>
      </c>
      <c r="G1419">
        <f>Raw_Data!G1419</f>
        <v/>
      </c>
      <c r="H1419">
        <f>Raw_Data!H1419</f>
        <v/>
      </c>
      <c r="I1419">
        <f>Raw_Data!I1419</f>
        <v/>
      </c>
      <c r="J1419" s="12">
        <f>Raw_Data!J1419</f>
        <v/>
      </c>
      <c r="K1419" s="13">
        <f>Raw_Data!K1419</f>
        <v/>
      </c>
      <c r="L1419" s="12">
        <f>Raw_Data!L1419</f>
        <v/>
      </c>
      <c r="M1419" s="12">
        <f>Raw_Data!M1419</f>
        <v/>
      </c>
      <c r="N1419" s="12">
        <f>Raw_Data!N1419</f>
        <v/>
      </c>
      <c r="O1419">
        <f>Raw_Data!O1419</f>
        <v/>
      </c>
      <c r="P1419">
        <f>Raw_Data!P1419</f>
        <v/>
      </c>
      <c r="Q1419">
        <f>YEAR(B1419)</f>
        <v/>
      </c>
      <c r="R1419">
        <f>TEXT(B1419,"mmm")</f>
        <v/>
      </c>
      <c r="S1419" s="15">
        <f>IFERROR(N1419/L1419,0)</f>
        <v/>
      </c>
    </row>
    <row r="1420">
      <c r="A1420">
        <f>Raw_Data!A1420</f>
        <v/>
      </c>
      <c r="B1420" s="11">
        <f>Raw_Data!B1420</f>
        <v/>
      </c>
      <c r="C1420">
        <f>Raw_Data!C1420</f>
        <v/>
      </c>
      <c r="D1420">
        <f>Raw_Data!D1420</f>
        <v/>
      </c>
      <c r="E1420">
        <f>Raw_Data!E1420</f>
        <v/>
      </c>
      <c r="F1420">
        <f>Raw_Data!F1420</f>
        <v/>
      </c>
      <c r="G1420">
        <f>Raw_Data!G1420</f>
        <v/>
      </c>
      <c r="H1420">
        <f>Raw_Data!H1420</f>
        <v/>
      </c>
      <c r="I1420">
        <f>Raw_Data!I1420</f>
        <v/>
      </c>
      <c r="J1420" s="12">
        <f>Raw_Data!J1420</f>
        <v/>
      </c>
      <c r="K1420" s="13">
        <f>Raw_Data!K1420</f>
        <v/>
      </c>
      <c r="L1420" s="12">
        <f>Raw_Data!L1420</f>
        <v/>
      </c>
      <c r="M1420" s="12">
        <f>Raw_Data!M1420</f>
        <v/>
      </c>
      <c r="N1420" s="12">
        <f>Raw_Data!N1420</f>
        <v/>
      </c>
      <c r="O1420">
        <f>Raw_Data!O1420</f>
        <v/>
      </c>
      <c r="P1420">
        <f>Raw_Data!P1420</f>
        <v/>
      </c>
      <c r="Q1420">
        <f>YEAR(B1420)</f>
        <v/>
      </c>
      <c r="R1420">
        <f>TEXT(B1420,"mmm")</f>
        <v/>
      </c>
      <c r="S1420" s="15">
        <f>IFERROR(N1420/L1420,0)</f>
        <v/>
      </c>
    </row>
    <row r="1421">
      <c r="A1421">
        <f>Raw_Data!A1421</f>
        <v/>
      </c>
      <c r="B1421" s="11">
        <f>Raw_Data!B1421</f>
        <v/>
      </c>
      <c r="C1421">
        <f>Raw_Data!C1421</f>
        <v/>
      </c>
      <c r="D1421">
        <f>Raw_Data!D1421</f>
        <v/>
      </c>
      <c r="E1421">
        <f>Raw_Data!E1421</f>
        <v/>
      </c>
      <c r="F1421">
        <f>Raw_Data!F1421</f>
        <v/>
      </c>
      <c r="G1421">
        <f>Raw_Data!G1421</f>
        <v/>
      </c>
      <c r="H1421">
        <f>Raw_Data!H1421</f>
        <v/>
      </c>
      <c r="I1421">
        <f>Raw_Data!I1421</f>
        <v/>
      </c>
      <c r="J1421" s="12">
        <f>Raw_Data!J1421</f>
        <v/>
      </c>
      <c r="K1421" s="13">
        <f>Raw_Data!K1421</f>
        <v/>
      </c>
      <c r="L1421" s="12">
        <f>Raw_Data!L1421</f>
        <v/>
      </c>
      <c r="M1421" s="12">
        <f>Raw_Data!M1421</f>
        <v/>
      </c>
      <c r="N1421" s="12">
        <f>Raw_Data!N1421</f>
        <v/>
      </c>
      <c r="O1421">
        <f>Raw_Data!O1421</f>
        <v/>
      </c>
      <c r="P1421">
        <f>Raw_Data!P1421</f>
        <v/>
      </c>
      <c r="Q1421">
        <f>YEAR(B1421)</f>
        <v/>
      </c>
      <c r="R1421">
        <f>TEXT(B1421,"mmm")</f>
        <v/>
      </c>
      <c r="S1421" s="15">
        <f>IFERROR(N1421/L1421,0)</f>
        <v/>
      </c>
    </row>
    <row r="1422">
      <c r="A1422">
        <f>Raw_Data!A1422</f>
        <v/>
      </c>
      <c r="B1422" s="11">
        <f>Raw_Data!B1422</f>
        <v/>
      </c>
      <c r="C1422">
        <f>Raw_Data!C1422</f>
        <v/>
      </c>
      <c r="D1422">
        <f>Raw_Data!D1422</f>
        <v/>
      </c>
      <c r="E1422">
        <f>Raw_Data!E1422</f>
        <v/>
      </c>
      <c r="F1422">
        <f>Raw_Data!F1422</f>
        <v/>
      </c>
      <c r="G1422">
        <f>Raw_Data!G1422</f>
        <v/>
      </c>
      <c r="H1422">
        <f>Raw_Data!H1422</f>
        <v/>
      </c>
      <c r="I1422">
        <f>Raw_Data!I1422</f>
        <v/>
      </c>
      <c r="J1422" s="12">
        <f>Raw_Data!J1422</f>
        <v/>
      </c>
      <c r="K1422" s="13">
        <f>Raw_Data!K1422</f>
        <v/>
      </c>
      <c r="L1422" s="12">
        <f>Raw_Data!L1422</f>
        <v/>
      </c>
      <c r="M1422" s="12">
        <f>Raw_Data!M1422</f>
        <v/>
      </c>
      <c r="N1422" s="12">
        <f>Raw_Data!N1422</f>
        <v/>
      </c>
      <c r="O1422">
        <f>Raw_Data!O1422</f>
        <v/>
      </c>
      <c r="P1422">
        <f>Raw_Data!P1422</f>
        <v/>
      </c>
      <c r="Q1422">
        <f>YEAR(B1422)</f>
        <v/>
      </c>
      <c r="R1422">
        <f>TEXT(B1422,"mmm")</f>
        <v/>
      </c>
      <c r="S1422" s="15">
        <f>IFERROR(N1422/L1422,0)</f>
        <v/>
      </c>
    </row>
    <row r="1423">
      <c r="A1423">
        <f>Raw_Data!A1423</f>
        <v/>
      </c>
      <c r="B1423" s="11">
        <f>Raw_Data!B1423</f>
        <v/>
      </c>
      <c r="C1423">
        <f>Raw_Data!C1423</f>
        <v/>
      </c>
      <c r="D1423">
        <f>Raw_Data!D1423</f>
        <v/>
      </c>
      <c r="E1423">
        <f>Raw_Data!E1423</f>
        <v/>
      </c>
      <c r="F1423">
        <f>Raw_Data!F1423</f>
        <v/>
      </c>
      <c r="G1423">
        <f>Raw_Data!G1423</f>
        <v/>
      </c>
      <c r="H1423">
        <f>Raw_Data!H1423</f>
        <v/>
      </c>
      <c r="I1423">
        <f>Raw_Data!I1423</f>
        <v/>
      </c>
      <c r="J1423" s="12">
        <f>Raw_Data!J1423</f>
        <v/>
      </c>
      <c r="K1423" s="13">
        <f>Raw_Data!K1423</f>
        <v/>
      </c>
      <c r="L1423" s="12">
        <f>Raw_Data!L1423</f>
        <v/>
      </c>
      <c r="M1423" s="12">
        <f>Raw_Data!M1423</f>
        <v/>
      </c>
      <c r="N1423" s="12">
        <f>Raw_Data!N1423</f>
        <v/>
      </c>
      <c r="O1423">
        <f>Raw_Data!O1423</f>
        <v/>
      </c>
      <c r="P1423">
        <f>Raw_Data!P1423</f>
        <v/>
      </c>
      <c r="Q1423">
        <f>YEAR(B1423)</f>
        <v/>
      </c>
      <c r="R1423">
        <f>TEXT(B1423,"mmm")</f>
        <v/>
      </c>
      <c r="S1423" s="15">
        <f>IFERROR(N1423/L1423,0)</f>
        <v/>
      </c>
    </row>
    <row r="1424">
      <c r="A1424">
        <f>Raw_Data!A1424</f>
        <v/>
      </c>
      <c r="B1424" s="11">
        <f>Raw_Data!B1424</f>
        <v/>
      </c>
      <c r="C1424">
        <f>Raw_Data!C1424</f>
        <v/>
      </c>
      <c r="D1424">
        <f>Raw_Data!D1424</f>
        <v/>
      </c>
      <c r="E1424">
        <f>Raw_Data!E1424</f>
        <v/>
      </c>
      <c r="F1424">
        <f>Raw_Data!F1424</f>
        <v/>
      </c>
      <c r="G1424">
        <f>Raw_Data!G1424</f>
        <v/>
      </c>
      <c r="H1424">
        <f>Raw_Data!H1424</f>
        <v/>
      </c>
      <c r="I1424">
        <f>Raw_Data!I1424</f>
        <v/>
      </c>
      <c r="J1424" s="12">
        <f>Raw_Data!J1424</f>
        <v/>
      </c>
      <c r="K1424" s="13">
        <f>Raw_Data!K1424</f>
        <v/>
      </c>
      <c r="L1424" s="12">
        <f>Raw_Data!L1424</f>
        <v/>
      </c>
      <c r="M1424" s="12">
        <f>Raw_Data!M1424</f>
        <v/>
      </c>
      <c r="N1424" s="12">
        <f>Raw_Data!N1424</f>
        <v/>
      </c>
      <c r="O1424">
        <f>Raw_Data!O1424</f>
        <v/>
      </c>
      <c r="P1424">
        <f>Raw_Data!P1424</f>
        <v/>
      </c>
      <c r="Q1424">
        <f>YEAR(B1424)</f>
        <v/>
      </c>
      <c r="R1424">
        <f>TEXT(B1424,"mmm")</f>
        <v/>
      </c>
      <c r="S1424" s="15">
        <f>IFERROR(N1424/L1424,0)</f>
        <v/>
      </c>
    </row>
    <row r="1425">
      <c r="A1425">
        <f>Raw_Data!A1425</f>
        <v/>
      </c>
      <c r="B1425" s="11">
        <f>Raw_Data!B1425</f>
        <v/>
      </c>
      <c r="C1425">
        <f>Raw_Data!C1425</f>
        <v/>
      </c>
      <c r="D1425">
        <f>Raw_Data!D1425</f>
        <v/>
      </c>
      <c r="E1425">
        <f>Raw_Data!E1425</f>
        <v/>
      </c>
      <c r="F1425">
        <f>Raw_Data!F1425</f>
        <v/>
      </c>
      <c r="G1425">
        <f>Raw_Data!G1425</f>
        <v/>
      </c>
      <c r="H1425">
        <f>Raw_Data!H1425</f>
        <v/>
      </c>
      <c r="I1425">
        <f>Raw_Data!I1425</f>
        <v/>
      </c>
      <c r="J1425" s="12">
        <f>Raw_Data!J1425</f>
        <v/>
      </c>
      <c r="K1425" s="13">
        <f>Raw_Data!K1425</f>
        <v/>
      </c>
      <c r="L1425" s="12">
        <f>Raw_Data!L1425</f>
        <v/>
      </c>
      <c r="M1425" s="12">
        <f>Raw_Data!M1425</f>
        <v/>
      </c>
      <c r="N1425" s="12">
        <f>Raw_Data!N1425</f>
        <v/>
      </c>
      <c r="O1425">
        <f>Raw_Data!O1425</f>
        <v/>
      </c>
      <c r="P1425">
        <f>Raw_Data!P1425</f>
        <v/>
      </c>
      <c r="Q1425">
        <f>YEAR(B1425)</f>
        <v/>
      </c>
      <c r="R1425">
        <f>TEXT(B1425,"mmm")</f>
        <v/>
      </c>
      <c r="S1425" s="15">
        <f>IFERROR(N1425/L1425,0)</f>
        <v/>
      </c>
    </row>
    <row r="1426">
      <c r="A1426">
        <f>Raw_Data!A1426</f>
        <v/>
      </c>
      <c r="B1426" s="11">
        <f>Raw_Data!B1426</f>
        <v/>
      </c>
      <c r="C1426">
        <f>Raw_Data!C1426</f>
        <v/>
      </c>
      <c r="D1426">
        <f>Raw_Data!D1426</f>
        <v/>
      </c>
      <c r="E1426">
        <f>Raw_Data!E1426</f>
        <v/>
      </c>
      <c r="F1426">
        <f>Raw_Data!F1426</f>
        <v/>
      </c>
      <c r="G1426">
        <f>Raw_Data!G1426</f>
        <v/>
      </c>
      <c r="H1426">
        <f>Raw_Data!H1426</f>
        <v/>
      </c>
      <c r="I1426">
        <f>Raw_Data!I1426</f>
        <v/>
      </c>
      <c r="J1426" s="12">
        <f>Raw_Data!J1426</f>
        <v/>
      </c>
      <c r="K1426" s="13">
        <f>Raw_Data!K1426</f>
        <v/>
      </c>
      <c r="L1426" s="12">
        <f>Raw_Data!L1426</f>
        <v/>
      </c>
      <c r="M1426" s="12">
        <f>Raw_Data!M1426</f>
        <v/>
      </c>
      <c r="N1426" s="12">
        <f>Raw_Data!N1426</f>
        <v/>
      </c>
      <c r="O1426">
        <f>Raw_Data!O1426</f>
        <v/>
      </c>
      <c r="P1426">
        <f>Raw_Data!P1426</f>
        <v/>
      </c>
      <c r="Q1426">
        <f>YEAR(B1426)</f>
        <v/>
      </c>
      <c r="R1426">
        <f>TEXT(B1426,"mmm")</f>
        <v/>
      </c>
      <c r="S1426" s="15">
        <f>IFERROR(N1426/L1426,0)</f>
        <v/>
      </c>
    </row>
    <row r="1427">
      <c r="A1427">
        <f>Raw_Data!A1427</f>
        <v/>
      </c>
      <c r="B1427" s="11">
        <f>Raw_Data!B1427</f>
        <v/>
      </c>
      <c r="C1427">
        <f>Raw_Data!C1427</f>
        <v/>
      </c>
      <c r="D1427">
        <f>Raw_Data!D1427</f>
        <v/>
      </c>
      <c r="E1427">
        <f>Raw_Data!E1427</f>
        <v/>
      </c>
      <c r="F1427">
        <f>Raw_Data!F1427</f>
        <v/>
      </c>
      <c r="G1427">
        <f>Raw_Data!G1427</f>
        <v/>
      </c>
      <c r="H1427">
        <f>Raw_Data!H1427</f>
        <v/>
      </c>
      <c r="I1427">
        <f>Raw_Data!I1427</f>
        <v/>
      </c>
      <c r="J1427" s="12">
        <f>Raw_Data!J1427</f>
        <v/>
      </c>
      <c r="K1427" s="13">
        <f>Raw_Data!K1427</f>
        <v/>
      </c>
      <c r="L1427" s="12">
        <f>Raw_Data!L1427</f>
        <v/>
      </c>
      <c r="M1427" s="12">
        <f>Raw_Data!M1427</f>
        <v/>
      </c>
      <c r="N1427" s="12">
        <f>Raw_Data!N1427</f>
        <v/>
      </c>
      <c r="O1427">
        <f>Raw_Data!O1427</f>
        <v/>
      </c>
      <c r="P1427">
        <f>Raw_Data!P1427</f>
        <v/>
      </c>
      <c r="Q1427">
        <f>YEAR(B1427)</f>
        <v/>
      </c>
      <c r="R1427">
        <f>TEXT(B1427,"mmm")</f>
        <v/>
      </c>
      <c r="S1427" s="15">
        <f>IFERROR(N1427/L1427,0)</f>
        <v/>
      </c>
    </row>
    <row r="1428">
      <c r="A1428">
        <f>Raw_Data!A1428</f>
        <v/>
      </c>
      <c r="B1428" s="11">
        <f>Raw_Data!B1428</f>
        <v/>
      </c>
      <c r="C1428">
        <f>Raw_Data!C1428</f>
        <v/>
      </c>
      <c r="D1428">
        <f>Raw_Data!D1428</f>
        <v/>
      </c>
      <c r="E1428">
        <f>Raw_Data!E1428</f>
        <v/>
      </c>
      <c r="F1428">
        <f>Raw_Data!F1428</f>
        <v/>
      </c>
      <c r="G1428">
        <f>Raw_Data!G1428</f>
        <v/>
      </c>
      <c r="H1428">
        <f>Raw_Data!H1428</f>
        <v/>
      </c>
      <c r="I1428">
        <f>Raw_Data!I1428</f>
        <v/>
      </c>
      <c r="J1428" s="12">
        <f>Raw_Data!J1428</f>
        <v/>
      </c>
      <c r="K1428" s="13">
        <f>Raw_Data!K1428</f>
        <v/>
      </c>
      <c r="L1428" s="12">
        <f>Raw_Data!L1428</f>
        <v/>
      </c>
      <c r="M1428" s="12">
        <f>Raw_Data!M1428</f>
        <v/>
      </c>
      <c r="N1428" s="12">
        <f>Raw_Data!N1428</f>
        <v/>
      </c>
      <c r="O1428">
        <f>Raw_Data!O1428</f>
        <v/>
      </c>
      <c r="P1428">
        <f>Raw_Data!P1428</f>
        <v/>
      </c>
      <c r="Q1428">
        <f>YEAR(B1428)</f>
        <v/>
      </c>
      <c r="R1428">
        <f>TEXT(B1428,"mmm")</f>
        <v/>
      </c>
      <c r="S1428" s="15">
        <f>IFERROR(N1428/L1428,0)</f>
        <v/>
      </c>
    </row>
    <row r="1429">
      <c r="A1429">
        <f>Raw_Data!A1429</f>
        <v/>
      </c>
      <c r="B1429" s="11">
        <f>Raw_Data!B1429</f>
        <v/>
      </c>
      <c r="C1429">
        <f>Raw_Data!C1429</f>
        <v/>
      </c>
      <c r="D1429">
        <f>Raw_Data!D1429</f>
        <v/>
      </c>
      <c r="E1429">
        <f>Raw_Data!E1429</f>
        <v/>
      </c>
      <c r="F1429">
        <f>Raw_Data!F1429</f>
        <v/>
      </c>
      <c r="G1429">
        <f>Raw_Data!G1429</f>
        <v/>
      </c>
      <c r="H1429">
        <f>Raw_Data!H1429</f>
        <v/>
      </c>
      <c r="I1429">
        <f>Raw_Data!I1429</f>
        <v/>
      </c>
      <c r="J1429" s="12">
        <f>Raw_Data!J1429</f>
        <v/>
      </c>
      <c r="K1429" s="13">
        <f>Raw_Data!K1429</f>
        <v/>
      </c>
      <c r="L1429" s="12">
        <f>Raw_Data!L1429</f>
        <v/>
      </c>
      <c r="M1429" s="12">
        <f>Raw_Data!M1429</f>
        <v/>
      </c>
      <c r="N1429" s="12">
        <f>Raw_Data!N1429</f>
        <v/>
      </c>
      <c r="O1429">
        <f>Raw_Data!O1429</f>
        <v/>
      </c>
      <c r="P1429">
        <f>Raw_Data!P1429</f>
        <v/>
      </c>
      <c r="Q1429">
        <f>YEAR(B1429)</f>
        <v/>
      </c>
      <c r="R1429">
        <f>TEXT(B1429,"mmm")</f>
        <v/>
      </c>
      <c r="S1429" s="15">
        <f>IFERROR(N1429/L1429,0)</f>
        <v/>
      </c>
    </row>
    <row r="1430">
      <c r="A1430">
        <f>Raw_Data!A1430</f>
        <v/>
      </c>
      <c r="B1430" s="11">
        <f>Raw_Data!B1430</f>
        <v/>
      </c>
      <c r="C1430">
        <f>Raw_Data!C1430</f>
        <v/>
      </c>
      <c r="D1430">
        <f>Raw_Data!D1430</f>
        <v/>
      </c>
      <c r="E1430">
        <f>Raw_Data!E1430</f>
        <v/>
      </c>
      <c r="F1430">
        <f>Raw_Data!F1430</f>
        <v/>
      </c>
      <c r="G1430">
        <f>Raw_Data!G1430</f>
        <v/>
      </c>
      <c r="H1430">
        <f>Raw_Data!H1430</f>
        <v/>
      </c>
      <c r="I1430">
        <f>Raw_Data!I1430</f>
        <v/>
      </c>
      <c r="J1430" s="12">
        <f>Raw_Data!J1430</f>
        <v/>
      </c>
      <c r="K1430" s="13">
        <f>Raw_Data!K1430</f>
        <v/>
      </c>
      <c r="L1430" s="12">
        <f>Raw_Data!L1430</f>
        <v/>
      </c>
      <c r="M1430" s="12">
        <f>Raw_Data!M1430</f>
        <v/>
      </c>
      <c r="N1430" s="12">
        <f>Raw_Data!N1430</f>
        <v/>
      </c>
      <c r="O1430">
        <f>Raw_Data!O1430</f>
        <v/>
      </c>
      <c r="P1430">
        <f>Raw_Data!P1430</f>
        <v/>
      </c>
      <c r="Q1430">
        <f>YEAR(B1430)</f>
        <v/>
      </c>
      <c r="R1430">
        <f>TEXT(B1430,"mmm")</f>
        <v/>
      </c>
      <c r="S1430" s="15">
        <f>IFERROR(N1430/L1430,0)</f>
        <v/>
      </c>
    </row>
    <row r="1431">
      <c r="A1431">
        <f>Raw_Data!A1431</f>
        <v/>
      </c>
      <c r="B1431" s="11">
        <f>Raw_Data!B1431</f>
        <v/>
      </c>
      <c r="C1431">
        <f>Raw_Data!C1431</f>
        <v/>
      </c>
      <c r="D1431">
        <f>Raw_Data!D1431</f>
        <v/>
      </c>
      <c r="E1431">
        <f>Raw_Data!E1431</f>
        <v/>
      </c>
      <c r="F1431">
        <f>Raw_Data!F1431</f>
        <v/>
      </c>
      <c r="G1431">
        <f>Raw_Data!G1431</f>
        <v/>
      </c>
      <c r="H1431">
        <f>Raw_Data!H1431</f>
        <v/>
      </c>
      <c r="I1431">
        <f>Raw_Data!I1431</f>
        <v/>
      </c>
      <c r="J1431" s="12">
        <f>Raw_Data!J1431</f>
        <v/>
      </c>
      <c r="K1431" s="13">
        <f>Raw_Data!K1431</f>
        <v/>
      </c>
      <c r="L1431" s="12">
        <f>Raw_Data!L1431</f>
        <v/>
      </c>
      <c r="M1431" s="12">
        <f>Raw_Data!M1431</f>
        <v/>
      </c>
      <c r="N1431" s="12">
        <f>Raw_Data!N1431</f>
        <v/>
      </c>
      <c r="O1431">
        <f>Raw_Data!O1431</f>
        <v/>
      </c>
      <c r="P1431">
        <f>Raw_Data!P1431</f>
        <v/>
      </c>
      <c r="Q1431">
        <f>YEAR(B1431)</f>
        <v/>
      </c>
      <c r="R1431">
        <f>TEXT(B1431,"mmm")</f>
        <v/>
      </c>
      <c r="S1431" s="15">
        <f>IFERROR(N1431/L1431,0)</f>
        <v/>
      </c>
    </row>
    <row r="1432">
      <c r="A1432">
        <f>Raw_Data!A1432</f>
        <v/>
      </c>
      <c r="B1432" s="11">
        <f>Raw_Data!B1432</f>
        <v/>
      </c>
      <c r="C1432">
        <f>Raw_Data!C1432</f>
        <v/>
      </c>
      <c r="D1432">
        <f>Raw_Data!D1432</f>
        <v/>
      </c>
      <c r="E1432">
        <f>Raw_Data!E1432</f>
        <v/>
      </c>
      <c r="F1432">
        <f>Raw_Data!F1432</f>
        <v/>
      </c>
      <c r="G1432">
        <f>Raw_Data!G1432</f>
        <v/>
      </c>
      <c r="H1432">
        <f>Raw_Data!H1432</f>
        <v/>
      </c>
      <c r="I1432">
        <f>Raw_Data!I1432</f>
        <v/>
      </c>
      <c r="J1432" s="12">
        <f>Raw_Data!J1432</f>
        <v/>
      </c>
      <c r="K1432" s="13">
        <f>Raw_Data!K1432</f>
        <v/>
      </c>
      <c r="L1432" s="12">
        <f>Raw_Data!L1432</f>
        <v/>
      </c>
      <c r="M1432" s="12">
        <f>Raw_Data!M1432</f>
        <v/>
      </c>
      <c r="N1432" s="12">
        <f>Raw_Data!N1432</f>
        <v/>
      </c>
      <c r="O1432">
        <f>Raw_Data!O1432</f>
        <v/>
      </c>
      <c r="P1432">
        <f>Raw_Data!P1432</f>
        <v/>
      </c>
      <c r="Q1432">
        <f>YEAR(B1432)</f>
        <v/>
      </c>
      <c r="R1432">
        <f>TEXT(B1432,"mmm")</f>
        <v/>
      </c>
      <c r="S1432" s="15">
        <f>IFERROR(N1432/L1432,0)</f>
        <v/>
      </c>
    </row>
    <row r="1433">
      <c r="A1433">
        <f>Raw_Data!A1433</f>
        <v/>
      </c>
      <c r="B1433" s="11">
        <f>Raw_Data!B1433</f>
        <v/>
      </c>
      <c r="C1433">
        <f>Raw_Data!C1433</f>
        <v/>
      </c>
      <c r="D1433">
        <f>Raw_Data!D1433</f>
        <v/>
      </c>
      <c r="E1433">
        <f>Raw_Data!E1433</f>
        <v/>
      </c>
      <c r="F1433">
        <f>Raw_Data!F1433</f>
        <v/>
      </c>
      <c r="G1433">
        <f>Raw_Data!G1433</f>
        <v/>
      </c>
      <c r="H1433">
        <f>Raw_Data!H1433</f>
        <v/>
      </c>
      <c r="I1433">
        <f>Raw_Data!I1433</f>
        <v/>
      </c>
      <c r="J1433" s="12">
        <f>Raw_Data!J1433</f>
        <v/>
      </c>
      <c r="K1433" s="13">
        <f>Raw_Data!K1433</f>
        <v/>
      </c>
      <c r="L1433" s="12">
        <f>Raw_Data!L1433</f>
        <v/>
      </c>
      <c r="M1433" s="12">
        <f>Raw_Data!M1433</f>
        <v/>
      </c>
      <c r="N1433" s="12">
        <f>Raw_Data!N1433</f>
        <v/>
      </c>
      <c r="O1433">
        <f>Raw_Data!O1433</f>
        <v/>
      </c>
      <c r="P1433">
        <f>Raw_Data!P1433</f>
        <v/>
      </c>
      <c r="Q1433">
        <f>YEAR(B1433)</f>
        <v/>
      </c>
      <c r="R1433">
        <f>TEXT(B1433,"mmm")</f>
        <v/>
      </c>
      <c r="S1433" s="15">
        <f>IFERROR(N1433/L1433,0)</f>
        <v/>
      </c>
    </row>
    <row r="1434">
      <c r="A1434">
        <f>Raw_Data!A1434</f>
        <v/>
      </c>
      <c r="B1434" s="11">
        <f>Raw_Data!B1434</f>
        <v/>
      </c>
      <c r="C1434">
        <f>Raw_Data!C1434</f>
        <v/>
      </c>
      <c r="D1434">
        <f>Raw_Data!D1434</f>
        <v/>
      </c>
      <c r="E1434">
        <f>Raw_Data!E1434</f>
        <v/>
      </c>
      <c r="F1434">
        <f>Raw_Data!F1434</f>
        <v/>
      </c>
      <c r="G1434">
        <f>Raw_Data!G1434</f>
        <v/>
      </c>
      <c r="H1434">
        <f>Raw_Data!H1434</f>
        <v/>
      </c>
      <c r="I1434">
        <f>Raw_Data!I1434</f>
        <v/>
      </c>
      <c r="J1434" s="12">
        <f>Raw_Data!J1434</f>
        <v/>
      </c>
      <c r="K1434" s="13">
        <f>Raw_Data!K1434</f>
        <v/>
      </c>
      <c r="L1434" s="12">
        <f>Raw_Data!L1434</f>
        <v/>
      </c>
      <c r="M1434" s="12">
        <f>Raw_Data!M1434</f>
        <v/>
      </c>
      <c r="N1434" s="12">
        <f>Raw_Data!N1434</f>
        <v/>
      </c>
      <c r="O1434">
        <f>Raw_Data!O1434</f>
        <v/>
      </c>
      <c r="P1434">
        <f>Raw_Data!P1434</f>
        <v/>
      </c>
      <c r="Q1434">
        <f>YEAR(B1434)</f>
        <v/>
      </c>
      <c r="R1434">
        <f>TEXT(B1434,"mmm")</f>
        <v/>
      </c>
      <c r="S1434" s="15">
        <f>IFERROR(N1434/L1434,0)</f>
        <v/>
      </c>
    </row>
    <row r="1435">
      <c r="A1435">
        <f>Raw_Data!A1435</f>
        <v/>
      </c>
      <c r="B1435" s="11">
        <f>Raw_Data!B1435</f>
        <v/>
      </c>
      <c r="C1435">
        <f>Raw_Data!C1435</f>
        <v/>
      </c>
      <c r="D1435">
        <f>Raw_Data!D1435</f>
        <v/>
      </c>
      <c r="E1435">
        <f>Raw_Data!E1435</f>
        <v/>
      </c>
      <c r="F1435">
        <f>Raw_Data!F1435</f>
        <v/>
      </c>
      <c r="G1435">
        <f>Raw_Data!G1435</f>
        <v/>
      </c>
      <c r="H1435">
        <f>Raw_Data!H1435</f>
        <v/>
      </c>
      <c r="I1435">
        <f>Raw_Data!I1435</f>
        <v/>
      </c>
      <c r="J1435" s="12">
        <f>Raw_Data!J1435</f>
        <v/>
      </c>
      <c r="K1435" s="13">
        <f>Raw_Data!K1435</f>
        <v/>
      </c>
      <c r="L1435" s="12">
        <f>Raw_Data!L1435</f>
        <v/>
      </c>
      <c r="M1435" s="12">
        <f>Raw_Data!M1435</f>
        <v/>
      </c>
      <c r="N1435" s="12">
        <f>Raw_Data!N1435</f>
        <v/>
      </c>
      <c r="O1435">
        <f>Raw_Data!O1435</f>
        <v/>
      </c>
      <c r="P1435">
        <f>Raw_Data!P1435</f>
        <v/>
      </c>
      <c r="Q1435">
        <f>YEAR(B1435)</f>
        <v/>
      </c>
      <c r="R1435">
        <f>TEXT(B1435,"mmm")</f>
        <v/>
      </c>
      <c r="S1435" s="15">
        <f>IFERROR(N1435/L1435,0)</f>
        <v/>
      </c>
    </row>
    <row r="1436">
      <c r="A1436">
        <f>Raw_Data!A1436</f>
        <v/>
      </c>
      <c r="B1436" s="11">
        <f>Raw_Data!B1436</f>
        <v/>
      </c>
      <c r="C1436">
        <f>Raw_Data!C1436</f>
        <v/>
      </c>
      <c r="D1436">
        <f>Raw_Data!D1436</f>
        <v/>
      </c>
      <c r="E1436">
        <f>Raw_Data!E1436</f>
        <v/>
      </c>
      <c r="F1436">
        <f>Raw_Data!F1436</f>
        <v/>
      </c>
      <c r="G1436">
        <f>Raw_Data!G1436</f>
        <v/>
      </c>
      <c r="H1436">
        <f>Raw_Data!H1436</f>
        <v/>
      </c>
      <c r="I1436">
        <f>Raw_Data!I1436</f>
        <v/>
      </c>
      <c r="J1436" s="12">
        <f>Raw_Data!J1436</f>
        <v/>
      </c>
      <c r="K1436" s="13">
        <f>Raw_Data!K1436</f>
        <v/>
      </c>
      <c r="L1436" s="12">
        <f>Raw_Data!L1436</f>
        <v/>
      </c>
      <c r="M1436" s="12">
        <f>Raw_Data!M1436</f>
        <v/>
      </c>
      <c r="N1436" s="12">
        <f>Raw_Data!N1436</f>
        <v/>
      </c>
      <c r="O1436">
        <f>Raw_Data!O1436</f>
        <v/>
      </c>
      <c r="P1436">
        <f>Raw_Data!P1436</f>
        <v/>
      </c>
      <c r="Q1436">
        <f>YEAR(B1436)</f>
        <v/>
      </c>
      <c r="R1436">
        <f>TEXT(B1436,"mmm")</f>
        <v/>
      </c>
      <c r="S1436" s="15">
        <f>IFERROR(N1436/L1436,0)</f>
        <v/>
      </c>
    </row>
    <row r="1437">
      <c r="A1437">
        <f>Raw_Data!A1437</f>
        <v/>
      </c>
      <c r="B1437" s="11">
        <f>Raw_Data!B1437</f>
        <v/>
      </c>
      <c r="C1437">
        <f>Raw_Data!C1437</f>
        <v/>
      </c>
      <c r="D1437">
        <f>Raw_Data!D1437</f>
        <v/>
      </c>
      <c r="E1437">
        <f>Raw_Data!E1437</f>
        <v/>
      </c>
      <c r="F1437">
        <f>Raw_Data!F1437</f>
        <v/>
      </c>
      <c r="G1437">
        <f>Raw_Data!G1437</f>
        <v/>
      </c>
      <c r="H1437">
        <f>Raw_Data!H1437</f>
        <v/>
      </c>
      <c r="I1437">
        <f>Raw_Data!I1437</f>
        <v/>
      </c>
      <c r="J1437" s="12">
        <f>Raw_Data!J1437</f>
        <v/>
      </c>
      <c r="K1437" s="13">
        <f>Raw_Data!K1437</f>
        <v/>
      </c>
      <c r="L1437" s="12">
        <f>Raw_Data!L1437</f>
        <v/>
      </c>
      <c r="M1437" s="12">
        <f>Raw_Data!M1437</f>
        <v/>
      </c>
      <c r="N1437" s="12">
        <f>Raw_Data!N1437</f>
        <v/>
      </c>
      <c r="O1437">
        <f>Raw_Data!O1437</f>
        <v/>
      </c>
      <c r="P1437">
        <f>Raw_Data!P1437</f>
        <v/>
      </c>
      <c r="Q1437">
        <f>YEAR(B1437)</f>
        <v/>
      </c>
      <c r="R1437">
        <f>TEXT(B1437,"mmm")</f>
        <v/>
      </c>
      <c r="S1437" s="15">
        <f>IFERROR(N1437/L1437,0)</f>
        <v/>
      </c>
    </row>
    <row r="1438">
      <c r="A1438">
        <f>Raw_Data!A1438</f>
        <v/>
      </c>
      <c r="B1438" s="11">
        <f>Raw_Data!B1438</f>
        <v/>
      </c>
      <c r="C1438">
        <f>Raw_Data!C1438</f>
        <v/>
      </c>
      <c r="D1438">
        <f>Raw_Data!D1438</f>
        <v/>
      </c>
      <c r="E1438">
        <f>Raw_Data!E1438</f>
        <v/>
      </c>
      <c r="F1438">
        <f>Raw_Data!F1438</f>
        <v/>
      </c>
      <c r="G1438">
        <f>Raw_Data!G1438</f>
        <v/>
      </c>
      <c r="H1438">
        <f>Raw_Data!H1438</f>
        <v/>
      </c>
      <c r="I1438">
        <f>Raw_Data!I1438</f>
        <v/>
      </c>
      <c r="J1438" s="12">
        <f>Raw_Data!J1438</f>
        <v/>
      </c>
      <c r="K1438" s="13">
        <f>Raw_Data!K1438</f>
        <v/>
      </c>
      <c r="L1438" s="12">
        <f>Raw_Data!L1438</f>
        <v/>
      </c>
      <c r="M1438" s="12">
        <f>Raw_Data!M1438</f>
        <v/>
      </c>
      <c r="N1438" s="12">
        <f>Raw_Data!N1438</f>
        <v/>
      </c>
      <c r="O1438">
        <f>Raw_Data!O1438</f>
        <v/>
      </c>
      <c r="P1438">
        <f>Raw_Data!P1438</f>
        <v/>
      </c>
      <c r="Q1438">
        <f>YEAR(B1438)</f>
        <v/>
      </c>
      <c r="R1438">
        <f>TEXT(B1438,"mmm")</f>
        <v/>
      </c>
      <c r="S1438" s="15">
        <f>IFERROR(N1438/L1438,0)</f>
        <v/>
      </c>
    </row>
    <row r="1439">
      <c r="A1439">
        <f>Raw_Data!A1439</f>
        <v/>
      </c>
      <c r="B1439" s="11">
        <f>Raw_Data!B1439</f>
        <v/>
      </c>
      <c r="C1439">
        <f>Raw_Data!C1439</f>
        <v/>
      </c>
      <c r="D1439">
        <f>Raw_Data!D1439</f>
        <v/>
      </c>
      <c r="E1439">
        <f>Raw_Data!E1439</f>
        <v/>
      </c>
      <c r="F1439">
        <f>Raw_Data!F1439</f>
        <v/>
      </c>
      <c r="G1439">
        <f>Raw_Data!G1439</f>
        <v/>
      </c>
      <c r="H1439">
        <f>Raw_Data!H1439</f>
        <v/>
      </c>
      <c r="I1439">
        <f>Raw_Data!I1439</f>
        <v/>
      </c>
      <c r="J1439" s="12">
        <f>Raw_Data!J1439</f>
        <v/>
      </c>
      <c r="K1439" s="13">
        <f>Raw_Data!K1439</f>
        <v/>
      </c>
      <c r="L1439" s="12">
        <f>Raw_Data!L1439</f>
        <v/>
      </c>
      <c r="M1439" s="12">
        <f>Raw_Data!M1439</f>
        <v/>
      </c>
      <c r="N1439" s="12">
        <f>Raw_Data!N1439</f>
        <v/>
      </c>
      <c r="O1439">
        <f>Raw_Data!O1439</f>
        <v/>
      </c>
      <c r="P1439">
        <f>Raw_Data!P1439</f>
        <v/>
      </c>
      <c r="Q1439">
        <f>YEAR(B1439)</f>
        <v/>
      </c>
      <c r="R1439">
        <f>TEXT(B1439,"mmm")</f>
        <v/>
      </c>
      <c r="S1439" s="15">
        <f>IFERROR(N1439/L1439,0)</f>
        <v/>
      </c>
    </row>
    <row r="1440">
      <c r="A1440">
        <f>Raw_Data!A1440</f>
        <v/>
      </c>
      <c r="B1440" s="11">
        <f>Raw_Data!B1440</f>
        <v/>
      </c>
      <c r="C1440">
        <f>Raw_Data!C1440</f>
        <v/>
      </c>
      <c r="D1440">
        <f>Raw_Data!D1440</f>
        <v/>
      </c>
      <c r="E1440">
        <f>Raw_Data!E1440</f>
        <v/>
      </c>
      <c r="F1440">
        <f>Raw_Data!F1440</f>
        <v/>
      </c>
      <c r="G1440">
        <f>Raw_Data!G1440</f>
        <v/>
      </c>
      <c r="H1440">
        <f>Raw_Data!H1440</f>
        <v/>
      </c>
      <c r="I1440">
        <f>Raw_Data!I1440</f>
        <v/>
      </c>
      <c r="J1440" s="12">
        <f>Raw_Data!J1440</f>
        <v/>
      </c>
      <c r="K1440" s="13">
        <f>Raw_Data!K1440</f>
        <v/>
      </c>
      <c r="L1440" s="12">
        <f>Raw_Data!L1440</f>
        <v/>
      </c>
      <c r="M1440" s="12">
        <f>Raw_Data!M1440</f>
        <v/>
      </c>
      <c r="N1440" s="12">
        <f>Raw_Data!N1440</f>
        <v/>
      </c>
      <c r="O1440">
        <f>Raw_Data!O1440</f>
        <v/>
      </c>
      <c r="P1440">
        <f>Raw_Data!P1440</f>
        <v/>
      </c>
      <c r="Q1440">
        <f>YEAR(B1440)</f>
        <v/>
      </c>
      <c r="R1440">
        <f>TEXT(B1440,"mmm")</f>
        <v/>
      </c>
      <c r="S1440" s="15">
        <f>IFERROR(N1440/L1440,0)</f>
        <v/>
      </c>
    </row>
    <row r="1441">
      <c r="A1441">
        <f>Raw_Data!A1441</f>
        <v/>
      </c>
      <c r="B1441" s="11">
        <f>Raw_Data!B1441</f>
        <v/>
      </c>
      <c r="C1441">
        <f>Raw_Data!C1441</f>
        <v/>
      </c>
      <c r="D1441">
        <f>Raw_Data!D1441</f>
        <v/>
      </c>
      <c r="E1441">
        <f>Raw_Data!E1441</f>
        <v/>
      </c>
      <c r="F1441">
        <f>Raw_Data!F1441</f>
        <v/>
      </c>
      <c r="G1441">
        <f>Raw_Data!G1441</f>
        <v/>
      </c>
      <c r="H1441">
        <f>Raw_Data!H1441</f>
        <v/>
      </c>
      <c r="I1441">
        <f>Raw_Data!I1441</f>
        <v/>
      </c>
      <c r="J1441" s="12">
        <f>Raw_Data!J1441</f>
        <v/>
      </c>
      <c r="K1441" s="13">
        <f>Raw_Data!K1441</f>
        <v/>
      </c>
      <c r="L1441" s="12">
        <f>Raw_Data!L1441</f>
        <v/>
      </c>
      <c r="M1441" s="12">
        <f>Raw_Data!M1441</f>
        <v/>
      </c>
      <c r="N1441" s="12">
        <f>Raw_Data!N1441</f>
        <v/>
      </c>
      <c r="O1441">
        <f>Raw_Data!O1441</f>
        <v/>
      </c>
      <c r="P1441">
        <f>Raw_Data!P1441</f>
        <v/>
      </c>
      <c r="Q1441">
        <f>YEAR(B1441)</f>
        <v/>
      </c>
      <c r="R1441">
        <f>TEXT(B1441,"mmm")</f>
        <v/>
      </c>
      <c r="S1441" s="15">
        <f>IFERROR(N1441/L1441,0)</f>
        <v/>
      </c>
    </row>
    <row r="1442">
      <c r="A1442">
        <f>Raw_Data!A1442</f>
        <v/>
      </c>
      <c r="B1442" s="11">
        <f>Raw_Data!B1442</f>
        <v/>
      </c>
      <c r="C1442">
        <f>Raw_Data!C1442</f>
        <v/>
      </c>
      <c r="D1442">
        <f>Raw_Data!D1442</f>
        <v/>
      </c>
      <c r="E1442">
        <f>Raw_Data!E1442</f>
        <v/>
      </c>
      <c r="F1442">
        <f>Raw_Data!F1442</f>
        <v/>
      </c>
      <c r="G1442">
        <f>Raw_Data!G1442</f>
        <v/>
      </c>
      <c r="H1442">
        <f>Raw_Data!H1442</f>
        <v/>
      </c>
      <c r="I1442">
        <f>Raw_Data!I1442</f>
        <v/>
      </c>
      <c r="J1442" s="12">
        <f>Raw_Data!J1442</f>
        <v/>
      </c>
      <c r="K1442" s="13">
        <f>Raw_Data!K1442</f>
        <v/>
      </c>
      <c r="L1442" s="12">
        <f>Raw_Data!L1442</f>
        <v/>
      </c>
      <c r="M1442" s="12">
        <f>Raw_Data!M1442</f>
        <v/>
      </c>
      <c r="N1442" s="12">
        <f>Raw_Data!N1442</f>
        <v/>
      </c>
      <c r="O1442">
        <f>Raw_Data!O1442</f>
        <v/>
      </c>
      <c r="P1442">
        <f>Raw_Data!P1442</f>
        <v/>
      </c>
      <c r="Q1442">
        <f>YEAR(B1442)</f>
        <v/>
      </c>
      <c r="R1442">
        <f>TEXT(B1442,"mmm")</f>
        <v/>
      </c>
      <c r="S1442" s="15">
        <f>IFERROR(N1442/L1442,0)</f>
        <v/>
      </c>
    </row>
    <row r="1443">
      <c r="A1443">
        <f>Raw_Data!A1443</f>
        <v/>
      </c>
      <c r="B1443" s="11">
        <f>Raw_Data!B1443</f>
        <v/>
      </c>
      <c r="C1443">
        <f>Raw_Data!C1443</f>
        <v/>
      </c>
      <c r="D1443">
        <f>Raw_Data!D1443</f>
        <v/>
      </c>
      <c r="E1443">
        <f>Raw_Data!E1443</f>
        <v/>
      </c>
      <c r="F1443">
        <f>Raw_Data!F1443</f>
        <v/>
      </c>
      <c r="G1443">
        <f>Raw_Data!G1443</f>
        <v/>
      </c>
      <c r="H1443">
        <f>Raw_Data!H1443</f>
        <v/>
      </c>
      <c r="I1443">
        <f>Raw_Data!I1443</f>
        <v/>
      </c>
      <c r="J1443" s="12">
        <f>Raw_Data!J1443</f>
        <v/>
      </c>
      <c r="K1443" s="13">
        <f>Raw_Data!K1443</f>
        <v/>
      </c>
      <c r="L1443" s="12">
        <f>Raw_Data!L1443</f>
        <v/>
      </c>
      <c r="M1443" s="12">
        <f>Raw_Data!M1443</f>
        <v/>
      </c>
      <c r="N1443" s="12">
        <f>Raw_Data!N1443</f>
        <v/>
      </c>
      <c r="O1443">
        <f>Raw_Data!O1443</f>
        <v/>
      </c>
      <c r="P1443">
        <f>Raw_Data!P1443</f>
        <v/>
      </c>
      <c r="Q1443">
        <f>YEAR(B1443)</f>
        <v/>
      </c>
      <c r="R1443">
        <f>TEXT(B1443,"mmm")</f>
        <v/>
      </c>
      <c r="S1443" s="15">
        <f>IFERROR(N1443/L1443,0)</f>
        <v/>
      </c>
    </row>
    <row r="1444">
      <c r="A1444">
        <f>Raw_Data!A1444</f>
        <v/>
      </c>
      <c r="B1444" s="11">
        <f>Raw_Data!B1444</f>
        <v/>
      </c>
      <c r="C1444">
        <f>Raw_Data!C1444</f>
        <v/>
      </c>
      <c r="D1444">
        <f>Raw_Data!D1444</f>
        <v/>
      </c>
      <c r="E1444">
        <f>Raw_Data!E1444</f>
        <v/>
      </c>
      <c r="F1444">
        <f>Raw_Data!F1444</f>
        <v/>
      </c>
      <c r="G1444">
        <f>Raw_Data!G1444</f>
        <v/>
      </c>
      <c r="H1444">
        <f>Raw_Data!H1444</f>
        <v/>
      </c>
      <c r="I1444">
        <f>Raw_Data!I1444</f>
        <v/>
      </c>
      <c r="J1444" s="12">
        <f>Raw_Data!J1444</f>
        <v/>
      </c>
      <c r="K1444" s="13">
        <f>Raw_Data!K1444</f>
        <v/>
      </c>
      <c r="L1444" s="12">
        <f>Raw_Data!L1444</f>
        <v/>
      </c>
      <c r="M1444" s="12">
        <f>Raw_Data!M1444</f>
        <v/>
      </c>
      <c r="N1444" s="12">
        <f>Raw_Data!N1444</f>
        <v/>
      </c>
      <c r="O1444">
        <f>Raw_Data!O1444</f>
        <v/>
      </c>
      <c r="P1444">
        <f>Raw_Data!P1444</f>
        <v/>
      </c>
      <c r="Q1444">
        <f>YEAR(B1444)</f>
        <v/>
      </c>
      <c r="R1444">
        <f>TEXT(B1444,"mmm")</f>
        <v/>
      </c>
      <c r="S1444" s="15">
        <f>IFERROR(N1444/L1444,0)</f>
        <v/>
      </c>
    </row>
    <row r="1445">
      <c r="A1445">
        <f>Raw_Data!A1445</f>
        <v/>
      </c>
      <c r="B1445" s="11">
        <f>Raw_Data!B1445</f>
        <v/>
      </c>
      <c r="C1445">
        <f>Raw_Data!C1445</f>
        <v/>
      </c>
      <c r="D1445">
        <f>Raw_Data!D1445</f>
        <v/>
      </c>
      <c r="E1445">
        <f>Raw_Data!E1445</f>
        <v/>
      </c>
      <c r="F1445">
        <f>Raw_Data!F1445</f>
        <v/>
      </c>
      <c r="G1445">
        <f>Raw_Data!G1445</f>
        <v/>
      </c>
      <c r="H1445">
        <f>Raw_Data!H1445</f>
        <v/>
      </c>
      <c r="I1445">
        <f>Raw_Data!I1445</f>
        <v/>
      </c>
      <c r="J1445" s="12">
        <f>Raw_Data!J1445</f>
        <v/>
      </c>
      <c r="K1445" s="13">
        <f>Raw_Data!K1445</f>
        <v/>
      </c>
      <c r="L1445" s="12">
        <f>Raw_Data!L1445</f>
        <v/>
      </c>
      <c r="M1445" s="12">
        <f>Raw_Data!M1445</f>
        <v/>
      </c>
      <c r="N1445" s="12">
        <f>Raw_Data!N1445</f>
        <v/>
      </c>
      <c r="O1445">
        <f>Raw_Data!O1445</f>
        <v/>
      </c>
      <c r="P1445">
        <f>Raw_Data!P1445</f>
        <v/>
      </c>
      <c r="Q1445">
        <f>YEAR(B1445)</f>
        <v/>
      </c>
      <c r="R1445">
        <f>TEXT(B1445,"mmm")</f>
        <v/>
      </c>
      <c r="S1445" s="15">
        <f>IFERROR(N1445/L1445,0)</f>
        <v/>
      </c>
    </row>
    <row r="1446">
      <c r="A1446">
        <f>Raw_Data!A1446</f>
        <v/>
      </c>
      <c r="B1446" s="11">
        <f>Raw_Data!B1446</f>
        <v/>
      </c>
      <c r="C1446">
        <f>Raw_Data!C1446</f>
        <v/>
      </c>
      <c r="D1446">
        <f>Raw_Data!D1446</f>
        <v/>
      </c>
      <c r="E1446">
        <f>Raw_Data!E1446</f>
        <v/>
      </c>
      <c r="F1446">
        <f>Raw_Data!F1446</f>
        <v/>
      </c>
      <c r="G1446">
        <f>Raw_Data!G1446</f>
        <v/>
      </c>
      <c r="H1446">
        <f>Raw_Data!H1446</f>
        <v/>
      </c>
      <c r="I1446">
        <f>Raw_Data!I1446</f>
        <v/>
      </c>
      <c r="J1446" s="12">
        <f>Raw_Data!J1446</f>
        <v/>
      </c>
      <c r="K1446" s="13">
        <f>Raw_Data!K1446</f>
        <v/>
      </c>
      <c r="L1446" s="12">
        <f>Raw_Data!L1446</f>
        <v/>
      </c>
      <c r="M1446" s="12">
        <f>Raw_Data!M1446</f>
        <v/>
      </c>
      <c r="N1446" s="12">
        <f>Raw_Data!N1446</f>
        <v/>
      </c>
      <c r="O1446">
        <f>Raw_Data!O1446</f>
        <v/>
      </c>
      <c r="P1446">
        <f>Raw_Data!P1446</f>
        <v/>
      </c>
      <c r="Q1446">
        <f>YEAR(B1446)</f>
        <v/>
      </c>
      <c r="R1446">
        <f>TEXT(B1446,"mmm")</f>
        <v/>
      </c>
      <c r="S1446" s="15">
        <f>IFERROR(N1446/L1446,0)</f>
        <v/>
      </c>
    </row>
    <row r="1447">
      <c r="A1447">
        <f>Raw_Data!A1447</f>
        <v/>
      </c>
      <c r="B1447" s="11">
        <f>Raw_Data!B1447</f>
        <v/>
      </c>
      <c r="C1447">
        <f>Raw_Data!C1447</f>
        <v/>
      </c>
      <c r="D1447">
        <f>Raw_Data!D1447</f>
        <v/>
      </c>
      <c r="E1447">
        <f>Raw_Data!E1447</f>
        <v/>
      </c>
      <c r="F1447">
        <f>Raw_Data!F1447</f>
        <v/>
      </c>
      <c r="G1447">
        <f>Raw_Data!G1447</f>
        <v/>
      </c>
      <c r="H1447">
        <f>Raw_Data!H1447</f>
        <v/>
      </c>
      <c r="I1447">
        <f>Raw_Data!I1447</f>
        <v/>
      </c>
      <c r="J1447" s="12">
        <f>Raw_Data!J1447</f>
        <v/>
      </c>
      <c r="K1447" s="13">
        <f>Raw_Data!K1447</f>
        <v/>
      </c>
      <c r="L1447" s="12">
        <f>Raw_Data!L1447</f>
        <v/>
      </c>
      <c r="M1447" s="12">
        <f>Raw_Data!M1447</f>
        <v/>
      </c>
      <c r="N1447" s="12">
        <f>Raw_Data!N1447</f>
        <v/>
      </c>
      <c r="O1447">
        <f>Raw_Data!O1447</f>
        <v/>
      </c>
      <c r="P1447">
        <f>Raw_Data!P1447</f>
        <v/>
      </c>
      <c r="Q1447">
        <f>YEAR(B1447)</f>
        <v/>
      </c>
      <c r="R1447">
        <f>TEXT(B1447,"mmm")</f>
        <v/>
      </c>
      <c r="S1447" s="15">
        <f>IFERROR(N1447/L1447,0)</f>
        <v/>
      </c>
    </row>
    <row r="1448">
      <c r="A1448">
        <f>Raw_Data!A1448</f>
        <v/>
      </c>
      <c r="B1448" s="11">
        <f>Raw_Data!B1448</f>
        <v/>
      </c>
      <c r="C1448">
        <f>Raw_Data!C1448</f>
        <v/>
      </c>
      <c r="D1448">
        <f>Raw_Data!D1448</f>
        <v/>
      </c>
      <c r="E1448">
        <f>Raw_Data!E1448</f>
        <v/>
      </c>
      <c r="F1448">
        <f>Raw_Data!F1448</f>
        <v/>
      </c>
      <c r="G1448">
        <f>Raw_Data!G1448</f>
        <v/>
      </c>
      <c r="H1448">
        <f>Raw_Data!H1448</f>
        <v/>
      </c>
      <c r="I1448">
        <f>Raw_Data!I1448</f>
        <v/>
      </c>
      <c r="J1448" s="12">
        <f>Raw_Data!J1448</f>
        <v/>
      </c>
      <c r="K1448" s="13">
        <f>Raw_Data!K1448</f>
        <v/>
      </c>
      <c r="L1448" s="12">
        <f>Raw_Data!L1448</f>
        <v/>
      </c>
      <c r="M1448" s="12">
        <f>Raw_Data!M1448</f>
        <v/>
      </c>
      <c r="N1448" s="12">
        <f>Raw_Data!N1448</f>
        <v/>
      </c>
      <c r="O1448">
        <f>Raw_Data!O1448</f>
        <v/>
      </c>
      <c r="P1448">
        <f>Raw_Data!P1448</f>
        <v/>
      </c>
      <c r="Q1448">
        <f>YEAR(B1448)</f>
        <v/>
      </c>
      <c r="R1448">
        <f>TEXT(B1448,"mmm")</f>
        <v/>
      </c>
      <c r="S1448" s="15">
        <f>IFERROR(N1448/L1448,0)</f>
        <v/>
      </c>
    </row>
    <row r="1449">
      <c r="A1449">
        <f>Raw_Data!A1449</f>
        <v/>
      </c>
      <c r="B1449" s="11">
        <f>Raw_Data!B1449</f>
        <v/>
      </c>
      <c r="C1449">
        <f>Raw_Data!C1449</f>
        <v/>
      </c>
      <c r="D1449">
        <f>Raw_Data!D1449</f>
        <v/>
      </c>
      <c r="E1449">
        <f>Raw_Data!E1449</f>
        <v/>
      </c>
      <c r="F1449">
        <f>Raw_Data!F1449</f>
        <v/>
      </c>
      <c r="G1449">
        <f>Raw_Data!G1449</f>
        <v/>
      </c>
      <c r="H1449">
        <f>Raw_Data!H1449</f>
        <v/>
      </c>
      <c r="I1449">
        <f>Raw_Data!I1449</f>
        <v/>
      </c>
      <c r="J1449" s="12">
        <f>Raw_Data!J1449</f>
        <v/>
      </c>
      <c r="K1449" s="13">
        <f>Raw_Data!K1449</f>
        <v/>
      </c>
      <c r="L1449" s="12">
        <f>Raw_Data!L1449</f>
        <v/>
      </c>
      <c r="M1449" s="12">
        <f>Raw_Data!M1449</f>
        <v/>
      </c>
      <c r="N1449" s="12">
        <f>Raw_Data!N1449</f>
        <v/>
      </c>
      <c r="O1449">
        <f>Raw_Data!O1449</f>
        <v/>
      </c>
      <c r="P1449">
        <f>Raw_Data!P1449</f>
        <v/>
      </c>
      <c r="Q1449">
        <f>YEAR(B1449)</f>
        <v/>
      </c>
      <c r="R1449">
        <f>TEXT(B1449,"mmm")</f>
        <v/>
      </c>
      <c r="S1449" s="15">
        <f>IFERROR(N1449/L1449,0)</f>
        <v/>
      </c>
    </row>
    <row r="1450">
      <c r="A1450">
        <f>Raw_Data!A1450</f>
        <v/>
      </c>
      <c r="B1450" s="11">
        <f>Raw_Data!B1450</f>
        <v/>
      </c>
      <c r="C1450">
        <f>Raw_Data!C1450</f>
        <v/>
      </c>
      <c r="D1450">
        <f>Raw_Data!D1450</f>
        <v/>
      </c>
      <c r="E1450">
        <f>Raw_Data!E1450</f>
        <v/>
      </c>
      <c r="F1450">
        <f>Raw_Data!F1450</f>
        <v/>
      </c>
      <c r="G1450">
        <f>Raw_Data!G1450</f>
        <v/>
      </c>
      <c r="H1450">
        <f>Raw_Data!H1450</f>
        <v/>
      </c>
      <c r="I1450">
        <f>Raw_Data!I1450</f>
        <v/>
      </c>
      <c r="J1450" s="12">
        <f>Raw_Data!J1450</f>
        <v/>
      </c>
      <c r="K1450" s="13">
        <f>Raw_Data!K1450</f>
        <v/>
      </c>
      <c r="L1450" s="12">
        <f>Raw_Data!L1450</f>
        <v/>
      </c>
      <c r="M1450" s="12">
        <f>Raw_Data!M1450</f>
        <v/>
      </c>
      <c r="N1450" s="12">
        <f>Raw_Data!N1450</f>
        <v/>
      </c>
      <c r="O1450">
        <f>Raw_Data!O1450</f>
        <v/>
      </c>
      <c r="P1450">
        <f>Raw_Data!P1450</f>
        <v/>
      </c>
      <c r="Q1450">
        <f>YEAR(B1450)</f>
        <v/>
      </c>
      <c r="R1450">
        <f>TEXT(B1450,"mmm")</f>
        <v/>
      </c>
      <c r="S1450" s="15">
        <f>IFERROR(N1450/L1450,0)</f>
        <v/>
      </c>
    </row>
    <row r="1451">
      <c r="A1451">
        <f>Raw_Data!A1451</f>
        <v/>
      </c>
      <c r="B1451" s="11">
        <f>Raw_Data!B1451</f>
        <v/>
      </c>
      <c r="C1451">
        <f>Raw_Data!C1451</f>
        <v/>
      </c>
      <c r="D1451">
        <f>Raw_Data!D1451</f>
        <v/>
      </c>
      <c r="E1451">
        <f>Raw_Data!E1451</f>
        <v/>
      </c>
      <c r="F1451">
        <f>Raw_Data!F1451</f>
        <v/>
      </c>
      <c r="G1451">
        <f>Raw_Data!G1451</f>
        <v/>
      </c>
      <c r="H1451">
        <f>Raw_Data!H1451</f>
        <v/>
      </c>
      <c r="I1451">
        <f>Raw_Data!I1451</f>
        <v/>
      </c>
      <c r="J1451" s="12">
        <f>Raw_Data!J1451</f>
        <v/>
      </c>
      <c r="K1451" s="13">
        <f>Raw_Data!K1451</f>
        <v/>
      </c>
      <c r="L1451" s="12">
        <f>Raw_Data!L1451</f>
        <v/>
      </c>
      <c r="M1451" s="12">
        <f>Raw_Data!M1451</f>
        <v/>
      </c>
      <c r="N1451" s="12">
        <f>Raw_Data!N1451</f>
        <v/>
      </c>
      <c r="O1451">
        <f>Raw_Data!O1451</f>
        <v/>
      </c>
      <c r="P1451">
        <f>Raw_Data!P1451</f>
        <v/>
      </c>
      <c r="Q1451">
        <f>YEAR(B1451)</f>
        <v/>
      </c>
      <c r="R1451">
        <f>TEXT(B1451,"mmm")</f>
        <v/>
      </c>
      <c r="S1451" s="15">
        <f>IFERROR(N1451/L1451,0)</f>
        <v/>
      </c>
    </row>
    <row r="1452">
      <c r="A1452">
        <f>Raw_Data!A1452</f>
        <v/>
      </c>
      <c r="B1452" s="11">
        <f>Raw_Data!B1452</f>
        <v/>
      </c>
      <c r="C1452">
        <f>Raw_Data!C1452</f>
        <v/>
      </c>
      <c r="D1452">
        <f>Raw_Data!D1452</f>
        <v/>
      </c>
      <c r="E1452">
        <f>Raw_Data!E1452</f>
        <v/>
      </c>
      <c r="F1452">
        <f>Raw_Data!F1452</f>
        <v/>
      </c>
      <c r="G1452">
        <f>Raw_Data!G1452</f>
        <v/>
      </c>
      <c r="H1452">
        <f>Raw_Data!H1452</f>
        <v/>
      </c>
      <c r="I1452">
        <f>Raw_Data!I1452</f>
        <v/>
      </c>
      <c r="J1452" s="12">
        <f>Raw_Data!J1452</f>
        <v/>
      </c>
      <c r="K1452" s="13">
        <f>Raw_Data!K1452</f>
        <v/>
      </c>
      <c r="L1452" s="12">
        <f>Raw_Data!L1452</f>
        <v/>
      </c>
      <c r="M1452" s="12">
        <f>Raw_Data!M1452</f>
        <v/>
      </c>
      <c r="N1452" s="12">
        <f>Raw_Data!N1452</f>
        <v/>
      </c>
      <c r="O1452">
        <f>Raw_Data!O1452</f>
        <v/>
      </c>
      <c r="P1452">
        <f>Raw_Data!P1452</f>
        <v/>
      </c>
      <c r="Q1452">
        <f>YEAR(B1452)</f>
        <v/>
      </c>
      <c r="R1452">
        <f>TEXT(B1452,"mmm")</f>
        <v/>
      </c>
      <c r="S1452" s="15">
        <f>IFERROR(N1452/L1452,0)</f>
        <v/>
      </c>
    </row>
    <row r="1453">
      <c r="A1453">
        <f>Raw_Data!A1453</f>
        <v/>
      </c>
      <c r="B1453" s="11">
        <f>Raw_Data!B1453</f>
        <v/>
      </c>
      <c r="C1453">
        <f>Raw_Data!C1453</f>
        <v/>
      </c>
      <c r="D1453">
        <f>Raw_Data!D1453</f>
        <v/>
      </c>
      <c r="E1453">
        <f>Raw_Data!E1453</f>
        <v/>
      </c>
      <c r="F1453">
        <f>Raw_Data!F1453</f>
        <v/>
      </c>
      <c r="G1453">
        <f>Raw_Data!G1453</f>
        <v/>
      </c>
      <c r="H1453">
        <f>Raw_Data!H1453</f>
        <v/>
      </c>
      <c r="I1453">
        <f>Raw_Data!I1453</f>
        <v/>
      </c>
      <c r="J1453" s="12">
        <f>Raw_Data!J1453</f>
        <v/>
      </c>
      <c r="K1453" s="13">
        <f>Raw_Data!K1453</f>
        <v/>
      </c>
      <c r="L1453" s="12">
        <f>Raw_Data!L1453</f>
        <v/>
      </c>
      <c r="M1453" s="12">
        <f>Raw_Data!M1453</f>
        <v/>
      </c>
      <c r="N1453" s="12">
        <f>Raw_Data!N1453</f>
        <v/>
      </c>
      <c r="O1453">
        <f>Raw_Data!O1453</f>
        <v/>
      </c>
      <c r="P1453">
        <f>Raw_Data!P1453</f>
        <v/>
      </c>
      <c r="Q1453">
        <f>YEAR(B1453)</f>
        <v/>
      </c>
      <c r="R1453">
        <f>TEXT(B1453,"mmm")</f>
        <v/>
      </c>
      <c r="S1453" s="15">
        <f>IFERROR(N1453/L1453,0)</f>
        <v/>
      </c>
    </row>
    <row r="1454">
      <c r="A1454">
        <f>Raw_Data!A1454</f>
        <v/>
      </c>
      <c r="B1454" s="11">
        <f>Raw_Data!B1454</f>
        <v/>
      </c>
      <c r="C1454">
        <f>Raw_Data!C1454</f>
        <v/>
      </c>
      <c r="D1454">
        <f>Raw_Data!D1454</f>
        <v/>
      </c>
      <c r="E1454">
        <f>Raw_Data!E1454</f>
        <v/>
      </c>
      <c r="F1454">
        <f>Raw_Data!F1454</f>
        <v/>
      </c>
      <c r="G1454">
        <f>Raw_Data!G1454</f>
        <v/>
      </c>
      <c r="H1454">
        <f>Raw_Data!H1454</f>
        <v/>
      </c>
      <c r="I1454">
        <f>Raw_Data!I1454</f>
        <v/>
      </c>
      <c r="J1454" s="12">
        <f>Raw_Data!J1454</f>
        <v/>
      </c>
      <c r="K1454" s="13">
        <f>Raw_Data!K1454</f>
        <v/>
      </c>
      <c r="L1454" s="12">
        <f>Raw_Data!L1454</f>
        <v/>
      </c>
      <c r="M1454" s="12">
        <f>Raw_Data!M1454</f>
        <v/>
      </c>
      <c r="N1454" s="12">
        <f>Raw_Data!N1454</f>
        <v/>
      </c>
      <c r="O1454">
        <f>Raw_Data!O1454</f>
        <v/>
      </c>
      <c r="P1454">
        <f>Raw_Data!P1454</f>
        <v/>
      </c>
      <c r="Q1454">
        <f>YEAR(B1454)</f>
        <v/>
      </c>
      <c r="R1454">
        <f>TEXT(B1454,"mmm")</f>
        <v/>
      </c>
      <c r="S1454" s="15">
        <f>IFERROR(N1454/L1454,0)</f>
        <v/>
      </c>
    </row>
    <row r="1455">
      <c r="A1455">
        <f>Raw_Data!A1455</f>
        <v/>
      </c>
      <c r="B1455" s="11">
        <f>Raw_Data!B1455</f>
        <v/>
      </c>
      <c r="C1455">
        <f>Raw_Data!C1455</f>
        <v/>
      </c>
      <c r="D1455">
        <f>Raw_Data!D1455</f>
        <v/>
      </c>
      <c r="E1455">
        <f>Raw_Data!E1455</f>
        <v/>
      </c>
      <c r="F1455">
        <f>Raw_Data!F1455</f>
        <v/>
      </c>
      <c r="G1455">
        <f>Raw_Data!G1455</f>
        <v/>
      </c>
      <c r="H1455">
        <f>Raw_Data!H1455</f>
        <v/>
      </c>
      <c r="I1455">
        <f>Raw_Data!I1455</f>
        <v/>
      </c>
      <c r="J1455" s="12">
        <f>Raw_Data!J1455</f>
        <v/>
      </c>
      <c r="K1455" s="13">
        <f>Raw_Data!K1455</f>
        <v/>
      </c>
      <c r="L1455" s="12">
        <f>Raw_Data!L1455</f>
        <v/>
      </c>
      <c r="M1455" s="12">
        <f>Raw_Data!M1455</f>
        <v/>
      </c>
      <c r="N1455" s="12">
        <f>Raw_Data!N1455</f>
        <v/>
      </c>
      <c r="O1455">
        <f>Raw_Data!O1455</f>
        <v/>
      </c>
      <c r="P1455">
        <f>Raw_Data!P1455</f>
        <v/>
      </c>
      <c r="Q1455">
        <f>YEAR(B1455)</f>
        <v/>
      </c>
      <c r="R1455">
        <f>TEXT(B1455,"mmm")</f>
        <v/>
      </c>
      <c r="S1455" s="15">
        <f>IFERROR(N1455/L1455,0)</f>
        <v/>
      </c>
    </row>
    <row r="1456">
      <c r="A1456">
        <f>Raw_Data!A1456</f>
        <v/>
      </c>
      <c r="B1456" s="11">
        <f>Raw_Data!B1456</f>
        <v/>
      </c>
      <c r="C1456">
        <f>Raw_Data!C1456</f>
        <v/>
      </c>
      <c r="D1456">
        <f>Raw_Data!D1456</f>
        <v/>
      </c>
      <c r="E1456">
        <f>Raw_Data!E1456</f>
        <v/>
      </c>
      <c r="F1456">
        <f>Raw_Data!F1456</f>
        <v/>
      </c>
      <c r="G1456">
        <f>Raw_Data!G1456</f>
        <v/>
      </c>
      <c r="H1456">
        <f>Raw_Data!H1456</f>
        <v/>
      </c>
      <c r="I1456">
        <f>Raw_Data!I1456</f>
        <v/>
      </c>
      <c r="J1456" s="12">
        <f>Raw_Data!J1456</f>
        <v/>
      </c>
      <c r="K1456" s="13">
        <f>Raw_Data!K1456</f>
        <v/>
      </c>
      <c r="L1456" s="12">
        <f>Raw_Data!L1456</f>
        <v/>
      </c>
      <c r="M1456" s="12">
        <f>Raw_Data!M1456</f>
        <v/>
      </c>
      <c r="N1456" s="12">
        <f>Raw_Data!N1456</f>
        <v/>
      </c>
      <c r="O1456">
        <f>Raw_Data!O1456</f>
        <v/>
      </c>
      <c r="P1456">
        <f>Raw_Data!P1456</f>
        <v/>
      </c>
      <c r="Q1456">
        <f>YEAR(B1456)</f>
        <v/>
      </c>
      <c r="R1456">
        <f>TEXT(B1456,"mmm")</f>
        <v/>
      </c>
      <c r="S1456" s="15">
        <f>IFERROR(N1456/L1456,0)</f>
        <v/>
      </c>
    </row>
    <row r="1457">
      <c r="A1457">
        <f>Raw_Data!A1457</f>
        <v/>
      </c>
      <c r="B1457" s="11">
        <f>Raw_Data!B1457</f>
        <v/>
      </c>
      <c r="C1457">
        <f>Raw_Data!C1457</f>
        <v/>
      </c>
      <c r="D1457">
        <f>Raw_Data!D1457</f>
        <v/>
      </c>
      <c r="E1457">
        <f>Raw_Data!E1457</f>
        <v/>
      </c>
      <c r="F1457">
        <f>Raw_Data!F1457</f>
        <v/>
      </c>
      <c r="G1457">
        <f>Raw_Data!G1457</f>
        <v/>
      </c>
      <c r="H1457">
        <f>Raw_Data!H1457</f>
        <v/>
      </c>
      <c r="I1457">
        <f>Raw_Data!I1457</f>
        <v/>
      </c>
      <c r="J1457" s="12">
        <f>Raw_Data!J1457</f>
        <v/>
      </c>
      <c r="K1457" s="13">
        <f>Raw_Data!K1457</f>
        <v/>
      </c>
      <c r="L1457" s="12">
        <f>Raw_Data!L1457</f>
        <v/>
      </c>
      <c r="M1457" s="12">
        <f>Raw_Data!M1457</f>
        <v/>
      </c>
      <c r="N1457" s="12">
        <f>Raw_Data!N1457</f>
        <v/>
      </c>
      <c r="O1457">
        <f>Raw_Data!O1457</f>
        <v/>
      </c>
      <c r="P1457">
        <f>Raw_Data!P1457</f>
        <v/>
      </c>
      <c r="Q1457">
        <f>YEAR(B1457)</f>
        <v/>
      </c>
      <c r="R1457">
        <f>TEXT(B1457,"mmm")</f>
        <v/>
      </c>
      <c r="S1457" s="15">
        <f>IFERROR(N1457/L1457,0)</f>
        <v/>
      </c>
    </row>
    <row r="1458">
      <c r="A1458">
        <f>Raw_Data!A1458</f>
        <v/>
      </c>
      <c r="B1458" s="11">
        <f>Raw_Data!B1458</f>
        <v/>
      </c>
      <c r="C1458">
        <f>Raw_Data!C1458</f>
        <v/>
      </c>
      <c r="D1458">
        <f>Raw_Data!D1458</f>
        <v/>
      </c>
      <c r="E1458">
        <f>Raw_Data!E1458</f>
        <v/>
      </c>
      <c r="F1458">
        <f>Raw_Data!F1458</f>
        <v/>
      </c>
      <c r="G1458">
        <f>Raw_Data!G1458</f>
        <v/>
      </c>
      <c r="H1458">
        <f>Raw_Data!H1458</f>
        <v/>
      </c>
      <c r="I1458">
        <f>Raw_Data!I1458</f>
        <v/>
      </c>
      <c r="J1458" s="12">
        <f>Raw_Data!J1458</f>
        <v/>
      </c>
      <c r="K1458" s="13">
        <f>Raw_Data!K1458</f>
        <v/>
      </c>
      <c r="L1458" s="12">
        <f>Raw_Data!L1458</f>
        <v/>
      </c>
      <c r="M1458" s="12">
        <f>Raw_Data!M1458</f>
        <v/>
      </c>
      <c r="N1458" s="12">
        <f>Raw_Data!N1458</f>
        <v/>
      </c>
      <c r="O1458">
        <f>Raw_Data!O1458</f>
        <v/>
      </c>
      <c r="P1458">
        <f>Raw_Data!P1458</f>
        <v/>
      </c>
      <c r="Q1458">
        <f>YEAR(B1458)</f>
        <v/>
      </c>
      <c r="R1458">
        <f>TEXT(B1458,"mmm")</f>
        <v/>
      </c>
      <c r="S1458" s="15">
        <f>IFERROR(N1458/L1458,0)</f>
        <v/>
      </c>
    </row>
    <row r="1459">
      <c r="A1459">
        <f>Raw_Data!A1459</f>
        <v/>
      </c>
      <c r="B1459" s="11">
        <f>Raw_Data!B1459</f>
        <v/>
      </c>
      <c r="C1459">
        <f>Raw_Data!C1459</f>
        <v/>
      </c>
      <c r="D1459">
        <f>Raw_Data!D1459</f>
        <v/>
      </c>
      <c r="E1459">
        <f>Raw_Data!E1459</f>
        <v/>
      </c>
      <c r="F1459">
        <f>Raw_Data!F1459</f>
        <v/>
      </c>
      <c r="G1459">
        <f>Raw_Data!G1459</f>
        <v/>
      </c>
      <c r="H1459">
        <f>Raw_Data!H1459</f>
        <v/>
      </c>
      <c r="I1459">
        <f>Raw_Data!I1459</f>
        <v/>
      </c>
      <c r="J1459" s="12">
        <f>Raw_Data!J1459</f>
        <v/>
      </c>
      <c r="K1459" s="13">
        <f>Raw_Data!K1459</f>
        <v/>
      </c>
      <c r="L1459" s="12">
        <f>Raw_Data!L1459</f>
        <v/>
      </c>
      <c r="M1459" s="12">
        <f>Raw_Data!M1459</f>
        <v/>
      </c>
      <c r="N1459" s="12">
        <f>Raw_Data!N1459</f>
        <v/>
      </c>
      <c r="O1459">
        <f>Raw_Data!O1459</f>
        <v/>
      </c>
      <c r="P1459">
        <f>Raw_Data!P1459</f>
        <v/>
      </c>
      <c r="Q1459">
        <f>YEAR(B1459)</f>
        <v/>
      </c>
      <c r="R1459">
        <f>TEXT(B1459,"mmm")</f>
        <v/>
      </c>
      <c r="S1459" s="15">
        <f>IFERROR(N1459/L1459,0)</f>
        <v/>
      </c>
    </row>
    <row r="1460">
      <c r="A1460">
        <f>Raw_Data!A1460</f>
        <v/>
      </c>
      <c r="B1460" s="11">
        <f>Raw_Data!B1460</f>
        <v/>
      </c>
      <c r="C1460">
        <f>Raw_Data!C1460</f>
        <v/>
      </c>
      <c r="D1460">
        <f>Raw_Data!D1460</f>
        <v/>
      </c>
      <c r="E1460">
        <f>Raw_Data!E1460</f>
        <v/>
      </c>
      <c r="F1460">
        <f>Raw_Data!F1460</f>
        <v/>
      </c>
      <c r="G1460">
        <f>Raw_Data!G1460</f>
        <v/>
      </c>
      <c r="H1460">
        <f>Raw_Data!H1460</f>
        <v/>
      </c>
      <c r="I1460">
        <f>Raw_Data!I1460</f>
        <v/>
      </c>
      <c r="J1460" s="12">
        <f>Raw_Data!J1460</f>
        <v/>
      </c>
      <c r="K1460" s="13">
        <f>Raw_Data!K1460</f>
        <v/>
      </c>
      <c r="L1460" s="12">
        <f>Raw_Data!L1460</f>
        <v/>
      </c>
      <c r="M1460" s="12">
        <f>Raw_Data!M1460</f>
        <v/>
      </c>
      <c r="N1460" s="12">
        <f>Raw_Data!N1460</f>
        <v/>
      </c>
      <c r="O1460">
        <f>Raw_Data!O1460</f>
        <v/>
      </c>
      <c r="P1460">
        <f>Raw_Data!P1460</f>
        <v/>
      </c>
      <c r="Q1460">
        <f>YEAR(B1460)</f>
        <v/>
      </c>
      <c r="R1460">
        <f>TEXT(B1460,"mmm")</f>
        <v/>
      </c>
      <c r="S1460" s="15">
        <f>IFERROR(N1460/L1460,0)</f>
        <v/>
      </c>
    </row>
    <row r="1461">
      <c r="A1461">
        <f>Raw_Data!A1461</f>
        <v/>
      </c>
      <c r="B1461" s="11">
        <f>Raw_Data!B1461</f>
        <v/>
      </c>
      <c r="C1461">
        <f>Raw_Data!C1461</f>
        <v/>
      </c>
      <c r="D1461">
        <f>Raw_Data!D1461</f>
        <v/>
      </c>
      <c r="E1461">
        <f>Raw_Data!E1461</f>
        <v/>
      </c>
      <c r="F1461">
        <f>Raw_Data!F1461</f>
        <v/>
      </c>
      <c r="G1461">
        <f>Raw_Data!G1461</f>
        <v/>
      </c>
      <c r="H1461">
        <f>Raw_Data!H1461</f>
        <v/>
      </c>
      <c r="I1461">
        <f>Raw_Data!I1461</f>
        <v/>
      </c>
      <c r="J1461" s="12">
        <f>Raw_Data!J1461</f>
        <v/>
      </c>
      <c r="K1461" s="13">
        <f>Raw_Data!K1461</f>
        <v/>
      </c>
      <c r="L1461" s="12">
        <f>Raw_Data!L1461</f>
        <v/>
      </c>
      <c r="M1461" s="12">
        <f>Raw_Data!M1461</f>
        <v/>
      </c>
      <c r="N1461" s="12">
        <f>Raw_Data!N1461</f>
        <v/>
      </c>
      <c r="O1461">
        <f>Raw_Data!O1461</f>
        <v/>
      </c>
      <c r="P1461">
        <f>Raw_Data!P1461</f>
        <v/>
      </c>
      <c r="Q1461">
        <f>YEAR(B1461)</f>
        <v/>
      </c>
      <c r="R1461">
        <f>TEXT(B1461,"mmm")</f>
        <v/>
      </c>
      <c r="S1461" s="15">
        <f>IFERROR(N1461/L1461,0)</f>
        <v/>
      </c>
    </row>
    <row r="1462">
      <c r="A1462">
        <f>Raw_Data!A1462</f>
        <v/>
      </c>
      <c r="B1462" s="11">
        <f>Raw_Data!B1462</f>
        <v/>
      </c>
      <c r="C1462">
        <f>Raw_Data!C1462</f>
        <v/>
      </c>
      <c r="D1462">
        <f>Raw_Data!D1462</f>
        <v/>
      </c>
      <c r="E1462">
        <f>Raw_Data!E1462</f>
        <v/>
      </c>
      <c r="F1462">
        <f>Raw_Data!F1462</f>
        <v/>
      </c>
      <c r="G1462">
        <f>Raw_Data!G1462</f>
        <v/>
      </c>
      <c r="H1462">
        <f>Raw_Data!H1462</f>
        <v/>
      </c>
      <c r="I1462">
        <f>Raw_Data!I1462</f>
        <v/>
      </c>
      <c r="J1462" s="12">
        <f>Raw_Data!J1462</f>
        <v/>
      </c>
      <c r="K1462" s="13">
        <f>Raw_Data!K1462</f>
        <v/>
      </c>
      <c r="L1462" s="12">
        <f>Raw_Data!L1462</f>
        <v/>
      </c>
      <c r="M1462" s="12">
        <f>Raw_Data!M1462</f>
        <v/>
      </c>
      <c r="N1462" s="12">
        <f>Raw_Data!N1462</f>
        <v/>
      </c>
      <c r="O1462">
        <f>Raw_Data!O1462</f>
        <v/>
      </c>
      <c r="P1462">
        <f>Raw_Data!P1462</f>
        <v/>
      </c>
      <c r="Q1462">
        <f>YEAR(B1462)</f>
        <v/>
      </c>
      <c r="R1462">
        <f>TEXT(B1462,"mmm")</f>
        <v/>
      </c>
      <c r="S1462" s="15">
        <f>IFERROR(N1462/L1462,0)</f>
        <v/>
      </c>
    </row>
    <row r="1463">
      <c r="A1463">
        <f>Raw_Data!A1463</f>
        <v/>
      </c>
      <c r="B1463" s="11">
        <f>Raw_Data!B1463</f>
        <v/>
      </c>
      <c r="C1463">
        <f>Raw_Data!C1463</f>
        <v/>
      </c>
      <c r="D1463">
        <f>Raw_Data!D1463</f>
        <v/>
      </c>
      <c r="E1463">
        <f>Raw_Data!E1463</f>
        <v/>
      </c>
      <c r="F1463">
        <f>Raw_Data!F1463</f>
        <v/>
      </c>
      <c r="G1463">
        <f>Raw_Data!G1463</f>
        <v/>
      </c>
      <c r="H1463">
        <f>Raw_Data!H1463</f>
        <v/>
      </c>
      <c r="I1463">
        <f>Raw_Data!I1463</f>
        <v/>
      </c>
      <c r="J1463" s="12">
        <f>Raw_Data!J1463</f>
        <v/>
      </c>
      <c r="K1463" s="13">
        <f>Raw_Data!K1463</f>
        <v/>
      </c>
      <c r="L1463" s="12">
        <f>Raw_Data!L1463</f>
        <v/>
      </c>
      <c r="M1463" s="12">
        <f>Raw_Data!M1463</f>
        <v/>
      </c>
      <c r="N1463" s="12">
        <f>Raw_Data!N1463</f>
        <v/>
      </c>
      <c r="O1463">
        <f>Raw_Data!O1463</f>
        <v/>
      </c>
      <c r="P1463">
        <f>Raw_Data!P1463</f>
        <v/>
      </c>
      <c r="Q1463">
        <f>YEAR(B1463)</f>
        <v/>
      </c>
      <c r="R1463">
        <f>TEXT(B1463,"mmm")</f>
        <v/>
      </c>
      <c r="S1463" s="15">
        <f>IFERROR(N1463/L1463,0)</f>
        <v/>
      </c>
    </row>
    <row r="1464">
      <c r="A1464">
        <f>Raw_Data!A1464</f>
        <v/>
      </c>
      <c r="B1464" s="11">
        <f>Raw_Data!B1464</f>
        <v/>
      </c>
      <c r="C1464">
        <f>Raw_Data!C1464</f>
        <v/>
      </c>
      <c r="D1464">
        <f>Raw_Data!D1464</f>
        <v/>
      </c>
      <c r="E1464">
        <f>Raw_Data!E1464</f>
        <v/>
      </c>
      <c r="F1464">
        <f>Raw_Data!F1464</f>
        <v/>
      </c>
      <c r="G1464">
        <f>Raw_Data!G1464</f>
        <v/>
      </c>
      <c r="H1464">
        <f>Raw_Data!H1464</f>
        <v/>
      </c>
      <c r="I1464">
        <f>Raw_Data!I1464</f>
        <v/>
      </c>
      <c r="J1464" s="12">
        <f>Raw_Data!J1464</f>
        <v/>
      </c>
      <c r="K1464" s="13">
        <f>Raw_Data!K1464</f>
        <v/>
      </c>
      <c r="L1464" s="12">
        <f>Raw_Data!L1464</f>
        <v/>
      </c>
      <c r="M1464" s="12">
        <f>Raw_Data!M1464</f>
        <v/>
      </c>
      <c r="N1464" s="12">
        <f>Raw_Data!N1464</f>
        <v/>
      </c>
      <c r="O1464">
        <f>Raw_Data!O1464</f>
        <v/>
      </c>
      <c r="P1464">
        <f>Raw_Data!P1464</f>
        <v/>
      </c>
      <c r="Q1464">
        <f>YEAR(B1464)</f>
        <v/>
      </c>
      <c r="R1464">
        <f>TEXT(B1464,"mmm")</f>
        <v/>
      </c>
      <c r="S1464" s="15">
        <f>IFERROR(N1464/L1464,0)</f>
        <v/>
      </c>
    </row>
    <row r="1465">
      <c r="A1465">
        <f>Raw_Data!A1465</f>
        <v/>
      </c>
      <c r="B1465" s="11">
        <f>Raw_Data!B1465</f>
        <v/>
      </c>
      <c r="C1465">
        <f>Raw_Data!C1465</f>
        <v/>
      </c>
      <c r="D1465">
        <f>Raw_Data!D1465</f>
        <v/>
      </c>
      <c r="E1465">
        <f>Raw_Data!E1465</f>
        <v/>
      </c>
      <c r="F1465">
        <f>Raw_Data!F1465</f>
        <v/>
      </c>
      <c r="G1465">
        <f>Raw_Data!G1465</f>
        <v/>
      </c>
      <c r="H1465">
        <f>Raw_Data!H1465</f>
        <v/>
      </c>
      <c r="I1465">
        <f>Raw_Data!I1465</f>
        <v/>
      </c>
      <c r="J1465" s="12">
        <f>Raw_Data!J1465</f>
        <v/>
      </c>
      <c r="K1465" s="13">
        <f>Raw_Data!K1465</f>
        <v/>
      </c>
      <c r="L1465" s="12">
        <f>Raw_Data!L1465</f>
        <v/>
      </c>
      <c r="M1465" s="12">
        <f>Raw_Data!M1465</f>
        <v/>
      </c>
      <c r="N1465" s="12">
        <f>Raw_Data!N1465</f>
        <v/>
      </c>
      <c r="O1465">
        <f>Raw_Data!O1465</f>
        <v/>
      </c>
      <c r="P1465">
        <f>Raw_Data!P1465</f>
        <v/>
      </c>
      <c r="Q1465">
        <f>YEAR(B1465)</f>
        <v/>
      </c>
      <c r="R1465">
        <f>TEXT(B1465,"mmm")</f>
        <v/>
      </c>
      <c r="S1465" s="15">
        <f>IFERROR(N1465/L1465,0)</f>
        <v/>
      </c>
    </row>
    <row r="1466">
      <c r="A1466">
        <f>Raw_Data!A1466</f>
        <v/>
      </c>
      <c r="B1466" s="11">
        <f>Raw_Data!B1466</f>
        <v/>
      </c>
      <c r="C1466">
        <f>Raw_Data!C1466</f>
        <v/>
      </c>
      <c r="D1466">
        <f>Raw_Data!D1466</f>
        <v/>
      </c>
      <c r="E1466">
        <f>Raw_Data!E1466</f>
        <v/>
      </c>
      <c r="F1466">
        <f>Raw_Data!F1466</f>
        <v/>
      </c>
      <c r="G1466">
        <f>Raw_Data!G1466</f>
        <v/>
      </c>
      <c r="H1466">
        <f>Raw_Data!H1466</f>
        <v/>
      </c>
      <c r="I1466">
        <f>Raw_Data!I1466</f>
        <v/>
      </c>
      <c r="J1466" s="12">
        <f>Raw_Data!J1466</f>
        <v/>
      </c>
      <c r="K1466" s="13">
        <f>Raw_Data!K1466</f>
        <v/>
      </c>
      <c r="L1466" s="12">
        <f>Raw_Data!L1466</f>
        <v/>
      </c>
      <c r="M1466" s="12">
        <f>Raw_Data!M1466</f>
        <v/>
      </c>
      <c r="N1466" s="12">
        <f>Raw_Data!N1466</f>
        <v/>
      </c>
      <c r="O1466">
        <f>Raw_Data!O1466</f>
        <v/>
      </c>
      <c r="P1466">
        <f>Raw_Data!P1466</f>
        <v/>
      </c>
      <c r="Q1466">
        <f>YEAR(B1466)</f>
        <v/>
      </c>
      <c r="R1466">
        <f>TEXT(B1466,"mmm")</f>
        <v/>
      </c>
      <c r="S1466" s="15">
        <f>IFERROR(N1466/L1466,0)</f>
        <v/>
      </c>
    </row>
    <row r="1467">
      <c r="A1467">
        <f>Raw_Data!A1467</f>
        <v/>
      </c>
      <c r="B1467" s="11">
        <f>Raw_Data!B1467</f>
        <v/>
      </c>
      <c r="C1467">
        <f>Raw_Data!C1467</f>
        <v/>
      </c>
      <c r="D1467">
        <f>Raw_Data!D1467</f>
        <v/>
      </c>
      <c r="E1467">
        <f>Raw_Data!E1467</f>
        <v/>
      </c>
      <c r="F1467">
        <f>Raw_Data!F1467</f>
        <v/>
      </c>
      <c r="G1467">
        <f>Raw_Data!G1467</f>
        <v/>
      </c>
      <c r="H1467">
        <f>Raw_Data!H1467</f>
        <v/>
      </c>
      <c r="I1467">
        <f>Raw_Data!I1467</f>
        <v/>
      </c>
      <c r="J1467" s="12">
        <f>Raw_Data!J1467</f>
        <v/>
      </c>
      <c r="K1467" s="13">
        <f>Raw_Data!K1467</f>
        <v/>
      </c>
      <c r="L1467" s="12">
        <f>Raw_Data!L1467</f>
        <v/>
      </c>
      <c r="M1467" s="12">
        <f>Raw_Data!M1467</f>
        <v/>
      </c>
      <c r="N1467" s="12">
        <f>Raw_Data!N1467</f>
        <v/>
      </c>
      <c r="O1467">
        <f>Raw_Data!O1467</f>
        <v/>
      </c>
      <c r="P1467">
        <f>Raw_Data!P1467</f>
        <v/>
      </c>
      <c r="Q1467">
        <f>YEAR(B1467)</f>
        <v/>
      </c>
      <c r="R1467">
        <f>TEXT(B1467,"mmm")</f>
        <v/>
      </c>
      <c r="S1467" s="15">
        <f>IFERROR(N1467/L1467,0)</f>
        <v/>
      </c>
    </row>
    <row r="1468">
      <c r="A1468">
        <f>Raw_Data!A1468</f>
        <v/>
      </c>
      <c r="B1468" s="11">
        <f>Raw_Data!B1468</f>
        <v/>
      </c>
      <c r="C1468">
        <f>Raw_Data!C1468</f>
        <v/>
      </c>
      <c r="D1468">
        <f>Raw_Data!D1468</f>
        <v/>
      </c>
      <c r="E1468">
        <f>Raw_Data!E1468</f>
        <v/>
      </c>
      <c r="F1468">
        <f>Raw_Data!F1468</f>
        <v/>
      </c>
      <c r="G1468">
        <f>Raw_Data!G1468</f>
        <v/>
      </c>
      <c r="H1468">
        <f>Raw_Data!H1468</f>
        <v/>
      </c>
      <c r="I1468">
        <f>Raw_Data!I1468</f>
        <v/>
      </c>
      <c r="J1468" s="12">
        <f>Raw_Data!J1468</f>
        <v/>
      </c>
      <c r="K1468" s="13">
        <f>Raw_Data!K1468</f>
        <v/>
      </c>
      <c r="L1468" s="12">
        <f>Raw_Data!L1468</f>
        <v/>
      </c>
      <c r="M1468" s="12">
        <f>Raw_Data!M1468</f>
        <v/>
      </c>
      <c r="N1468" s="12">
        <f>Raw_Data!N1468</f>
        <v/>
      </c>
      <c r="O1468">
        <f>Raw_Data!O1468</f>
        <v/>
      </c>
      <c r="P1468">
        <f>Raw_Data!P1468</f>
        <v/>
      </c>
      <c r="Q1468">
        <f>YEAR(B1468)</f>
        <v/>
      </c>
      <c r="R1468">
        <f>TEXT(B1468,"mmm")</f>
        <v/>
      </c>
      <c r="S1468" s="15">
        <f>IFERROR(N1468/L1468,0)</f>
        <v/>
      </c>
    </row>
    <row r="1469">
      <c r="A1469">
        <f>Raw_Data!A1469</f>
        <v/>
      </c>
      <c r="B1469" s="11">
        <f>Raw_Data!B1469</f>
        <v/>
      </c>
      <c r="C1469">
        <f>Raw_Data!C1469</f>
        <v/>
      </c>
      <c r="D1469">
        <f>Raw_Data!D1469</f>
        <v/>
      </c>
      <c r="E1469">
        <f>Raw_Data!E1469</f>
        <v/>
      </c>
      <c r="F1469">
        <f>Raw_Data!F1469</f>
        <v/>
      </c>
      <c r="G1469">
        <f>Raw_Data!G1469</f>
        <v/>
      </c>
      <c r="H1469">
        <f>Raw_Data!H1469</f>
        <v/>
      </c>
      <c r="I1469">
        <f>Raw_Data!I1469</f>
        <v/>
      </c>
      <c r="J1469" s="12">
        <f>Raw_Data!J1469</f>
        <v/>
      </c>
      <c r="K1469" s="13">
        <f>Raw_Data!K1469</f>
        <v/>
      </c>
      <c r="L1469" s="12">
        <f>Raw_Data!L1469</f>
        <v/>
      </c>
      <c r="M1469" s="12">
        <f>Raw_Data!M1469</f>
        <v/>
      </c>
      <c r="N1469" s="12">
        <f>Raw_Data!N1469</f>
        <v/>
      </c>
      <c r="O1469">
        <f>Raw_Data!O1469</f>
        <v/>
      </c>
      <c r="P1469">
        <f>Raw_Data!P1469</f>
        <v/>
      </c>
      <c r="Q1469">
        <f>YEAR(B1469)</f>
        <v/>
      </c>
      <c r="R1469">
        <f>TEXT(B1469,"mmm")</f>
        <v/>
      </c>
      <c r="S1469" s="15">
        <f>IFERROR(N1469/L1469,0)</f>
        <v/>
      </c>
    </row>
    <row r="1470">
      <c r="A1470">
        <f>Raw_Data!A1470</f>
        <v/>
      </c>
      <c r="B1470" s="11">
        <f>Raw_Data!B1470</f>
        <v/>
      </c>
      <c r="C1470">
        <f>Raw_Data!C1470</f>
        <v/>
      </c>
      <c r="D1470">
        <f>Raw_Data!D1470</f>
        <v/>
      </c>
      <c r="E1470">
        <f>Raw_Data!E1470</f>
        <v/>
      </c>
      <c r="F1470">
        <f>Raw_Data!F1470</f>
        <v/>
      </c>
      <c r="G1470">
        <f>Raw_Data!G1470</f>
        <v/>
      </c>
      <c r="H1470">
        <f>Raw_Data!H1470</f>
        <v/>
      </c>
      <c r="I1470">
        <f>Raw_Data!I1470</f>
        <v/>
      </c>
      <c r="J1470" s="12">
        <f>Raw_Data!J1470</f>
        <v/>
      </c>
      <c r="K1470" s="13">
        <f>Raw_Data!K1470</f>
        <v/>
      </c>
      <c r="L1470" s="12">
        <f>Raw_Data!L1470</f>
        <v/>
      </c>
      <c r="M1470" s="12">
        <f>Raw_Data!M1470</f>
        <v/>
      </c>
      <c r="N1470" s="12">
        <f>Raw_Data!N1470</f>
        <v/>
      </c>
      <c r="O1470">
        <f>Raw_Data!O1470</f>
        <v/>
      </c>
      <c r="P1470">
        <f>Raw_Data!P1470</f>
        <v/>
      </c>
      <c r="Q1470">
        <f>YEAR(B1470)</f>
        <v/>
      </c>
      <c r="R1470">
        <f>TEXT(B1470,"mmm")</f>
        <v/>
      </c>
      <c r="S1470" s="15">
        <f>IFERROR(N1470/L1470,0)</f>
        <v/>
      </c>
    </row>
    <row r="1471">
      <c r="A1471">
        <f>Raw_Data!A1471</f>
        <v/>
      </c>
      <c r="B1471" s="11">
        <f>Raw_Data!B1471</f>
        <v/>
      </c>
      <c r="C1471">
        <f>Raw_Data!C1471</f>
        <v/>
      </c>
      <c r="D1471">
        <f>Raw_Data!D1471</f>
        <v/>
      </c>
      <c r="E1471">
        <f>Raw_Data!E1471</f>
        <v/>
      </c>
      <c r="F1471">
        <f>Raw_Data!F1471</f>
        <v/>
      </c>
      <c r="G1471">
        <f>Raw_Data!G1471</f>
        <v/>
      </c>
      <c r="H1471">
        <f>Raw_Data!H1471</f>
        <v/>
      </c>
      <c r="I1471">
        <f>Raw_Data!I1471</f>
        <v/>
      </c>
      <c r="J1471" s="12">
        <f>Raw_Data!J1471</f>
        <v/>
      </c>
      <c r="K1471" s="13">
        <f>Raw_Data!K1471</f>
        <v/>
      </c>
      <c r="L1471" s="12">
        <f>Raw_Data!L1471</f>
        <v/>
      </c>
      <c r="M1471" s="12">
        <f>Raw_Data!M1471</f>
        <v/>
      </c>
      <c r="N1471" s="12">
        <f>Raw_Data!N1471</f>
        <v/>
      </c>
      <c r="O1471">
        <f>Raw_Data!O1471</f>
        <v/>
      </c>
      <c r="P1471">
        <f>Raw_Data!P1471</f>
        <v/>
      </c>
      <c r="Q1471">
        <f>YEAR(B1471)</f>
        <v/>
      </c>
      <c r="R1471">
        <f>TEXT(B1471,"mmm")</f>
        <v/>
      </c>
      <c r="S1471" s="15">
        <f>IFERROR(N1471/L1471,0)</f>
        <v/>
      </c>
    </row>
    <row r="1472">
      <c r="A1472">
        <f>Raw_Data!A1472</f>
        <v/>
      </c>
      <c r="B1472" s="11">
        <f>Raw_Data!B1472</f>
        <v/>
      </c>
      <c r="C1472">
        <f>Raw_Data!C1472</f>
        <v/>
      </c>
      <c r="D1472">
        <f>Raw_Data!D1472</f>
        <v/>
      </c>
      <c r="E1472">
        <f>Raw_Data!E1472</f>
        <v/>
      </c>
      <c r="F1472">
        <f>Raw_Data!F1472</f>
        <v/>
      </c>
      <c r="G1472">
        <f>Raw_Data!G1472</f>
        <v/>
      </c>
      <c r="H1472">
        <f>Raw_Data!H1472</f>
        <v/>
      </c>
      <c r="I1472">
        <f>Raw_Data!I1472</f>
        <v/>
      </c>
      <c r="J1472" s="12">
        <f>Raw_Data!J1472</f>
        <v/>
      </c>
      <c r="K1472" s="13">
        <f>Raw_Data!K1472</f>
        <v/>
      </c>
      <c r="L1472" s="12">
        <f>Raw_Data!L1472</f>
        <v/>
      </c>
      <c r="M1472" s="12">
        <f>Raw_Data!M1472</f>
        <v/>
      </c>
      <c r="N1472" s="12">
        <f>Raw_Data!N1472</f>
        <v/>
      </c>
      <c r="O1472">
        <f>Raw_Data!O1472</f>
        <v/>
      </c>
      <c r="P1472">
        <f>Raw_Data!P1472</f>
        <v/>
      </c>
      <c r="Q1472">
        <f>YEAR(B1472)</f>
        <v/>
      </c>
      <c r="R1472">
        <f>TEXT(B1472,"mmm")</f>
        <v/>
      </c>
      <c r="S1472" s="15">
        <f>IFERROR(N1472/L1472,0)</f>
        <v/>
      </c>
    </row>
    <row r="1473">
      <c r="A1473">
        <f>Raw_Data!A1473</f>
        <v/>
      </c>
      <c r="B1473" s="11">
        <f>Raw_Data!B1473</f>
        <v/>
      </c>
      <c r="C1473">
        <f>Raw_Data!C1473</f>
        <v/>
      </c>
      <c r="D1473">
        <f>Raw_Data!D1473</f>
        <v/>
      </c>
      <c r="E1473">
        <f>Raw_Data!E1473</f>
        <v/>
      </c>
      <c r="F1473">
        <f>Raw_Data!F1473</f>
        <v/>
      </c>
      <c r="G1473">
        <f>Raw_Data!G1473</f>
        <v/>
      </c>
      <c r="H1473">
        <f>Raw_Data!H1473</f>
        <v/>
      </c>
      <c r="I1473">
        <f>Raw_Data!I1473</f>
        <v/>
      </c>
      <c r="J1473" s="12">
        <f>Raw_Data!J1473</f>
        <v/>
      </c>
      <c r="K1473" s="13">
        <f>Raw_Data!K1473</f>
        <v/>
      </c>
      <c r="L1473" s="12">
        <f>Raw_Data!L1473</f>
        <v/>
      </c>
      <c r="M1473" s="12">
        <f>Raw_Data!M1473</f>
        <v/>
      </c>
      <c r="N1473" s="12">
        <f>Raw_Data!N1473</f>
        <v/>
      </c>
      <c r="O1473">
        <f>Raw_Data!O1473</f>
        <v/>
      </c>
      <c r="P1473">
        <f>Raw_Data!P1473</f>
        <v/>
      </c>
      <c r="Q1473">
        <f>YEAR(B1473)</f>
        <v/>
      </c>
      <c r="R1473">
        <f>TEXT(B1473,"mmm")</f>
        <v/>
      </c>
      <c r="S1473" s="15">
        <f>IFERROR(N1473/L1473,0)</f>
        <v/>
      </c>
    </row>
    <row r="1474">
      <c r="A1474">
        <f>Raw_Data!A1474</f>
        <v/>
      </c>
      <c r="B1474" s="11">
        <f>Raw_Data!B1474</f>
        <v/>
      </c>
      <c r="C1474">
        <f>Raw_Data!C1474</f>
        <v/>
      </c>
      <c r="D1474">
        <f>Raw_Data!D1474</f>
        <v/>
      </c>
      <c r="E1474">
        <f>Raw_Data!E1474</f>
        <v/>
      </c>
      <c r="F1474">
        <f>Raw_Data!F1474</f>
        <v/>
      </c>
      <c r="G1474">
        <f>Raw_Data!G1474</f>
        <v/>
      </c>
      <c r="H1474">
        <f>Raw_Data!H1474</f>
        <v/>
      </c>
      <c r="I1474">
        <f>Raw_Data!I1474</f>
        <v/>
      </c>
      <c r="J1474" s="12">
        <f>Raw_Data!J1474</f>
        <v/>
      </c>
      <c r="K1474" s="13">
        <f>Raw_Data!K1474</f>
        <v/>
      </c>
      <c r="L1474" s="12">
        <f>Raw_Data!L1474</f>
        <v/>
      </c>
      <c r="M1474" s="12">
        <f>Raw_Data!M1474</f>
        <v/>
      </c>
      <c r="N1474" s="12">
        <f>Raw_Data!N1474</f>
        <v/>
      </c>
      <c r="O1474">
        <f>Raw_Data!O1474</f>
        <v/>
      </c>
      <c r="P1474">
        <f>Raw_Data!P1474</f>
        <v/>
      </c>
      <c r="Q1474">
        <f>YEAR(B1474)</f>
        <v/>
      </c>
      <c r="R1474">
        <f>TEXT(B1474,"mmm")</f>
        <v/>
      </c>
      <c r="S1474" s="15">
        <f>IFERROR(N1474/L1474,0)</f>
        <v/>
      </c>
    </row>
    <row r="1475">
      <c r="A1475">
        <f>Raw_Data!A1475</f>
        <v/>
      </c>
      <c r="B1475" s="11">
        <f>Raw_Data!B1475</f>
        <v/>
      </c>
      <c r="C1475">
        <f>Raw_Data!C1475</f>
        <v/>
      </c>
      <c r="D1475">
        <f>Raw_Data!D1475</f>
        <v/>
      </c>
      <c r="E1475">
        <f>Raw_Data!E1475</f>
        <v/>
      </c>
      <c r="F1475">
        <f>Raw_Data!F1475</f>
        <v/>
      </c>
      <c r="G1475">
        <f>Raw_Data!G1475</f>
        <v/>
      </c>
      <c r="H1475">
        <f>Raw_Data!H1475</f>
        <v/>
      </c>
      <c r="I1475">
        <f>Raw_Data!I1475</f>
        <v/>
      </c>
      <c r="J1475" s="12">
        <f>Raw_Data!J1475</f>
        <v/>
      </c>
      <c r="K1475" s="13">
        <f>Raw_Data!K1475</f>
        <v/>
      </c>
      <c r="L1475" s="12">
        <f>Raw_Data!L1475</f>
        <v/>
      </c>
      <c r="M1475" s="12">
        <f>Raw_Data!M1475</f>
        <v/>
      </c>
      <c r="N1475" s="12">
        <f>Raw_Data!N1475</f>
        <v/>
      </c>
      <c r="O1475">
        <f>Raw_Data!O1475</f>
        <v/>
      </c>
      <c r="P1475">
        <f>Raw_Data!P1475</f>
        <v/>
      </c>
      <c r="Q1475">
        <f>YEAR(B1475)</f>
        <v/>
      </c>
      <c r="R1475">
        <f>TEXT(B1475,"mmm")</f>
        <v/>
      </c>
      <c r="S1475" s="15">
        <f>IFERROR(N1475/L1475,0)</f>
        <v/>
      </c>
    </row>
    <row r="1476">
      <c r="A1476">
        <f>Raw_Data!A1476</f>
        <v/>
      </c>
      <c r="B1476" s="11">
        <f>Raw_Data!B1476</f>
        <v/>
      </c>
      <c r="C1476">
        <f>Raw_Data!C1476</f>
        <v/>
      </c>
      <c r="D1476">
        <f>Raw_Data!D1476</f>
        <v/>
      </c>
      <c r="E1476">
        <f>Raw_Data!E1476</f>
        <v/>
      </c>
      <c r="F1476">
        <f>Raw_Data!F1476</f>
        <v/>
      </c>
      <c r="G1476">
        <f>Raw_Data!G1476</f>
        <v/>
      </c>
      <c r="H1476">
        <f>Raw_Data!H1476</f>
        <v/>
      </c>
      <c r="I1476">
        <f>Raw_Data!I1476</f>
        <v/>
      </c>
      <c r="J1476" s="12">
        <f>Raw_Data!J1476</f>
        <v/>
      </c>
      <c r="K1476" s="13">
        <f>Raw_Data!K1476</f>
        <v/>
      </c>
      <c r="L1476" s="12">
        <f>Raw_Data!L1476</f>
        <v/>
      </c>
      <c r="M1476" s="12">
        <f>Raw_Data!M1476</f>
        <v/>
      </c>
      <c r="N1476" s="12">
        <f>Raw_Data!N1476</f>
        <v/>
      </c>
      <c r="O1476">
        <f>Raw_Data!O1476</f>
        <v/>
      </c>
      <c r="P1476">
        <f>Raw_Data!P1476</f>
        <v/>
      </c>
      <c r="Q1476">
        <f>YEAR(B1476)</f>
        <v/>
      </c>
      <c r="R1476">
        <f>TEXT(B1476,"mmm")</f>
        <v/>
      </c>
      <c r="S1476" s="15">
        <f>IFERROR(N1476/L1476,0)</f>
        <v/>
      </c>
    </row>
    <row r="1477">
      <c r="A1477">
        <f>Raw_Data!A1477</f>
        <v/>
      </c>
      <c r="B1477" s="11">
        <f>Raw_Data!B1477</f>
        <v/>
      </c>
      <c r="C1477">
        <f>Raw_Data!C1477</f>
        <v/>
      </c>
      <c r="D1477">
        <f>Raw_Data!D1477</f>
        <v/>
      </c>
      <c r="E1477">
        <f>Raw_Data!E1477</f>
        <v/>
      </c>
      <c r="F1477">
        <f>Raw_Data!F1477</f>
        <v/>
      </c>
      <c r="G1477">
        <f>Raw_Data!G1477</f>
        <v/>
      </c>
      <c r="H1477">
        <f>Raw_Data!H1477</f>
        <v/>
      </c>
      <c r="I1477">
        <f>Raw_Data!I1477</f>
        <v/>
      </c>
      <c r="J1477" s="12">
        <f>Raw_Data!J1477</f>
        <v/>
      </c>
      <c r="K1477" s="13">
        <f>Raw_Data!K1477</f>
        <v/>
      </c>
      <c r="L1477" s="12">
        <f>Raw_Data!L1477</f>
        <v/>
      </c>
      <c r="M1477" s="12">
        <f>Raw_Data!M1477</f>
        <v/>
      </c>
      <c r="N1477" s="12">
        <f>Raw_Data!N1477</f>
        <v/>
      </c>
      <c r="O1477">
        <f>Raw_Data!O1477</f>
        <v/>
      </c>
      <c r="P1477">
        <f>Raw_Data!P1477</f>
        <v/>
      </c>
      <c r="Q1477">
        <f>YEAR(B1477)</f>
        <v/>
      </c>
      <c r="R1477">
        <f>TEXT(B1477,"mmm")</f>
        <v/>
      </c>
      <c r="S1477" s="15">
        <f>IFERROR(N1477/L1477,0)</f>
        <v/>
      </c>
    </row>
    <row r="1478">
      <c r="A1478">
        <f>Raw_Data!A1478</f>
        <v/>
      </c>
      <c r="B1478" s="11">
        <f>Raw_Data!B1478</f>
        <v/>
      </c>
      <c r="C1478">
        <f>Raw_Data!C1478</f>
        <v/>
      </c>
      <c r="D1478">
        <f>Raw_Data!D1478</f>
        <v/>
      </c>
      <c r="E1478">
        <f>Raw_Data!E1478</f>
        <v/>
      </c>
      <c r="F1478">
        <f>Raw_Data!F1478</f>
        <v/>
      </c>
      <c r="G1478">
        <f>Raw_Data!G1478</f>
        <v/>
      </c>
      <c r="H1478">
        <f>Raw_Data!H1478</f>
        <v/>
      </c>
      <c r="I1478">
        <f>Raw_Data!I1478</f>
        <v/>
      </c>
      <c r="J1478" s="12">
        <f>Raw_Data!J1478</f>
        <v/>
      </c>
      <c r="K1478" s="13">
        <f>Raw_Data!K1478</f>
        <v/>
      </c>
      <c r="L1478" s="12">
        <f>Raw_Data!L1478</f>
        <v/>
      </c>
      <c r="M1478" s="12">
        <f>Raw_Data!M1478</f>
        <v/>
      </c>
      <c r="N1478" s="12">
        <f>Raw_Data!N1478</f>
        <v/>
      </c>
      <c r="O1478">
        <f>Raw_Data!O1478</f>
        <v/>
      </c>
      <c r="P1478">
        <f>Raw_Data!P1478</f>
        <v/>
      </c>
      <c r="Q1478">
        <f>YEAR(B1478)</f>
        <v/>
      </c>
      <c r="R1478">
        <f>TEXT(B1478,"mmm")</f>
        <v/>
      </c>
      <c r="S1478" s="15">
        <f>IFERROR(N1478/L1478,0)</f>
        <v/>
      </c>
    </row>
    <row r="1479">
      <c r="A1479">
        <f>Raw_Data!A1479</f>
        <v/>
      </c>
      <c r="B1479" s="11">
        <f>Raw_Data!B1479</f>
        <v/>
      </c>
      <c r="C1479">
        <f>Raw_Data!C1479</f>
        <v/>
      </c>
      <c r="D1479">
        <f>Raw_Data!D1479</f>
        <v/>
      </c>
      <c r="E1479">
        <f>Raw_Data!E1479</f>
        <v/>
      </c>
      <c r="F1479">
        <f>Raw_Data!F1479</f>
        <v/>
      </c>
      <c r="G1479">
        <f>Raw_Data!G1479</f>
        <v/>
      </c>
      <c r="H1479">
        <f>Raw_Data!H1479</f>
        <v/>
      </c>
      <c r="I1479">
        <f>Raw_Data!I1479</f>
        <v/>
      </c>
      <c r="J1479" s="12">
        <f>Raw_Data!J1479</f>
        <v/>
      </c>
      <c r="K1479" s="13">
        <f>Raw_Data!K1479</f>
        <v/>
      </c>
      <c r="L1479" s="12">
        <f>Raw_Data!L1479</f>
        <v/>
      </c>
      <c r="M1479" s="12">
        <f>Raw_Data!M1479</f>
        <v/>
      </c>
      <c r="N1479" s="12">
        <f>Raw_Data!N1479</f>
        <v/>
      </c>
      <c r="O1479">
        <f>Raw_Data!O1479</f>
        <v/>
      </c>
      <c r="P1479">
        <f>Raw_Data!P1479</f>
        <v/>
      </c>
      <c r="Q1479">
        <f>YEAR(B1479)</f>
        <v/>
      </c>
      <c r="R1479">
        <f>TEXT(B1479,"mmm")</f>
        <v/>
      </c>
      <c r="S1479" s="15">
        <f>IFERROR(N1479/L1479,0)</f>
        <v/>
      </c>
    </row>
    <row r="1480">
      <c r="A1480">
        <f>Raw_Data!A1480</f>
        <v/>
      </c>
      <c r="B1480" s="11">
        <f>Raw_Data!B1480</f>
        <v/>
      </c>
      <c r="C1480">
        <f>Raw_Data!C1480</f>
        <v/>
      </c>
      <c r="D1480">
        <f>Raw_Data!D1480</f>
        <v/>
      </c>
      <c r="E1480">
        <f>Raw_Data!E1480</f>
        <v/>
      </c>
      <c r="F1480">
        <f>Raw_Data!F1480</f>
        <v/>
      </c>
      <c r="G1480">
        <f>Raw_Data!G1480</f>
        <v/>
      </c>
      <c r="H1480">
        <f>Raw_Data!H1480</f>
        <v/>
      </c>
      <c r="I1480">
        <f>Raw_Data!I1480</f>
        <v/>
      </c>
      <c r="J1480" s="12">
        <f>Raw_Data!J1480</f>
        <v/>
      </c>
      <c r="K1480" s="13">
        <f>Raw_Data!K1480</f>
        <v/>
      </c>
      <c r="L1480" s="12">
        <f>Raw_Data!L1480</f>
        <v/>
      </c>
      <c r="M1480" s="12">
        <f>Raw_Data!M1480</f>
        <v/>
      </c>
      <c r="N1480" s="12">
        <f>Raw_Data!N1480</f>
        <v/>
      </c>
      <c r="O1480">
        <f>Raw_Data!O1480</f>
        <v/>
      </c>
      <c r="P1480">
        <f>Raw_Data!P1480</f>
        <v/>
      </c>
      <c r="Q1480">
        <f>YEAR(B1480)</f>
        <v/>
      </c>
      <c r="R1480">
        <f>TEXT(B1480,"mmm")</f>
        <v/>
      </c>
      <c r="S1480" s="15">
        <f>IFERROR(N1480/L1480,0)</f>
        <v/>
      </c>
    </row>
    <row r="1481">
      <c r="A1481">
        <f>Raw_Data!A1481</f>
        <v/>
      </c>
      <c r="B1481" s="11">
        <f>Raw_Data!B1481</f>
        <v/>
      </c>
      <c r="C1481">
        <f>Raw_Data!C1481</f>
        <v/>
      </c>
      <c r="D1481">
        <f>Raw_Data!D1481</f>
        <v/>
      </c>
      <c r="E1481">
        <f>Raw_Data!E1481</f>
        <v/>
      </c>
      <c r="F1481">
        <f>Raw_Data!F1481</f>
        <v/>
      </c>
      <c r="G1481">
        <f>Raw_Data!G1481</f>
        <v/>
      </c>
      <c r="H1481">
        <f>Raw_Data!H1481</f>
        <v/>
      </c>
      <c r="I1481">
        <f>Raw_Data!I1481</f>
        <v/>
      </c>
      <c r="J1481" s="12">
        <f>Raw_Data!J1481</f>
        <v/>
      </c>
      <c r="K1481" s="13">
        <f>Raw_Data!K1481</f>
        <v/>
      </c>
      <c r="L1481" s="12">
        <f>Raw_Data!L1481</f>
        <v/>
      </c>
      <c r="M1481" s="12">
        <f>Raw_Data!M1481</f>
        <v/>
      </c>
      <c r="N1481" s="12">
        <f>Raw_Data!N1481</f>
        <v/>
      </c>
      <c r="O1481">
        <f>Raw_Data!O1481</f>
        <v/>
      </c>
      <c r="P1481">
        <f>Raw_Data!P1481</f>
        <v/>
      </c>
      <c r="Q1481">
        <f>YEAR(B1481)</f>
        <v/>
      </c>
      <c r="R1481">
        <f>TEXT(B1481,"mmm")</f>
        <v/>
      </c>
      <c r="S1481" s="15">
        <f>IFERROR(N1481/L1481,0)</f>
        <v/>
      </c>
    </row>
    <row r="1482">
      <c r="A1482">
        <f>Raw_Data!A1482</f>
        <v/>
      </c>
      <c r="B1482" s="11">
        <f>Raw_Data!B1482</f>
        <v/>
      </c>
      <c r="C1482">
        <f>Raw_Data!C1482</f>
        <v/>
      </c>
      <c r="D1482">
        <f>Raw_Data!D1482</f>
        <v/>
      </c>
      <c r="E1482">
        <f>Raw_Data!E1482</f>
        <v/>
      </c>
      <c r="F1482">
        <f>Raw_Data!F1482</f>
        <v/>
      </c>
      <c r="G1482">
        <f>Raw_Data!G1482</f>
        <v/>
      </c>
      <c r="H1482">
        <f>Raw_Data!H1482</f>
        <v/>
      </c>
      <c r="I1482">
        <f>Raw_Data!I1482</f>
        <v/>
      </c>
      <c r="J1482" s="12">
        <f>Raw_Data!J1482</f>
        <v/>
      </c>
      <c r="K1482" s="13">
        <f>Raw_Data!K1482</f>
        <v/>
      </c>
      <c r="L1482" s="12">
        <f>Raw_Data!L1482</f>
        <v/>
      </c>
      <c r="M1482" s="12">
        <f>Raw_Data!M1482</f>
        <v/>
      </c>
      <c r="N1482" s="12">
        <f>Raw_Data!N1482</f>
        <v/>
      </c>
      <c r="O1482">
        <f>Raw_Data!O1482</f>
        <v/>
      </c>
      <c r="P1482">
        <f>Raw_Data!P1482</f>
        <v/>
      </c>
      <c r="Q1482">
        <f>YEAR(B1482)</f>
        <v/>
      </c>
      <c r="R1482">
        <f>TEXT(B1482,"mmm")</f>
        <v/>
      </c>
      <c r="S1482" s="15">
        <f>IFERROR(N1482/L1482,0)</f>
        <v/>
      </c>
    </row>
    <row r="1483">
      <c r="A1483">
        <f>Raw_Data!A1483</f>
        <v/>
      </c>
      <c r="B1483" s="11">
        <f>Raw_Data!B1483</f>
        <v/>
      </c>
      <c r="C1483">
        <f>Raw_Data!C1483</f>
        <v/>
      </c>
      <c r="D1483">
        <f>Raw_Data!D1483</f>
        <v/>
      </c>
      <c r="E1483">
        <f>Raw_Data!E1483</f>
        <v/>
      </c>
      <c r="F1483">
        <f>Raw_Data!F1483</f>
        <v/>
      </c>
      <c r="G1483">
        <f>Raw_Data!G1483</f>
        <v/>
      </c>
      <c r="H1483">
        <f>Raw_Data!H1483</f>
        <v/>
      </c>
      <c r="I1483">
        <f>Raw_Data!I1483</f>
        <v/>
      </c>
      <c r="J1483" s="12">
        <f>Raw_Data!J1483</f>
        <v/>
      </c>
      <c r="K1483" s="13">
        <f>Raw_Data!K1483</f>
        <v/>
      </c>
      <c r="L1483" s="12">
        <f>Raw_Data!L1483</f>
        <v/>
      </c>
      <c r="M1483" s="12">
        <f>Raw_Data!M1483</f>
        <v/>
      </c>
      <c r="N1483" s="12">
        <f>Raw_Data!N1483</f>
        <v/>
      </c>
      <c r="O1483">
        <f>Raw_Data!O1483</f>
        <v/>
      </c>
      <c r="P1483">
        <f>Raw_Data!P1483</f>
        <v/>
      </c>
      <c r="Q1483">
        <f>YEAR(B1483)</f>
        <v/>
      </c>
      <c r="R1483">
        <f>TEXT(B1483,"mmm")</f>
        <v/>
      </c>
      <c r="S1483" s="15">
        <f>IFERROR(N1483/L1483,0)</f>
        <v/>
      </c>
    </row>
    <row r="1484">
      <c r="A1484">
        <f>Raw_Data!A1484</f>
        <v/>
      </c>
      <c r="B1484" s="11">
        <f>Raw_Data!B1484</f>
        <v/>
      </c>
      <c r="C1484">
        <f>Raw_Data!C1484</f>
        <v/>
      </c>
      <c r="D1484">
        <f>Raw_Data!D1484</f>
        <v/>
      </c>
      <c r="E1484">
        <f>Raw_Data!E1484</f>
        <v/>
      </c>
      <c r="F1484">
        <f>Raw_Data!F1484</f>
        <v/>
      </c>
      <c r="G1484">
        <f>Raw_Data!G1484</f>
        <v/>
      </c>
      <c r="H1484">
        <f>Raw_Data!H1484</f>
        <v/>
      </c>
      <c r="I1484">
        <f>Raw_Data!I1484</f>
        <v/>
      </c>
      <c r="J1484" s="12">
        <f>Raw_Data!J1484</f>
        <v/>
      </c>
      <c r="K1484" s="13">
        <f>Raw_Data!K1484</f>
        <v/>
      </c>
      <c r="L1484" s="12">
        <f>Raw_Data!L1484</f>
        <v/>
      </c>
      <c r="M1484" s="12">
        <f>Raw_Data!M1484</f>
        <v/>
      </c>
      <c r="N1484" s="12">
        <f>Raw_Data!N1484</f>
        <v/>
      </c>
      <c r="O1484">
        <f>Raw_Data!O1484</f>
        <v/>
      </c>
      <c r="P1484">
        <f>Raw_Data!P1484</f>
        <v/>
      </c>
      <c r="Q1484">
        <f>YEAR(B1484)</f>
        <v/>
      </c>
      <c r="R1484">
        <f>TEXT(B1484,"mmm")</f>
        <v/>
      </c>
      <c r="S1484" s="15">
        <f>IFERROR(N1484/L1484,0)</f>
        <v/>
      </c>
    </row>
    <row r="1485">
      <c r="A1485">
        <f>Raw_Data!A1485</f>
        <v/>
      </c>
      <c r="B1485" s="11">
        <f>Raw_Data!B1485</f>
        <v/>
      </c>
      <c r="C1485">
        <f>Raw_Data!C1485</f>
        <v/>
      </c>
      <c r="D1485">
        <f>Raw_Data!D1485</f>
        <v/>
      </c>
      <c r="E1485">
        <f>Raw_Data!E1485</f>
        <v/>
      </c>
      <c r="F1485">
        <f>Raw_Data!F1485</f>
        <v/>
      </c>
      <c r="G1485">
        <f>Raw_Data!G1485</f>
        <v/>
      </c>
      <c r="H1485">
        <f>Raw_Data!H1485</f>
        <v/>
      </c>
      <c r="I1485">
        <f>Raw_Data!I1485</f>
        <v/>
      </c>
      <c r="J1485" s="12">
        <f>Raw_Data!J1485</f>
        <v/>
      </c>
      <c r="K1485" s="13">
        <f>Raw_Data!K1485</f>
        <v/>
      </c>
      <c r="L1485" s="12">
        <f>Raw_Data!L1485</f>
        <v/>
      </c>
      <c r="M1485" s="12">
        <f>Raw_Data!M1485</f>
        <v/>
      </c>
      <c r="N1485" s="12">
        <f>Raw_Data!N1485</f>
        <v/>
      </c>
      <c r="O1485">
        <f>Raw_Data!O1485</f>
        <v/>
      </c>
      <c r="P1485">
        <f>Raw_Data!P1485</f>
        <v/>
      </c>
      <c r="Q1485">
        <f>YEAR(B1485)</f>
        <v/>
      </c>
      <c r="R1485">
        <f>TEXT(B1485,"mmm")</f>
        <v/>
      </c>
      <c r="S1485" s="15">
        <f>IFERROR(N1485/L1485,0)</f>
        <v/>
      </c>
    </row>
    <row r="1486">
      <c r="A1486">
        <f>Raw_Data!A1486</f>
        <v/>
      </c>
      <c r="B1486" s="11">
        <f>Raw_Data!B1486</f>
        <v/>
      </c>
      <c r="C1486">
        <f>Raw_Data!C1486</f>
        <v/>
      </c>
      <c r="D1486">
        <f>Raw_Data!D1486</f>
        <v/>
      </c>
      <c r="E1486">
        <f>Raw_Data!E1486</f>
        <v/>
      </c>
      <c r="F1486">
        <f>Raw_Data!F1486</f>
        <v/>
      </c>
      <c r="G1486">
        <f>Raw_Data!G1486</f>
        <v/>
      </c>
      <c r="H1486">
        <f>Raw_Data!H1486</f>
        <v/>
      </c>
      <c r="I1486">
        <f>Raw_Data!I1486</f>
        <v/>
      </c>
      <c r="J1486" s="12">
        <f>Raw_Data!J1486</f>
        <v/>
      </c>
      <c r="K1486" s="13">
        <f>Raw_Data!K1486</f>
        <v/>
      </c>
      <c r="L1486" s="12">
        <f>Raw_Data!L1486</f>
        <v/>
      </c>
      <c r="M1486" s="12">
        <f>Raw_Data!M1486</f>
        <v/>
      </c>
      <c r="N1486" s="12">
        <f>Raw_Data!N1486</f>
        <v/>
      </c>
      <c r="O1486">
        <f>Raw_Data!O1486</f>
        <v/>
      </c>
      <c r="P1486">
        <f>Raw_Data!P1486</f>
        <v/>
      </c>
      <c r="Q1486">
        <f>YEAR(B1486)</f>
        <v/>
      </c>
      <c r="R1486">
        <f>TEXT(B1486,"mmm")</f>
        <v/>
      </c>
      <c r="S1486" s="15">
        <f>IFERROR(N1486/L1486,0)</f>
        <v/>
      </c>
    </row>
    <row r="1487">
      <c r="A1487">
        <f>Raw_Data!A1487</f>
        <v/>
      </c>
      <c r="B1487" s="11">
        <f>Raw_Data!B1487</f>
        <v/>
      </c>
      <c r="C1487">
        <f>Raw_Data!C1487</f>
        <v/>
      </c>
      <c r="D1487">
        <f>Raw_Data!D1487</f>
        <v/>
      </c>
      <c r="E1487">
        <f>Raw_Data!E1487</f>
        <v/>
      </c>
      <c r="F1487">
        <f>Raw_Data!F1487</f>
        <v/>
      </c>
      <c r="G1487">
        <f>Raw_Data!G1487</f>
        <v/>
      </c>
      <c r="H1487">
        <f>Raw_Data!H1487</f>
        <v/>
      </c>
      <c r="I1487">
        <f>Raw_Data!I1487</f>
        <v/>
      </c>
      <c r="J1487" s="12">
        <f>Raw_Data!J1487</f>
        <v/>
      </c>
      <c r="K1487" s="13">
        <f>Raw_Data!K1487</f>
        <v/>
      </c>
      <c r="L1487" s="12">
        <f>Raw_Data!L1487</f>
        <v/>
      </c>
      <c r="M1487" s="12">
        <f>Raw_Data!M1487</f>
        <v/>
      </c>
      <c r="N1487" s="12">
        <f>Raw_Data!N1487</f>
        <v/>
      </c>
      <c r="O1487">
        <f>Raw_Data!O1487</f>
        <v/>
      </c>
      <c r="P1487">
        <f>Raw_Data!P1487</f>
        <v/>
      </c>
      <c r="Q1487">
        <f>YEAR(B1487)</f>
        <v/>
      </c>
      <c r="R1487">
        <f>TEXT(B1487,"mmm")</f>
        <v/>
      </c>
      <c r="S1487" s="15">
        <f>IFERROR(N1487/L1487,0)</f>
        <v/>
      </c>
    </row>
    <row r="1488">
      <c r="A1488">
        <f>Raw_Data!A1488</f>
        <v/>
      </c>
      <c r="B1488" s="11">
        <f>Raw_Data!B1488</f>
        <v/>
      </c>
      <c r="C1488">
        <f>Raw_Data!C1488</f>
        <v/>
      </c>
      <c r="D1488">
        <f>Raw_Data!D1488</f>
        <v/>
      </c>
      <c r="E1488">
        <f>Raw_Data!E1488</f>
        <v/>
      </c>
      <c r="F1488">
        <f>Raw_Data!F1488</f>
        <v/>
      </c>
      <c r="G1488">
        <f>Raw_Data!G1488</f>
        <v/>
      </c>
      <c r="H1488">
        <f>Raw_Data!H1488</f>
        <v/>
      </c>
      <c r="I1488">
        <f>Raw_Data!I1488</f>
        <v/>
      </c>
      <c r="J1488" s="12">
        <f>Raw_Data!J1488</f>
        <v/>
      </c>
      <c r="K1488" s="13">
        <f>Raw_Data!K1488</f>
        <v/>
      </c>
      <c r="L1488" s="12">
        <f>Raw_Data!L1488</f>
        <v/>
      </c>
      <c r="M1488" s="12">
        <f>Raw_Data!M1488</f>
        <v/>
      </c>
      <c r="N1488" s="12">
        <f>Raw_Data!N1488</f>
        <v/>
      </c>
      <c r="O1488">
        <f>Raw_Data!O1488</f>
        <v/>
      </c>
      <c r="P1488">
        <f>Raw_Data!P1488</f>
        <v/>
      </c>
      <c r="Q1488">
        <f>YEAR(B1488)</f>
        <v/>
      </c>
      <c r="R1488">
        <f>TEXT(B1488,"mmm")</f>
        <v/>
      </c>
      <c r="S1488" s="15">
        <f>IFERROR(N1488/L1488,0)</f>
        <v/>
      </c>
    </row>
    <row r="1489">
      <c r="A1489">
        <f>Raw_Data!A1489</f>
        <v/>
      </c>
      <c r="B1489" s="11">
        <f>Raw_Data!B1489</f>
        <v/>
      </c>
      <c r="C1489">
        <f>Raw_Data!C1489</f>
        <v/>
      </c>
      <c r="D1489">
        <f>Raw_Data!D1489</f>
        <v/>
      </c>
      <c r="E1489">
        <f>Raw_Data!E1489</f>
        <v/>
      </c>
      <c r="F1489">
        <f>Raw_Data!F1489</f>
        <v/>
      </c>
      <c r="G1489">
        <f>Raw_Data!G1489</f>
        <v/>
      </c>
      <c r="H1489">
        <f>Raw_Data!H1489</f>
        <v/>
      </c>
      <c r="I1489">
        <f>Raw_Data!I1489</f>
        <v/>
      </c>
      <c r="J1489" s="12">
        <f>Raw_Data!J1489</f>
        <v/>
      </c>
      <c r="K1489" s="13">
        <f>Raw_Data!K1489</f>
        <v/>
      </c>
      <c r="L1489" s="12">
        <f>Raw_Data!L1489</f>
        <v/>
      </c>
      <c r="M1489" s="12">
        <f>Raw_Data!M1489</f>
        <v/>
      </c>
      <c r="N1489" s="12">
        <f>Raw_Data!N1489</f>
        <v/>
      </c>
      <c r="O1489">
        <f>Raw_Data!O1489</f>
        <v/>
      </c>
      <c r="P1489">
        <f>Raw_Data!P1489</f>
        <v/>
      </c>
      <c r="Q1489">
        <f>YEAR(B1489)</f>
        <v/>
      </c>
      <c r="R1489">
        <f>TEXT(B1489,"mmm")</f>
        <v/>
      </c>
      <c r="S1489" s="15">
        <f>IFERROR(N1489/L1489,0)</f>
        <v/>
      </c>
    </row>
    <row r="1490">
      <c r="A1490">
        <f>Raw_Data!A1490</f>
        <v/>
      </c>
      <c r="B1490" s="11">
        <f>Raw_Data!B1490</f>
        <v/>
      </c>
      <c r="C1490">
        <f>Raw_Data!C1490</f>
        <v/>
      </c>
      <c r="D1490">
        <f>Raw_Data!D1490</f>
        <v/>
      </c>
      <c r="E1490">
        <f>Raw_Data!E1490</f>
        <v/>
      </c>
      <c r="F1490">
        <f>Raw_Data!F1490</f>
        <v/>
      </c>
      <c r="G1490">
        <f>Raw_Data!G1490</f>
        <v/>
      </c>
      <c r="H1490">
        <f>Raw_Data!H1490</f>
        <v/>
      </c>
      <c r="I1490">
        <f>Raw_Data!I1490</f>
        <v/>
      </c>
      <c r="J1490" s="12">
        <f>Raw_Data!J1490</f>
        <v/>
      </c>
      <c r="K1490" s="13">
        <f>Raw_Data!K1490</f>
        <v/>
      </c>
      <c r="L1490" s="12">
        <f>Raw_Data!L1490</f>
        <v/>
      </c>
      <c r="M1490" s="12">
        <f>Raw_Data!M1490</f>
        <v/>
      </c>
      <c r="N1490" s="12">
        <f>Raw_Data!N1490</f>
        <v/>
      </c>
      <c r="O1490">
        <f>Raw_Data!O1490</f>
        <v/>
      </c>
      <c r="P1490">
        <f>Raw_Data!P1490</f>
        <v/>
      </c>
      <c r="Q1490">
        <f>YEAR(B1490)</f>
        <v/>
      </c>
      <c r="R1490">
        <f>TEXT(B1490,"mmm")</f>
        <v/>
      </c>
      <c r="S1490" s="15">
        <f>IFERROR(N1490/L1490,0)</f>
        <v/>
      </c>
    </row>
    <row r="1491">
      <c r="A1491">
        <f>Raw_Data!A1491</f>
        <v/>
      </c>
      <c r="B1491" s="11">
        <f>Raw_Data!B1491</f>
        <v/>
      </c>
      <c r="C1491">
        <f>Raw_Data!C1491</f>
        <v/>
      </c>
      <c r="D1491">
        <f>Raw_Data!D1491</f>
        <v/>
      </c>
      <c r="E1491">
        <f>Raw_Data!E1491</f>
        <v/>
      </c>
      <c r="F1491">
        <f>Raw_Data!F1491</f>
        <v/>
      </c>
      <c r="G1491">
        <f>Raw_Data!G1491</f>
        <v/>
      </c>
      <c r="H1491">
        <f>Raw_Data!H1491</f>
        <v/>
      </c>
      <c r="I1491">
        <f>Raw_Data!I1491</f>
        <v/>
      </c>
      <c r="J1491" s="12">
        <f>Raw_Data!J1491</f>
        <v/>
      </c>
      <c r="K1491" s="13">
        <f>Raw_Data!K1491</f>
        <v/>
      </c>
      <c r="L1491" s="12">
        <f>Raw_Data!L1491</f>
        <v/>
      </c>
      <c r="M1491" s="12">
        <f>Raw_Data!M1491</f>
        <v/>
      </c>
      <c r="N1491" s="12">
        <f>Raw_Data!N1491</f>
        <v/>
      </c>
      <c r="O1491">
        <f>Raw_Data!O1491</f>
        <v/>
      </c>
      <c r="P1491">
        <f>Raw_Data!P1491</f>
        <v/>
      </c>
      <c r="Q1491">
        <f>YEAR(B1491)</f>
        <v/>
      </c>
      <c r="R1491">
        <f>TEXT(B1491,"mmm")</f>
        <v/>
      </c>
      <c r="S1491" s="15">
        <f>IFERROR(N1491/L1491,0)</f>
        <v/>
      </c>
    </row>
    <row r="1492">
      <c r="A1492">
        <f>Raw_Data!A1492</f>
        <v/>
      </c>
      <c r="B1492" s="11">
        <f>Raw_Data!B1492</f>
        <v/>
      </c>
      <c r="C1492">
        <f>Raw_Data!C1492</f>
        <v/>
      </c>
      <c r="D1492">
        <f>Raw_Data!D1492</f>
        <v/>
      </c>
      <c r="E1492">
        <f>Raw_Data!E1492</f>
        <v/>
      </c>
      <c r="F1492">
        <f>Raw_Data!F1492</f>
        <v/>
      </c>
      <c r="G1492">
        <f>Raw_Data!G1492</f>
        <v/>
      </c>
      <c r="H1492">
        <f>Raw_Data!H1492</f>
        <v/>
      </c>
      <c r="I1492">
        <f>Raw_Data!I1492</f>
        <v/>
      </c>
      <c r="J1492" s="12">
        <f>Raw_Data!J1492</f>
        <v/>
      </c>
      <c r="K1492" s="13">
        <f>Raw_Data!K1492</f>
        <v/>
      </c>
      <c r="L1492" s="12">
        <f>Raw_Data!L1492</f>
        <v/>
      </c>
      <c r="M1492" s="12">
        <f>Raw_Data!M1492</f>
        <v/>
      </c>
      <c r="N1492" s="12">
        <f>Raw_Data!N1492</f>
        <v/>
      </c>
      <c r="O1492">
        <f>Raw_Data!O1492</f>
        <v/>
      </c>
      <c r="P1492">
        <f>Raw_Data!P1492</f>
        <v/>
      </c>
      <c r="Q1492">
        <f>YEAR(B1492)</f>
        <v/>
      </c>
      <c r="R1492">
        <f>TEXT(B1492,"mmm")</f>
        <v/>
      </c>
      <c r="S1492" s="15">
        <f>IFERROR(N1492/L1492,0)</f>
        <v/>
      </c>
    </row>
    <row r="1493">
      <c r="A1493">
        <f>Raw_Data!A1493</f>
        <v/>
      </c>
      <c r="B1493" s="11">
        <f>Raw_Data!B1493</f>
        <v/>
      </c>
      <c r="C1493">
        <f>Raw_Data!C1493</f>
        <v/>
      </c>
      <c r="D1493">
        <f>Raw_Data!D1493</f>
        <v/>
      </c>
      <c r="E1493">
        <f>Raw_Data!E1493</f>
        <v/>
      </c>
      <c r="F1493">
        <f>Raw_Data!F1493</f>
        <v/>
      </c>
      <c r="G1493">
        <f>Raw_Data!G1493</f>
        <v/>
      </c>
      <c r="H1493">
        <f>Raw_Data!H1493</f>
        <v/>
      </c>
      <c r="I1493">
        <f>Raw_Data!I1493</f>
        <v/>
      </c>
      <c r="J1493" s="12">
        <f>Raw_Data!J1493</f>
        <v/>
      </c>
      <c r="K1493" s="13">
        <f>Raw_Data!K1493</f>
        <v/>
      </c>
      <c r="L1493" s="12">
        <f>Raw_Data!L1493</f>
        <v/>
      </c>
      <c r="M1493" s="12">
        <f>Raw_Data!M1493</f>
        <v/>
      </c>
      <c r="N1493" s="12">
        <f>Raw_Data!N1493</f>
        <v/>
      </c>
      <c r="O1493">
        <f>Raw_Data!O1493</f>
        <v/>
      </c>
      <c r="P1493">
        <f>Raw_Data!P1493</f>
        <v/>
      </c>
      <c r="Q1493">
        <f>YEAR(B1493)</f>
        <v/>
      </c>
      <c r="R1493">
        <f>TEXT(B1493,"mmm")</f>
        <v/>
      </c>
      <c r="S1493" s="15">
        <f>IFERROR(N1493/L1493,0)</f>
        <v/>
      </c>
    </row>
    <row r="1494">
      <c r="A1494">
        <f>Raw_Data!A1494</f>
        <v/>
      </c>
      <c r="B1494" s="11">
        <f>Raw_Data!B1494</f>
        <v/>
      </c>
      <c r="C1494">
        <f>Raw_Data!C1494</f>
        <v/>
      </c>
      <c r="D1494">
        <f>Raw_Data!D1494</f>
        <v/>
      </c>
      <c r="E1494">
        <f>Raw_Data!E1494</f>
        <v/>
      </c>
      <c r="F1494">
        <f>Raw_Data!F1494</f>
        <v/>
      </c>
      <c r="G1494">
        <f>Raw_Data!G1494</f>
        <v/>
      </c>
      <c r="H1494">
        <f>Raw_Data!H1494</f>
        <v/>
      </c>
      <c r="I1494">
        <f>Raw_Data!I1494</f>
        <v/>
      </c>
      <c r="J1494" s="12">
        <f>Raw_Data!J1494</f>
        <v/>
      </c>
      <c r="K1494" s="13">
        <f>Raw_Data!K1494</f>
        <v/>
      </c>
      <c r="L1494" s="12">
        <f>Raw_Data!L1494</f>
        <v/>
      </c>
      <c r="M1494" s="12">
        <f>Raw_Data!M1494</f>
        <v/>
      </c>
      <c r="N1494" s="12">
        <f>Raw_Data!N1494</f>
        <v/>
      </c>
      <c r="O1494">
        <f>Raw_Data!O1494</f>
        <v/>
      </c>
      <c r="P1494">
        <f>Raw_Data!P1494</f>
        <v/>
      </c>
      <c r="Q1494">
        <f>YEAR(B1494)</f>
        <v/>
      </c>
      <c r="R1494">
        <f>TEXT(B1494,"mmm")</f>
        <v/>
      </c>
      <c r="S1494" s="15">
        <f>IFERROR(N1494/L1494,0)</f>
        <v/>
      </c>
    </row>
    <row r="1495">
      <c r="A1495">
        <f>Raw_Data!A1495</f>
        <v/>
      </c>
      <c r="B1495" s="11">
        <f>Raw_Data!B1495</f>
        <v/>
      </c>
      <c r="C1495">
        <f>Raw_Data!C1495</f>
        <v/>
      </c>
      <c r="D1495">
        <f>Raw_Data!D1495</f>
        <v/>
      </c>
      <c r="E1495">
        <f>Raw_Data!E1495</f>
        <v/>
      </c>
      <c r="F1495">
        <f>Raw_Data!F1495</f>
        <v/>
      </c>
      <c r="G1495">
        <f>Raw_Data!G1495</f>
        <v/>
      </c>
      <c r="H1495">
        <f>Raw_Data!H1495</f>
        <v/>
      </c>
      <c r="I1495">
        <f>Raw_Data!I1495</f>
        <v/>
      </c>
      <c r="J1495" s="12">
        <f>Raw_Data!J1495</f>
        <v/>
      </c>
      <c r="K1495" s="13">
        <f>Raw_Data!K1495</f>
        <v/>
      </c>
      <c r="L1495" s="12">
        <f>Raw_Data!L1495</f>
        <v/>
      </c>
      <c r="M1495" s="12">
        <f>Raw_Data!M1495</f>
        <v/>
      </c>
      <c r="N1495" s="12">
        <f>Raw_Data!N1495</f>
        <v/>
      </c>
      <c r="O1495">
        <f>Raw_Data!O1495</f>
        <v/>
      </c>
      <c r="P1495">
        <f>Raw_Data!P1495</f>
        <v/>
      </c>
      <c r="Q1495">
        <f>YEAR(B1495)</f>
        <v/>
      </c>
      <c r="R1495">
        <f>TEXT(B1495,"mmm")</f>
        <v/>
      </c>
      <c r="S1495" s="15">
        <f>IFERROR(N1495/L1495,0)</f>
        <v/>
      </c>
    </row>
    <row r="1496">
      <c r="A1496">
        <f>Raw_Data!A1496</f>
        <v/>
      </c>
      <c r="B1496" s="11">
        <f>Raw_Data!B1496</f>
        <v/>
      </c>
      <c r="C1496">
        <f>Raw_Data!C1496</f>
        <v/>
      </c>
      <c r="D1496">
        <f>Raw_Data!D1496</f>
        <v/>
      </c>
      <c r="E1496">
        <f>Raw_Data!E1496</f>
        <v/>
      </c>
      <c r="F1496">
        <f>Raw_Data!F1496</f>
        <v/>
      </c>
      <c r="G1496">
        <f>Raw_Data!G1496</f>
        <v/>
      </c>
      <c r="H1496">
        <f>Raw_Data!H1496</f>
        <v/>
      </c>
      <c r="I1496">
        <f>Raw_Data!I1496</f>
        <v/>
      </c>
      <c r="J1496" s="12">
        <f>Raw_Data!J1496</f>
        <v/>
      </c>
      <c r="K1496" s="13">
        <f>Raw_Data!K1496</f>
        <v/>
      </c>
      <c r="L1496" s="12">
        <f>Raw_Data!L1496</f>
        <v/>
      </c>
      <c r="M1496" s="12">
        <f>Raw_Data!M1496</f>
        <v/>
      </c>
      <c r="N1496" s="12">
        <f>Raw_Data!N1496</f>
        <v/>
      </c>
      <c r="O1496">
        <f>Raw_Data!O1496</f>
        <v/>
      </c>
      <c r="P1496">
        <f>Raw_Data!P1496</f>
        <v/>
      </c>
      <c r="Q1496">
        <f>YEAR(B1496)</f>
        <v/>
      </c>
      <c r="R1496">
        <f>TEXT(B1496,"mmm")</f>
        <v/>
      </c>
      <c r="S1496" s="15">
        <f>IFERROR(N1496/L1496,0)</f>
        <v/>
      </c>
    </row>
    <row r="1497">
      <c r="A1497">
        <f>Raw_Data!A1497</f>
        <v/>
      </c>
      <c r="B1497" s="11">
        <f>Raw_Data!B1497</f>
        <v/>
      </c>
      <c r="C1497">
        <f>Raw_Data!C1497</f>
        <v/>
      </c>
      <c r="D1497">
        <f>Raw_Data!D1497</f>
        <v/>
      </c>
      <c r="E1497">
        <f>Raw_Data!E1497</f>
        <v/>
      </c>
      <c r="F1497">
        <f>Raw_Data!F1497</f>
        <v/>
      </c>
      <c r="G1497">
        <f>Raw_Data!G1497</f>
        <v/>
      </c>
      <c r="H1497">
        <f>Raw_Data!H1497</f>
        <v/>
      </c>
      <c r="I1497">
        <f>Raw_Data!I1497</f>
        <v/>
      </c>
      <c r="J1497" s="12">
        <f>Raw_Data!J1497</f>
        <v/>
      </c>
      <c r="K1497" s="13">
        <f>Raw_Data!K1497</f>
        <v/>
      </c>
      <c r="L1497" s="12">
        <f>Raw_Data!L1497</f>
        <v/>
      </c>
      <c r="M1497" s="12">
        <f>Raw_Data!M1497</f>
        <v/>
      </c>
      <c r="N1497" s="12">
        <f>Raw_Data!N1497</f>
        <v/>
      </c>
      <c r="O1497">
        <f>Raw_Data!O1497</f>
        <v/>
      </c>
      <c r="P1497">
        <f>Raw_Data!P1497</f>
        <v/>
      </c>
      <c r="Q1497">
        <f>YEAR(B1497)</f>
        <v/>
      </c>
      <c r="R1497">
        <f>TEXT(B1497,"mmm")</f>
        <v/>
      </c>
      <c r="S1497" s="15">
        <f>IFERROR(N1497/L1497,0)</f>
        <v/>
      </c>
    </row>
    <row r="1498">
      <c r="A1498">
        <f>Raw_Data!A1498</f>
        <v/>
      </c>
      <c r="B1498" s="11">
        <f>Raw_Data!B1498</f>
        <v/>
      </c>
      <c r="C1498">
        <f>Raw_Data!C1498</f>
        <v/>
      </c>
      <c r="D1498">
        <f>Raw_Data!D1498</f>
        <v/>
      </c>
      <c r="E1498">
        <f>Raw_Data!E1498</f>
        <v/>
      </c>
      <c r="F1498">
        <f>Raw_Data!F1498</f>
        <v/>
      </c>
      <c r="G1498">
        <f>Raw_Data!G1498</f>
        <v/>
      </c>
      <c r="H1498">
        <f>Raw_Data!H1498</f>
        <v/>
      </c>
      <c r="I1498">
        <f>Raw_Data!I1498</f>
        <v/>
      </c>
      <c r="J1498" s="12">
        <f>Raw_Data!J1498</f>
        <v/>
      </c>
      <c r="K1498" s="13">
        <f>Raw_Data!K1498</f>
        <v/>
      </c>
      <c r="L1498" s="12">
        <f>Raw_Data!L1498</f>
        <v/>
      </c>
      <c r="M1498" s="12">
        <f>Raw_Data!M1498</f>
        <v/>
      </c>
      <c r="N1498" s="12">
        <f>Raw_Data!N1498</f>
        <v/>
      </c>
      <c r="O1498">
        <f>Raw_Data!O1498</f>
        <v/>
      </c>
      <c r="P1498">
        <f>Raw_Data!P1498</f>
        <v/>
      </c>
      <c r="Q1498">
        <f>YEAR(B1498)</f>
        <v/>
      </c>
      <c r="R1498">
        <f>TEXT(B1498,"mmm")</f>
        <v/>
      </c>
      <c r="S1498" s="15">
        <f>IFERROR(N1498/L1498,0)</f>
        <v/>
      </c>
    </row>
    <row r="1499">
      <c r="A1499">
        <f>Raw_Data!A1499</f>
        <v/>
      </c>
      <c r="B1499" s="11">
        <f>Raw_Data!B1499</f>
        <v/>
      </c>
      <c r="C1499">
        <f>Raw_Data!C1499</f>
        <v/>
      </c>
      <c r="D1499">
        <f>Raw_Data!D1499</f>
        <v/>
      </c>
      <c r="E1499">
        <f>Raw_Data!E1499</f>
        <v/>
      </c>
      <c r="F1499">
        <f>Raw_Data!F1499</f>
        <v/>
      </c>
      <c r="G1499">
        <f>Raw_Data!G1499</f>
        <v/>
      </c>
      <c r="H1499">
        <f>Raw_Data!H1499</f>
        <v/>
      </c>
      <c r="I1499">
        <f>Raw_Data!I1499</f>
        <v/>
      </c>
      <c r="J1499" s="12">
        <f>Raw_Data!J1499</f>
        <v/>
      </c>
      <c r="K1499" s="13">
        <f>Raw_Data!K1499</f>
        <v/>
      </c>
      <c r="L1499" s="12">
        <f>Raw_Data!L1499</f>
        <v/>
      </c>
      <c r="M1499" s="12">
        <f>Raw_Data!M1499</f>
        <v/>
      </c>
      <c r="N1499" s="12">
        <f>Raw_Data!N1499</f>
        <v/>
      </c>
      <c r="O1499">
        <f>Raw_Data!O1499</f>
        <v/>
      </c>
      <c r="P1499">
        <f>Raw_Data!P1499</f>
        <v/>
      </c>
      <c r="Q1499">
        <f>YEAR(B1499)</f>
        <v/>
      </c>
      <c r="R1499">
        <f>TEXT(B1499,"mmm")</f>
        <v/>
      </c>
      <c r="S1499" s="15">
        <f>IFERROR(N1499/L1499,0)</f>
        <v/>
      </c>
    </row>
    <row r="1500">
      <c r="A1500">
        <f>Raw_Data!A1500</f>
        <v/>
      </c>
      <c r="B1500" s="11">
        <f>Raw_Data!B1500</f>
        <v/>
      </c>
      <c r="C1500">
        <f>Raw_Data!C1500</f>
        <v/>
      </c>
      <c r="D1500">
        <f>Raw_Data!D1500</f>
        <v/>
      </c>
      <c r="E1500">
        <f>Raw_Data!E1500</f>
        <v/>
      </c>
      <c r="F1500">
        <f>Raw_Data!F1500</f>
        <v/>
      </c>
      <c r="G1500">
        <f>Raw_Data!G1500</f>
        <v/>
      </c>
      <c r="H1500">
        <f>Raw_Data!H1500</f>
        <v/>
      </c>
      <c r="I1500">
        <f>Raw_Data!I1500</f>
        <v/>
      </c>
      <c r="J1500" s="12">
        <f>Raw_Data!J1500</f>
        <v/>
      </c>
      <c r="K1500" s="13">
        <f>Raw_Data!K1500</f>
        <v/>
      </c>
      <c r="L1500" s="12">
        <f>Raw_Data!L1500</f>
        <v/>
      </c>
      <c r="M1500" s="12">
        <f>Raw_Data!M1500</f>
        <v/>
      </c>
      <c r="N1500" s="12">
        <f>Raw_Data!N1500</f>
        <v/>
      </c>
      <c r="O1500">
        <f>Raw_Data!O1500</f>
        <v/>
      </c>
      <c r="P1500">
        <f>Raw_Data!P1500</f>
        <v/>
      </c>
      <c r="Q1500">
        <f>YEAR(B1500)</f>
        <v/>
      </c>
      <c r="R1500">
        <f>TEXT(B1500,"mmm")</f>
        <v/>
      </c>
      <c r="S1500" s="15">
        <f>IFERROR(N1500/L1500,0)</f>
        <v/>
      </c>
    </row>
    <row r="1501">
      <c r="A1501">
        <f>Raw_Data!A1501</f>
        <v/>
      </c>
      <c r="B1501" s="11">
        <f>Raw_Data!B1501</f>
        <v/>
      </c>
      <c r="C1501">
        <f>Raw_Data!C1501</f>
        <v/>
      </c>
      <c r="D1501">
        <f>Raw_Data!D1501</f>
        <v/>
      </c>
      <c r="E1501">
        <f>Raw_Data!E1501</f>
        <v/>
      </c>
      <c r="F1501">
        <f>Raw_Data!F1501</f>
        <v/>
      </c>
      <c r="G1501">
        <f>Raw_Data!G1501</f>
        <v/>
      </c>
      <c r="H1501">
        <f>Raw_Data!H1501</f>
        <v/>
      </c>
      <c r="I1501">
        <f>Raw_Data!I1501</f>
        <v/>
      </c>
      <c r="J1501" s="12">
        <f>Raw_Data!J1501</f>
        <v/>
      </c>
      <c r="K1501" s="13">
        <f>Raw_Data!K1501</f>
        <v/>
      </c>
      <c r="L1501" s="12">
        <f>Raw_Data!L1501</f>
        <v/>
      </c>
      <c r="M1501" s="12">
        <f>Raw_Data!M1501</f>
        <v/>
      </c>
      <c r="N1501" s="12">
        <f>Raw_Data!N1501</f>
        <v/>
      </c>
      <c r="O1501">
        <f>Raw_Data!O1501</f>
        <v/>
      </c>
      <c r="P1501">
        <f>Raw_Data!P1501</f>
        <v/>
      </c>
      <c r="Q1501">
        <f>YEAR(B1501)</f>
        <v/>
      </c>
      <c r="R1501">
        <f>TEXT(B1501,"mmm")</f>
        <v/>
      </c>
      <c r="S1501" s="15">
        <f>IFERROR(N1501/L1501,0)</f>
        <v/>
      </c>
    </row>
  </sheetData>
  <autoFilter ref="A1:S1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76" customWidth="1" min="3" max="3"/>
    <col width="34" customWidth="1" min="4" max="4"/>
  </cols>
  <sheetData>
    <row r="1">
      <c r="A1" s="16" t="inlineStr">
        <is>
          <t>PROJECT GUIDE: SALES PERFORMANCE ANALYSIS</t>
        </is>
      </c>
    </row>
    <row r="2">
      <c r="A2" s="17" t="inlineStr">
        <is>
          <t>Step</t>
        </is>
      </c>
      <c r="B2" s="17" t="inlineStr">
        <is>
          <t>Task</t>
        </is>
      </c>
      <c r="C2" s="17" t="inlineStr">
        <is>
          <t>How to do it / Formula</t>
        </is>
      </c>
      <c r="D2" s="17" t="inlineStr">
        <is>
          <t>Expected output</t>
        </is>
      </c>
    </row>
    <row r="3" ht="42" customHeight="1">
      <c r="A3" s="18" t="inlineStr">
        <is>
          <t>1. Understand</t>
        </is>
      </c>
      <c r="B3" s="18" t="inlineStr">
        <is>
          <t>Review the dataset</t>
        </is>
      </c>
      <c r="C3" s="18" t="inlineStr">
        <is>
          <t>Check 1,500 orders, dates, regions, products, sales, cost and profit.</t>
        </is>
      </c>
      <c r="D3" s="18" t="inlineStr">
        <is>
          <t>Know each field and its business meaning.</t>
        </is>
      </c>
    </row>
    <row r="4" ht="42" customHeight="1">
      <c r="A4" s="18" t="inlineStr">
        <is>
          <t>2. Validate</t>
        </is>
      </c>
      <c r="B4" s="18" t="inlineStr">
        <is>
          <t>Check duplicate Order_IDs</t>
        </is>
      </c>
      <c r="C4" s="18" t="inlineStr">
        <is>
          <t>Data &gt; Remove Duplicates, or use =COUNTIF(A:A,A2)&gt;1 in a helper column.</t>
        </is>
      </c>
      <c r="D4" s="18" t="inlineStr">
        <is>
          <t>No duplicate order identifiers.</t>
        </is>
      </c>
    </row>
    <row r="5" ht="42" customHeight="1">
      <c r="A5" s="18" t="inlineStr">
        <is>
          <t>3. Clean</t>
        </is>
      </c>
      <c r="B5" s="18" t="inlineStr">
        <is>
          <t>Check blanks and data types</t>
        </is>
      </c>
      <c r="C5" s="18" t="inlineStr">
        <is>
          <t>Filter each column for blanks; ensure Order_Date is a date, Discount_Rate is %, and currency fields are numeric.</t>
        </is>
      </c>
      <c r="D5" s="18" t="inlineStr">
        <is>
          <t>Consistent, analysis-ready data.</t>
        </is>
      </c>
    </row>
    <row r="6" ht="42" customHeight="1">
      <c r="A6" s="18" t="inlineStr">
        <is>
          <t>4. Calculate</t>
        </is>
      </c>
      <c r="B6" s="18" t="inlineStr">
        <is>
          <t>Profit margin</t>
        </is>
      </c>
      <c r="C6" s="18">
        <f>IFERROR([@Profit]/[@Sales],0) in an Excel Table.</f>
        <v/>
      </c>
      <c r="D6" s="18" t="inlineStr">
        <is>
          <t>Profit as a share of sales.</t>
        </is>
      </c>
    </row>
    <row r="7" ht="42" customHeight="1">
      <c r="A7" s="18" t="inlineStr">
        <is>
          <t>5. KPI</t>
        </is>
      </c>
      <c r="B7" s="18" t="inlineStr">
        <is>
          <t>Total sales</t>
        </is>
      </c>
      <c r="C7" s="18">
        <f>SUM(SalesClean[Sales])</f>
        <v/>
      </c>
      <c r="D7" s="18" t="inlineStr">
        <is>
          <t>Total revenue across all orders.</t>
        </is>
      </c>
    </row>
    <row r="8" ht="42" customHeight="1">
      <c r="A8" s="18" t="inlineStr">
        <is>
          <t>6. KPI</t>
        </is>
      </c>
      <c r="B8" s="18" t="inlineStr">
        <is>
          <t>Total profit</t>
        </is>
      </c>
      <c r="C8" s="18">
        <f>SUM(SalesClean[Profit])</f>
        <v/>
      </c>
      <c r="D8" s="18" t="inlineStr">
        <is>
          <t>Total gross profit estimate.</t>
        </is>
      </c>
    </row>
    <row r="9" ht="42" customHeight="1">
      <c r="A9" s="18" t="inlineStr">
        <is>
          <t>7. KPI</t>
        </is>
      </c>
      <c r="B9" s="18" t="inlineStr">
        <is>
          <t>Average order value</t>
        </is>
      </c>
      <c r="C9" s="18">
        <f>IFERROR(SUM(SalesClean[Sales])/COUNTA(SalesClean[Order_ID]),0)</f>
        <v/>
      </c>
      <c r="D9" s="18" t="inlineStr">
        <is>
          <t>Average revenue per transaction.</t>
        </is>
      </c>
    </row>
    <row r="10" ht="42" customHeight="1">
      <c r="A10" s="18" t="inlineStr">
        <is>
          <t>8. Analyze</t>
        </is>
      </c>
      <c r="B10" s="18" t="inlineStr">
        <is>
          <t>Sales by region</t>
        </is>
      </c>
      <c r="C10" s="18" t="inlineStr">
        <is>
          <t>Insert &gt; PivotTable; Rows=Region; Values=Sum of Sales, Sum of Profit.</t>
        </is>
      </c>
      <c r="D10" s="18" t="inlineStr">
        <is>
          <t>Compare regional performance.</t>
        </is>
      </c>
    </row>
    <row r="11" ht="42" customHeight="1">
      <c r="A11" s="18" t="inlineStr">
        <is>
          <t>9. Analyze</t>
        </is>
      </c>
      <c r="B11" s="18" t="inlineStr">
        <is>
          <t>Monthly trend</t>
        </is>
      </c>
      <c r="C11" s="18" t="inlineStr">
        <is>
          <t>PivotTable Rows=Order_Date grouped by Months; Values=Sum of Sales and Profit.</t>
        </is>
      </c>
      <c r="D11" s="18" t="inlineStr">
        <is>
          <t>Find seasonality and peak months.</t>
        </is>
      </c>
    </row>
    <row r="12" ht="42" customHeight="1">
      <c r="A12" s="18" t="inlineStr">
        <is>
          <t>10. Analyze</t>
        </is>
      </c>
      <c r="B12" s="18" t="inlineStr">
        <is>
          <t>Category performance</t>
        </is>
      </c>
      <c r="C12" s="18" t="inlineStr">
        <is>
          <t>PivotTable Rows=Category; Values=Sales, Profit; add Profit_Margin if useful.</t>
        </is>
      </c>
      <c r="D12" s="18" t="inlineStr">
        <is>
          <t>Identify category revenue and margin mix.</t>
        </is>
      </c>
    </row>
    <row r="13" ht="42" customHeight="1">
      <c r="A13" s="18" t="inlineStr">
        <is>
          <t>11. Dashboard</t>
        </is>
      </c>
      <c r="B13" s="18" t="inlineStr">
        <is>
          <t>Build visuals</t>
        </is>
      </c>
      <c r="C13" s="18" t="inlineStr">
        <is>
          <t>Use line chart for monthly sales, bar chart for region, column/bar chart for category; add slicers for Region, Category, Sales_Channel.</t>
        </is>
      </c>
      <c r="D13" s="18" t="inlineStr">
        <is>
          <t>Interactive management summary.</t>
        </is>
      </c>
    </row>
    <row r="14" ht="42" customHeight="1">
      <c r="A14" s="18" t="inlineStr">
        <is>
          <t>12. Validate</t>
        </is>
      </c>
      <c r="B14" s="18" t="inlineStr">
        <is>
          <t>Reconcile totals</t>
        </is>
      </c>
      <c r="C14" s="18" t="inlineStr">
        <is>
          <t>Compare dashboard totals to =SUM(Cleaned_Data!L2:L1501) and =SUM(Cleaned_Data!N2:N1501).</t>
        </is>
      </c>
      <c r="D14" s="18" t="inlineStr">
        <is>
          <t>Dashboard numbers match source data.</t>
        </is>
      </c>
    </row>
    <row r="15" ht="42" customHeight="1">
      <c r="A15" s="18" t="inlineStr">
        <is>
          <t>13. Communicate</t>
        </is>
      </c>
      <c r="B15" s="18" t="inlineStr">
        <is>
          <t>Write 3 findings</t>
        </is>
      </c>
      <c r="C15" s="18" t="inlineStr">
        <is>
          <t>Rank top region, top category, best month, and compare profit margin.</t>
        </is>
      </c>
      <c r="D15" s="18" t="inlineStr">
        <is>
          <t>Recommendations backed by data.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47" customWidth="1" min="3" max="3"/>
  </cols>
  <sheetData>
    <row r="1">
      <c r="A1" s="19" t="inlineStr">
        <is>
          <t>Practice Task</t>
        </is>
      </c>
      <c r="B1" s="19" t="inlineStr">
        <is>
          <t>Formula / Answer</t>
        </is>
      </c>
      <c r="C1" s="19" t="inlineStr">
        <is>
          <t>What it does</t>
        </is>
      </c>
    </row>
    <row r="2">
      <c r="A2" s="18" t="inlineStr">
        <is>
          <t>Total Sales</t>
        </is>
      </c>
      <c r="B2" s="18">
        <f>SUM(Cleaned_Data!L2:L1501)</f>
        <v/>
      </c>
      <c r="C2" s="18" t="inlineStr">
        <is>
          <t>Adds sales revenue.</t>
        </is>
      </c>
    </row>
    <row r="3">
      <c r="A3" s="18" t="inlineStr">
        <is>
          <t>Total Profit</t>
        </is>
      </c>
      <c r="B3" s="18">
        <f>SUM(Cleaned_Data!N2:N1501)</f>
        <v/>
      </c>
      <c r="C3" s="18" t="inlineStr">
        <is>
          <t>Adds profit.</t>
        </is>
      </c>
    </row>
    <row r="4">
      <c r="A4" s="18" t="inlineStr">
        <is>
          <t>Total Orders</t>
        </is>
      </c>
      <c r="B4" s="18">
        <f>COUNTA(Cleaned_Data!A2:A1501)</f>
        <v/>
      </c>
      <c r="C4" s="18" t="inlineStr">
        <is>
          <t>Counts order IDs.</t>
        </is>
      </c>
    </row>
    <row r="5">
      <c r="A5" s="18" t="inlineStr">
        <is>
          <t>Average Order Value</t>
        </is>
      </c>
      <c r="B5" s="18">
        <f>AVERAGE(Cleaned_Data!L2:L1501)</f>
        <v/>
      </c>
      <c r="C5" s="18" t="inlineStr">
        <is>
          <t>Average sales per order.</t>
        </is>
      </c>
    </row>
    <row r="6">
      <c r="A6" s="18" t="inlineStr">
        <is>
          <t>North Region Sales</t>
        </is>
      </c>
      <c r="B6" s="18">
        <f>SUMIF(Cleaned_Data!C2:C1501,"North",Cleaned_Data!L2:L1501)</f>
        <v/>
      </c>
      <c r="C6" s="18" t="inlineStr">
        <is>
          <t>Adds sales where Region is North.</t>
        </is>
      </c>
    </row>
    <row r="7">
      <c r="A7" s="18" t="inlineStr">
        <is>
          <t>Technology Category Profit</t>
        </is>
      </c>
      <c r="B7" s="18">
        <f>SUMIF(Cleaned_Data!G2:G1501,"Technology",Cleaned_Data!N2:N1501)</f>
        <v/>
      </c>
      <c r="C7" s="18" t="inlineStr">
        <is>
          <t>Adds profit for Technology.</t>
        </is>
      </c>
    </row>
    <row r="8">
      <c r="A8" s="18" t="inlineStr">
        <is>
          <t>Orders with discount &gt; 10%</t>
        </is>
      </c>
      <c r="B8" s="18">
        <f>COUNTIF(Cleaned_Data!K2:K1501,"&gt;0.1")</f>
        <v/>
      </c>
      <c r="C8" s="18" t="inlineStr">
        <is>
          <t>Counts orders with discounts above 10%.</t>
        </is>
      </c>
    </row>
    <row r="9">
      <c r="A9" s="18" t="inlineStr">
        <is>
          <t>Profit margin overall</t>
        </is>
      </c>
      <c r="B9" s="18">
        <f>IFERROR(SUM(Cleaned_Data!N2:N1501)/SUM(Cleaned_Data!L2:L1501),0)</f>
        <v/>
      </c>
      <c r="C9" s="18" t="inlineStr">
        <is>
          <t>Profit divided by sales.</t>
        </is>
      </c>
    </row>
    <row r="10">
      <c r="A10" s="18" t="inlineStr">
        <is>
          <t>Lookup product by Order ID</t>
        </is>
      </c>
      <c r="B10" s="18">
        <f>XLOOKUP(A2,Cleaned_Data!A:A,Cleaned_Data!H:H,"Not Found")</f>
        <v/>
      </c>
      <c r="C10" s="18" t="inlineStr">
        <is>
          <t>Returns the product for an entered order ID.</t>
        </is>
      </c>
    </row>
    <row r="11">
      <c r="A11" s="18" t="inlineStr">
        <is>
          <t>Flag high-value order</t>
        </is>
      </c>
      <c r="B11" s="18">
        <f>IF(L2&gt;=10000,"High Value","Standard")</f>
        <v/>
      </c>
      <c r="C11" s="18" t="inlineStr">
        <is>
          <t>Labels orders using a sales threshold.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5" customWidth="1" min="2" max="2"/>
    <col width="65" customWidth="1" min="3" max="3"/>
  </cols>
  <sheetData>
    <row r="1">
      <c r="A1" s="20" t="inlineStr">
        <is>
          <t>Question</t>
        </is>
      </c>
      <c r="B1" s="20" t="inlineStr">
        <is>
          <t>How to answer</t>
        </is>
      </c>
      <c r="C1" s="20" t="inlineStr">
        <is>
          <t>Write your finding here</t>
        </is>
      </c>
    </row>
    <row r="2" ht="48" customHeight="1">
      <c r="A2" s="18" t="inlineStr">
        <is>
          <t>Which region generated the most sales?</t>
        </is>
      </c>
      <c r="B2" s="18" t="inlineStr">
        <is>
          <t>Sort the Sales by Region summary from largest to smallest.</t>
        </is>
      </c>
      <c r="C2" s="18" t="inlineStr"/>
    </row>
    <row r="3" ht="48" customHeight="1">
      <c r="A3" s="18" t="inlineStr">
        <is>
          <t>Which category generated the most profit?</t>
        </is>
      </c>
      <c r="B3" s="18" t="inlineStr">
        <is>
          <t>Create a PivotTable: Rows=Category; Values=Sum of Profit; sort descending.</t>
        </is>
      </c>
      <c r="C3" s="18" t="inlineStr"/>
    </row>
    <row r="4" ht="48" customHeight="1">
      <c r="A4" s="18" t="inlineStr">
        <is>
          <t>Which month had the highest sales?</t>
        </is>
      </c>
      <c r="B4" s="18" t="inlineStr">
        <is>
          <t>Sort Monthly Performance by Sales descending.</t>
        </is>
      </c>
      <c r="C4" s="18" t="inlineStr"/>
    </row>
    <row r="5" ht="48" customHeight="1">
      <c r="A5" s="18" t="inlineStr">
        <is>
          <t>What is the overall profit margin?</t>
        </is>
      </c>
      <c r="B5" s="18" t="inlineStr">
        <is>
          <t>Total Profit / Total Sales. Compare margin across regions and categories.</t>
        </is>
      </c>
      <c r="C5" s="18" t="inlineStr"/>
    </row>
    <row r="6" ht="48" customHeight="1">
      <c r="A6" s="18" t="inlineStr">
        <is>
          <t>Which channel performs best?</t>
        </is>
      </c>
      <c r="B6" s="18" t="inlineStr">
        <is>
          <t>PivotTable: Rows=Sales_Channel; Values=Sum of Sales, Sum of Profit, Count of Order_ID.</t>
        </is>
      </c>
      <c r="C6" s="18" t="inlineStr"/>
    </row>
    <row r="7" ht="48" customHeight="1">
      <c r="A7" s="18" t="inlineStr">
        <is>
          <t>What action would you recommend?</t>
        </is>
      </c>
      <c r="B7" s="18" t="inlineStr">
        <is>
          <t>Tie one recommendation to a measured trend, then state the expected business benefit.</t>
        </is>
      </c>
      <c r="C7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Excel Sales Performance Dashboard Portfolio Project</dc:title>
  <dc:subject xmlns:dc="http://purl.org/dc/elements/1.1/">Intermediate Data Analyst portfolio project</dc:subject>
  <dcterms:created xmlns:dcterms="http://purl.org/dc/terms/" xmlns:xsi="http://www.w3.org/2001/XMLSchema-instance" xsi:type="dcterms:W3CDTF">2026-10-22T07:49:58Z</dcterms:created>
  <dcterms:modified xmlns:dcterms="http://purl.org/dc/terms/" xmlns:xsi="http://www.w3.org/2001/XMLSchema-instance" xsi:type="dcterms:W3CDTF">2026-10-22T07:49:59Z</dcterms:modified>
</cp:coreProperties>
</file>